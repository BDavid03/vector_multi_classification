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MML\vector_classificatoin\"/>
    </mc:Choice>
  </mc:AlternateContent>
  <xr:revisionPtr revIDLastSave="0" documentId="13_ncr:1_{DDC32433-3E8D-4EDE-A609-FABA55F808E4}" xr6:coauthVersionLast="47" xr6:coauthVersionMax="47" xr10:uidLastSave="{00000000-0000-0000-0000-000000000000}"/>
  <bookViews>
    <workbookView xWindow="-23148" yWindow="-108" windowWidth="21816" windowHeight="13176" activeTab="4" xr2:uid="{00000000-000D-0000-FFFF-FFFF00000000}"/>
  </bookViews>
  <sheets>
    <sheet name="Chart1" sheetId="6" r:id="rId1"/>
    <sheet name="Chart2" sheetId="7" r:id="rId2"/>
    <sheet name="Chart3" sheetId="8" r:id="rId3"/>
    <sheet name="Chart4" sheetId="9" r:id="rId4"/>
    <sheet name="Taxonomy" sheetId="1" r:id="rId5"/>
    <sheet name="data_info" sheetId="2" r:id="rId6"/>
    <sheet name="Genus Family Relationship" sheetId="3" r:id="rId7"/>
    <sheet name="Observation sort" sheetId="4" r:id="rId8"/>
    <sheet name="Obs+Fam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2" i="1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62" i="3"/>
  <c r="R1" i="3" a="1"/>
  <c r="R1" i="3" s="1"/>
  <c r="Q2" i="3" a="1"/>
  <c r="BQ59" i="3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2" i="3"/>
  <c r="A1" i="2" a="1"/>
  <c r="A1" i="2" s="1"/>
  <c r="B1" i="2" s="1"/>
  <c r="GU60" i="3" l="1"/>
  <c r="DP58" i="3"/>
  <c r="R21" i="3"/>
  <c r="FK60" i="3"/>
  <c r="W60" i="3"/>
  <c r="EY60" i="3"/>
  <c r="GS59" i="3"/>
  <c r="BE59" i="3"/>
  <c r="BZ46" i="3"/>
  <c r="EM60" i="3"/>
  <c r="GG59" i="3"/>
  <c r="AS59" i="3"/>
  <c r="FU59" i="3"/>
  <c r="R57" i="3"/>
  <c r="FI59" i="3"/>
  <c r="U59" i="3"/>
  <c r="R45" i="3"/>
  <c r="DC60" i="3"/>
  <c r="EW59" i="3"/>
  <c r="GP58" i="3"/>
  <c r="EA60" i="3"/>
  <c r="GC58" i="3"/>
  <c r="AG59" i="3"/>
  <c r="DO60" i="3"/>
  <c r="R33" i="3"/>
  <c r="CQ60" i="3"/>
  <c r="EK59" i="3"/>
  <c r="CE60" i="3"/>
  <c r="DY59" i="3"/>
  <c r="FP58" i="3"/>
  <c r="R9" i="3"/>
  <c r="BS60" i="3"/>
  <c r="DM59" i="3"/>
  <c r="FC58" i="3"/>
  <c r="BG60" i="3"/>
  <c r="DA59" i="3"/>
  <c r="EP58" i="3"/>
  <c r="AU60" i="3"/>
  <c r="EC58" i="3"/>
  <c r="GI60" i="3"/>
  <c r="CO59" i="3"/>
  <c r="FW60" i="3"/>
  <c r="AI60" i="3"/>
  <c r="CC59" i="3"/>
  <c r="DB58" i="3"/>
  <c r="CM58" i="3"/>
  <c r="BY58" i="3"/>
  <c r="BJ58" i="3"/>
  <c r="AV58" i="3"/>
  <c r="AH58" i="3"/>
  <c r="S58" i="3"/>
  <c r="GM57" i="3"/>
  <c r="FX57" i="3"/>
  <c r="FJ57" i="3"/>
  <c r="EV57" i="3"/>
  <c r="EG57" i="3"/>
  <c r="DS57" i="3"/>
  <c r="DD57" i="3"/>
  <c r="CP57" i="3"/>
  <c r="CB57" i="3"/>
  <c r="BM57" i="3"/>
  <c r="AY57" i="3"/>
  <c r="AJ57" i="3"/>
  <c r="V57" i="3"/>
  <c r="GP56" i="3"/>
  <c r="GA56" i="3"/>
  <c r="FM56" i="3"/>
  <c r="EX56" i="3"/>
  <c r="EH56" i="3"/>
  <c r="DN56" i="3"/>
  <c r="CX56" i="3"/>
  <c r="CD56" i="3"/>
  <c r="BN56" i="3"/>
  <c r="AT56" i="3"/>
  <c r="AD56" i="3"/>
  <c r="GR55" i="3"/>
  <c r="GB55" i="3"/>
  <c r="FH55" i="3"/>
  <c r="ER55" i="3"/>
  <c r="DX55" i="3"/>
  <c r="DH55" i="3"/>
  <c r="CN55" i="3"/>
  <c r="BX55" i="3"/>
  <c r="BD55" i="3"/>
  <c r="AN55" i="3"/>
  <c r="T55" i="3"/>
  <c r="GL54" i="3"/>
  <c r="FR54" i="3"/>
  <c r="FB54" i="3"/>
  <c r="EG54" i="3"/>
  <c r="DM54" i="3"/>
  <c r="CQ54" i="3"/>
  <c r="BX54" i="3"/>
  <c r="BB54" i="3"/>
  <c r="AC54" i="3"/>
  <c r="GG53" i="3"/>
  <c r="EQ53" i="3"/>
  <c r="CU53" i="3"/>
  <c r="AY53" i="3"/>
  <c r="GK52" i="3"/>
  <c r="EO52" i="3"/>
  <c r="BL52" i="3"/>
  <c r="CC51" i="3"/>
  <c r="CT50" i="3"/>
  <c r="CX49" i="3"/>
  <c r="BQ48" i="3"/>
  <c r="GS46" i="3"/>
  <c r="R56" i="3"/>
  <c r="R44" i="3"/>
  <c r="R32" i="3"/>
  <c r="R20" i="3"/>
  <c r="R8" i="3"/>
  <c r="GT60" i="3"/>
  <c r="GH60" i="3"/>
  <c r="FV60" i="3"/>
  <c r="FJ60" i="3"/>
  <c r="EX60" i="3"/>
  <c r="EL60" i="3"/>
  <c r="DZ60" i="3"/>
  <c r="DN60" i="3"/>
  <c r="DB60" i="3"/>
  <c r="CP60" i="3"/>
  <c r="CD60" i="3"/>
  <c r="BR60" i="3"/>
  <c r="BF60" i="3"/>
  <c r="AT60" i="3"/>
  <c r="AH60" i="3"/>
  <c r="V60" i="3"/>
  <c r="GR59" i="3"/>
  <c r="GF59" i="3"/>
  <c r="FT59" i="3"/>
  <c r="FH59" i="3"/>
  <c r="EV59" i="3"/>
  <c r="EJ59" i="3"/>
  <c r="DX59" i="3"/>
  <c r="DL59" i="3"/>
  <c r="CZ59" i="3"/>
  <c r="CN59" i="3"/>
  <c r="CB59" i="3"/>
  <c r="BP59" i="3"/>
  <c r="BD59" i="3"/>
  <c r="AR59" i="3"/>
  <c r="AF59" i="3"/>
  <c r="T59" i="3"/>
  <c r="GO58" i="3"/>
  <c r="GB58" i="3"/>
  <c r="FO58" i="3"/>
  <c r="FB58" i="3"/>
  <c r="EO58" i="3"/>
  <c r="EB58" i="3"/>
  <c r="DO58" i="3"/>
  <c r="DA58" i="3"/>
  <c r="CL58" i="3"/>
  <c r="BX58" i="3"/>
  <c r="BI58" i="3"/>
  <c r="AU58" i="3"/>
  <c r="AG58" i="3"/>
  <c r="GZ57" i="3"/>
  <c r="GL57" i="3"/>
  <c r="FW57" i="3"/>
  <c r="FI57" i="3"/>
  <c r="EU57" i="3"/>
  <c r="EF57" i="3"/>
  <c r="DR57" i="3"/>
  <c r="DC57" i="3"/>
  <c r="CO57" i="3"/>
  <c r="CA57" i="3"/>
  <c r="BL57" i="3"/>
  <c r="AX57" i="3"/>
  <c r="AI57" i="3"/>
  <c r="U57" i="3"/>
  <c r="GO56" i="3"/>
  <c r="FZ56" i="3"/>
  <c r="FL56" i="3"/>
  <c r="EW56" i="3"/>
  <c r="EE56" i="3"/>
  <c r="DM56" i="3"/>
  <c r="CU56" i="3"/>
  <c r="CC56" i="3"/>
  <c r="BK56" i="3"/>
  <c r="AS56" i="3"/>
  <c r="AA56" i="3"/>
  <c r="GQ55" i="3"/>
  <c r="FY55" i="3"/>
  <c r="FG55" i="3"/>
  <c r="EO55" i="3"/>
  <c r="DW55" i="3"/>
  <c r="DE55" i="3"/>
  <c r="CM55" i="3"/>
  <c r="BU55" i="3"/>
  <c r="BC55" i="3"/>
  <c r="AK55" i="3"/>
  <c r="S55" i="3"/>
  <c r="GI54" i="3"/>
  <c r="FQ54" i="3"/>
  <c r="EY54" i="3"/>
  <c r="EF54" i="3"/>
  <c r="DJ54" i="3"/>
  <c r="CP54" i="3"/>
  <c r="BW54" i="3"/>
  <c r="BA54" i="3"/>
  <c r="AA54" i="3"/>
  <c r="GE53" i="3"/>
  <c r="EK53" i="3"/>
  <c r="CO53" i="3"/>
  <c r="AS53" i="3"/>
  <c r="GE52" i="3"/>
  <c r="EI52" i="3"/>
  <c r="AW52" i="3"/>
  <c r="BO51" i="3"/>
  <c r="CF50" i="3"/>
  <c r="CF49" i="3"/>
  <c r="AU48" i="3"/>
  <c r="FY46" i="3"/>
  <c r="R55" i="3"/>
  <c r="R43" i="3"/>
  <c r="R31" i="3"/>
  <c r="R19" i="3"/>
  <c r="R7" i="3"/>
  <c r="GS60" i="3"/>
  <c r="GG60" i="3"/>
  <c r="FU60" i="3"/>
  <c r="FI60" i="3"/>
  <c r="EW60" i="3"/>
  <c r="EK60" i="3"/>
  <c r="DY60" i="3"/>
  <c r="DM60" i="3"/>
  <c r="DA60" i="3"/>
  <c r="CO60" i="3"/>
  <c r="CC60" i="3"/>
  <c r="BQ60" i="3"/>
  <c r="BE60" i="3"/>
  <c r="AS60" i="3"/>
  <c r="AG60" i="3"/>
  <c r="U60" i="3"/>
  <c r="GQ59" i="3"/>
  <c r="GE59" i="3"/>
  <c r="FS59" i="3"/>
  <c r="FG59" i="3"/>
  <c r="EU59" i="3"/>
  <c r="EI59" i="3"/>
  <c r="DW59" i="3"/>
  <c r="DK59" i="3"/>
  <c r="CY59" i="3"/>
  <c r="CM59" i="3"/>
  <c r="CA59" i="3"/>
  <c r="BO59" i="3"/>
  <c r="BC59" i="3"/>
  <c r="AQ59" i="3"/>
  <c r="AE59" i="3"/>
  <c r="S59" i="3"/>
  <c r="GN58" i="3"/>
  <c r="GA58" i="3"/>
  <c r="FN58" i="3"/>
  <c r="FA58" i="3"/>
  <c r="EN58" i="3"/>
  <c r="EA58" i="3"/>
  <c r="DN58" i="3"/>
  <c r="CY58" i="3"/>
  <c r="CK58" i="3"/>
  <c r="BV58" i="3"/>
  <c r="BH58" i="3"/>
  <c r="AT58" i="3"/>
  <c r="AE58" i="3"/>
  <c r="GY57" i="3"/>
  <c r="GJ57" i="3"/>
  <c r="FV57" i="3"/>
  <c r="FH57" i="3"/>
  <c r="ES57" i="3"/>
  <c r="EE57" i="3"/>
  <c r="DP57" i="3"/>
  <c r="DB57" i="3"/>
  <c r="CN57" i="3"/>
  <c r="BY57" i="3"/>
  <c r="BK57" i="3"/>
  <c r="AV57" i="3"/>
  <c r="AH57" i="3"/>
  <c r="T57" i="3"/>
  <c r="GM56" i="3"/>
  <c r="FY56" i="3"/>
  <c r="FJ56" i="3"/>
  <c r="EV56" i="3"/>
  <c r="ED56" i="3"/>
  <c r="DL56" i="3"/>
  <c r="CT56" i="3"/>
  <c r="CB56" i="3"/>
  <c r="BJ56" i="3"/>
  <c r="AR56" i="3"/>
  <c r="Z56" i="3"/>
  <c r="GP55" i="3"/>
  <c r="FX55" i="3"/>
  <c r="FF55" i="3"/>
  <c r="EN55" i="3"/>
  <c r="DV55" i="3"/>
  <c r="DD55" i="3"/>
  <c r="CL55" i="3"/>
  <c r="BT55" i="3"/>
  <c r="BB55" i="3"/>
  <c r="AJ55" i="3"/>
  <c r="GZ54" i="3"/>
  <c r="GH54" i="3"/>
  <c r="FP54" i="3"/>
  <c r="EX54" i="3"/>
  <c r="EE54" i="3"/>
  <c r="DI54" i="3"/>
  <c r="CO54" i="3"/>
  <c r="BS54" i="3"/>
  <c r="AY54" i="3"/>
  <c r="W54" i="3"/>
  <c r="GB53" i="3"/>
  <c r="EF53" i="3"/>
  <c r="CJ53" i="3"/>
  <c r="AN53" i="3"/>
  <c r="FZ52" i="3"/>
  <c r="ED52" i="3"/>
  <c r="AI52" i="3"/>
  <c r="AZ51" i="3"/>
  <c r="BQ50" i="3"/>
  <c r="BN49" i="3"/>
  <c r="AB48" i="3"/>
  <c r="FE46" i="3"/>
  <c r="R54" i="3"/>
  <c r="R42" i="3"/>
  <c r="R30" i="3"/>
  <c r="R18" i="3"/>
  <c r="R6" i="3"/>
  <c r="GR60" i="3"/>
  <c r="GF60" i="3"/>
  <c r="FT60" i="3"/>
  <c r="FH60" i="3"/>
  <c r="EV60" i="3"/>
  <c r="EJ60" i="3"/>
  <c r="DX60" i="3"/>
  <c r="DL60" i="3"/>
  <c r="CZ60" i="3"/>
  <c r="CN60" i="3"/>
  <c r="CB60" i="3"/>
  <c r="BP60" i="3"/>
  <c r="BD60" i="3"/>
  <c r="AR60" i="3"/>
  <c r="AF60" i="3"/>
  <c r="T60" i="3"/>
  <c r="GP59" i="3"/>
  <c r="GD59" i="3"/>
  <c r="FR59" i="3"/>
  <c r="FF59" i="3"/>
  <c r="ET59" i="3"/>
  <c r="EH59" i="3"/>
  <c r="DV59" i="3"/>
  <c r="DJ59" i="3"/>
  <c r="CX59" i="3"/>
  <c r="CL59" i="3"/>
  <c r="BZ59" i="3"/>
  <c r="BN59" i="3"/>
  <c r="BB59" i="3"/>
  <c r="AP59" i="3"/>
  <c r="AD59" i="3"/>
  <c r="GZ58" i="3"/>
  <c r="GM58" i="3"/>
  <c r="FZ58" i="3"/>
  <c r="FM58" i="3"/>
  <c r="EZ58" i="3"/>
  <c r="EM58" i="3"/>
  <c r="DZ58" i="3"/>
  <c r="DM58" i="3"/>
  <c r="CX58" i="3"/>
  <c r="CJ58" i="3"/>
  <c r="BU58" i="3"/>
  <c r="BG58" i="3"/>
  <c r="AS58" i="3"/>
  <c r="AD58" i="3"/>
  <c r="GX57" i="3"/>
  <c r="GI57" i="3"/>
  <c r="FU57" i="3"/>
  <c r="FG57" i="3"/>
  <c r="ER57" i="3"/>
  <c r="ED57" i="3"/>
  <c r="DO57" i="3"/>
  <c r="DA57" i="3"/>
  <c r="CM57" i="3"/>
  <c r="BX57" i="3"/>
  <c r="BJ57" i="3"/>
  <c r="AU57" i="3"/>
  <c r="AG57" i="3"/>
  <c r="S57" i="3"/>
  <c r="GL56" i="3"/>
  <c r="FX56" i="3"/>
  <c r="FI56" i="3"/>
  <c r="EU56" i="3"/>
  <c r="EC56" i="3"/>
  <c r="DK56" i="3"/>
  <c r="CS56" i="3"/>
  <c r="CA56" i="3"/>
  <c r="BI56" i="3"/>
  <c r="AQ56" i="3"/>
  <c r="Y56" i="3"/>
  <c r="GO55" i="3"/>
  <c r="FW55" i="3"/>
  <c r="FE55" i="3"/>
  <c r="EM55" i="3"/>
  <c r="DU55" i="3"/>
  <c r="DC55" i="3"/>
  <c r="CK55" i="3"/>
  <c r="BS55" i="3"/>
  <c r="BA55" i="3"/>
  <c r="AI55" i="3"/>
  <c r="GY54" i="3"/>
  <c r="GG54" i="3"/>
  <c r="FO54" i="3"/>
  <c r="EW54" i="3"/>
  <c r="EA54" i="3"/>
  <c r="DH54" i="3"/>
  <c r="CL54" i="3"/>
  <c r="BR54" i="3"/>
  <c r="AU54" i="3"/>
  <c r="U54" i="3"/>
  <c r="GA53" i="3"/>
  <c r="EE53" i="3"/>
  <c r="CI53" i="3"/>
  <c r="AM53" i="3"/>
  <c r="FY52" i="3"/>
  <c r="EC52" i="3"/>
  <c r="U52" i="3"/>
  <c r="AL51" i="3"/>
  <c r="BC50" i="3"/>
  <c r="AV49" i="3"/>
  <c r="GO47" i="3"/>
  <c r="EE46" i="3"/>
  <c r="R53" i="3"/>
  <c r="R41" i="3"/>
  <c r="R29" i="3"/>
  <c r="R17" i="3"/>
  <c r="R5" i="3"/>
  <c r="GQ60" i="3"/>
  <c r="GE60" i="3"/>
  <c r="FS60" i="3"/>
  <c r="FG60" i="3"/>
  <c r="EU60" i="3"/>
  <c r="EI60" i="3"/>
  <c r="DW60" i="3"/>
  <c r="DK60" i="3"/>
  <c r="CY60" i="3"/>
  <c r="CM60" i="3"/>
  <c r="CA60" i="3"/>
  <c r="BO60" i="3"/>
  <c r="BC60" i="3"/>
  <c r="AQ60" i="3"/>
  <c r="AE60" i="3"/>
  <c r="S60" i="3"/>
  <c r="GO59" i="3"/>
  <c r="GC59" i="3"/>
  <c r="FQ59" i="3"/>
  <c r="FE59" i="3"/>
  <c r="ES59" i="3"/>
  <c r="EG59" i="3"/>
  <c r="DU59" i="3"/>
  <c r="DI59" i="3"/>
  <c r="CW59" i="3"/>
  <c r="CK59" i="3"/>
  <c r="BY59" i="3"/>
  <c r="BM59" i="3"/>
  <c r="BA59" i="3"/>
  <c r="AO59" i="3"/>
  <c r="AC59" i="3"/>
  <c r="GY58" i="3"/>
  <c r="GL58" i="3"/>
  <c r="FY58" i="3"/>
  <c r="FL58" i="3"/>
  <c r="EY58" i="3"/>
  <c r="EL58" i="3"/>
  <c r="DY58" i="3"/>
  <c r="DK58" i="3"/>
  <c r="CW58" i="3"/>
  <c r="CH58" i="3"/>
  <c r="BT58" i="3"/>
  <c r="BF58" i="3"/>
  <c r="AQ58" i="3"/>
  <c r="AC58" i="3"/>
  <c r="GV57" i="3"/>
  <c r="GH57" i="3"/>
  <c r="FT57" i="3"/>
  <c r="FE57" i="3"/>
  <c r="EQ57" i="3"/>
  <c r="EB57" i="3"/>
  <c r="DN57" i="3"/>
  <c r="CZ57" i="3"/>
  <c r="CK57" i="3"/>
  <c r="BW57" i="3"/>
  <c r="BH57" i="3"/>
  <c r="AT57" i="3"/>
  <c r="AF57" i="3"/>
  <c r="GY56" i="3"/>
  <c r="GK56" i="3"/>
  <c r="FV56" i="3"/>
  <c r="FH56" i="3"/>
  <c r="ET56" i="3"/>
  <c r="DZ56" i="3"/>
  <c r="DJ56" i="3"/>
  <c r="CP56" i="3"/>
  <c r="BZ56" i="3"/>
  <c r="BF56" i="3"/>
  <c r="AP56" i="3"/>
  <c r="V56" i="3"/>
  <c r="GN55" i="3"/>
  <c r="FT55" i="3"/>
  <c r="FD55" i="3"/>
  <c r="EJ55" i="3"/>
  <c r="DT55" i="3"/>
  <c r="CZ55" i="3"/>
  <c r="CJ55" i="3"/>
  <c r="BP55" i="3"/>
  <c r="AZ55" i="3"/>
  <c r="AF55" i="3"/>
  <c r="GX54" i="3"/>
  <c r="GD54" i="3"/>
  <c r="FN54" i="3"/>
  <c r="ET54" i="3"/>
  <c r="DZ54" i="3"/>
  <c r="DG54" i="3"/>
  <c r="CK54" i="3"/>
  <c r="BQ54" i="3"/>
  <c r="AT54" i="3"/>
  <c r="GZ53" i="3"/>
  <c r="FU53" i="3"/>
  <c r="DY53" i="3"/>
  <c r="CC53" i="3"/>
  <c r="AG53" i="3"/>
  <c r="FS52" i="3"/>
  <c r="DW52" i="3"/>
  <c r="GN51" i="3"/>
  <c r="W51" i="3"/>
  <c r="AO50" i="3"/>
  <c r="AD49" i="3"/>
  <c r="FT47" i="3"/>
  <c r="DA46" i="3"/>
  <c r="R52" i="3"/>
  <c r="R40" i="3"/>
  <c r="R28" i="3"/>
  <c r="R16" i="3"/>
  <c r="R4" i="3"/>
  <c r="GP60" i="3"/>
  <c r="GD60" i="3"/>
  <c r="FR60" i="3"/>
  <c r="FF60" i="3"/>
  <c r="ET60" i="3"/>
  <c r="EH60" i="3"/>
  <c r="DV60" i="3"/>
  <c r="DJ60" i="3"/>
  <c r="CX60" i="3"/>
  <c r="CL60" i="3"/>
  <c r="BZ60" i="3"/>
  <c r="BN60" i="3"/>
  <c r="BB60" i="3"/>
  <c r="AP60" i="3"/>
  <c r="AD60" i="3"/>
  <c r="GZ59" i="3"/>
  <c r="GN59" i="3"/>
  <c r="GB59" i="3"/>
  <c r="FP59" i="3"/>
  <c r="FD59" i="3"/>
  <c r="ER59" i="3"/>
  <c r="EF59" i="3"/>
  <c r="DT59" i="3"/>
  <c r="DH59" i="3"/>
  <c r="CV59" i="3"/>
  <c r="CJ59" i="3"/>
  <c r="BX59" i="3"/>
  <c r="BL59" i="3"/>
  <c r="AZ59" i="3"/>
  <c r="AN59" i="3"/>
  <c r="AB59" i="3"/>
  <c r="GX58" i="3"/>
  <c r="GK58" i="3"/>
  <c r="FX58" i="3"/>
  <c r="FK58" i="3"/>
  <c r="EX58" i="3"/>
  <c r="EK58" i="3"/>
  <c r="DW58" i="3"/>
  <c r="DJ58" i="3"/>
  <c r="CV58" i="3"/>
  <c r="CG58" i="3"/>
  <c r="BS58" i="3"/>
  <c r="BE58" i="3"/>
  <c r="AP58" i="3"/>
  <c r="AB58" i="3"/>
  <c r="GU57" i="3"/>
  <c r="GG57" i="3"/>
  <c r="FS57" i="3"/>
  <c r="FD57" i="3"/>
  <c r="EP57" i="3"/>
  <c r="EA57" i="3"/>
  <c r="DM57" i="3"/>
  <c r="CY57" i="3"/>
  <c r="CJ57" i="3"/>
  <c r="BV57" i="3"/>
  <c r="BG57" i="3"/>
  <c r="AS57" i="3"/>
  <c r="AE57" i="3"/>
  <c r="GX56" i="3"/>
  <c r="GJ56" i="3"/>
  <c r="FU56" i="3"/>
  <c r="FG56" i="3"/>
  <c r="EQ56" i="3"/>
  <c r="DY56" i="3"/>
  <c r="DG56" i="3"/>
  <c r="CO56" i="3"/>
  <c r="BW56" i="3"/>
  <c r="BE56" i="3"/>
  <c r="AM56" i="3"/>
  <c r="U56" i="3"/>
  <c r="GK55" i="3"/>
  <c r="FS55" i="3"/>
  <c r="FA55" i="3"/>
  <c r="EI55" i="3"/>
  <c r="DQ55" i="3"/>
  <c r="CY55" i="3"/>
  <c r="CG55" i="3"/>
  <c r="BO55" i="3"/>
  <c r="AW55" i="3"/>
  <c r="AE55" i="3"/>
  <c r="GU54" i="3"/>
  <c r="GC54" i="3"/>
  <c r="FK54" i="3"/>
  <c r="ES54" i="3"/>
  <c r="DY54" i="3"/>
  <c r="DC54" i="3"/>
  <c r="CJ54" i="3"/>
  <c r="BN54" i="3"/>
  <c r="AS54" i="3"/>
  <c r="GY53" i="3"/>
  <c r="FP53" i="3"/>
  <c r="DT53" i="3"/>
  <c r="BX53" i="3"/>
  <c r="AB53" i="3"/>
  <c r="FN52" i="3"/>
  <c r="DQ52" i="3"/>
  <c r="FZ51" i="3"/>
  <c r="GQ50" i="3"/>
  <c r="Z50" i="3"/>
  <c r="GT48" i="3"/>
  <c r="EY47" i="3"/>
  <c r="Q2" i="3"/>
  <c r="T3" i="3"/>
  <c r="AF3" i="3"/>
  <c r="AR3" i="3"/>
  <c r="BD3" i="3"/>
  <c r="BP3" i="3"/>
  <c r="CB3" i="3"/>
  <c r="CN3" i="3"/>
  <c r="CZ3" i="3"/>
  <c r="DL3" i="3"/>
  <c r="DX3" i="3"/>
  <c r="EJ3" i="3"/>
  <c r="EV3" i="3"/>
  <c r="FH3" i="3"/>
  <c r="FT3" i="3"/>
  <c r="GF3" i="3"/>
  <c r="GR3" i="3"/>
  <c r="V4" i="3"/>
  <c r="AH4" i="3"/>
  <c r="AT4" i="3"/>
  <c r="BF4" i="3"/>
  <c r="BR4" i="3"/>
  <c r="CD4" i="3"/>
  <c r="CP4" i="3"/>
  <c r="DB4" i="3"/>
  <c r="DN4" i="3"/>
  <c r="DZ4" i="3"/>
  <c r="EL4" i="3"/>
  <c r="EX4" i="3"/>
  <c r="FJ4" i="3"/>
  <c r="FV4" i="3"/>
  <c r="GH4" i="3"/>
  <c r="GT4" i="3"/>
  <c r="X5" i="3"/>
  <c r="AJ5" i="3"/>
  <c r="AV5" i="3"/>
  <c r="BH5" i="3"/>
  <c r="BT5" i="3"/>
  <c r="CF5" i="3"/>
  <c r="CR5" i="3"/>
  <c r="DD5" i="3"/>
  <c r="DP5" i="3"/>
  <c r="EB5" i="3"/>
  <c r="EN5" i="3"/>
  <c r="EZ5" i="3"/>
  <c r="FL5" i="3"/>
  <c r="FX5" i="3"/>
  <c r="GJ5" i="3"/>
  <c r="GV5" i="3"/>
  <c r="Z6" i="3"/>
  <c r="AL6" i="3"/>
  <c r="AX6" i="3"/>
  <c r="BJ6" i="3"/>
  <c r="BV6" i="3"/>
  <c r="CH6" i="3"/>
  <c r="CT6" i="3"/>
  <c r="DF6" i="3"/>
  <c r="DR6" i="3"/>
  <c r="ED6" i="3"/>
  <c r="EP6" i="3"/>
  <c r="FB6" i="3"/>
  <c r="FN6" i="3"/>
  <c r="FZ6" i="3"/>
  <c r="GL6" i="3"/>
  <c r="GX6" i="3"/>
  <c r="X3" i="3"/>
  <c r="AJ3" i="3"/>
  <c r="AV3" i="3"/>
  <c r="BH3" i="3"/>
  <c r="BT3" i="3"/>
  <c r="CF3" i="3"/>
  <c r="CR3" i="3"/>
  <c r="DD3" i="3"/>
  <c r="DP3" i="3"/>
  <c r="EB3" i="3"/>
  <c r="EN3" i="3"/>
  <c r="EZ3" i="3"/>
  <c r="FL3" i="3"/>
  <c r="FX3" i="3"/>
  <c r="GJ3" i="3"/>
  <c r="GV3" i="3"/>
  <c r="Z4" i="3"/>
  <c r="AL4" i="3"/>
  <c r="AX4" i="3"/>
  <c r="BJ4" i="3"/>
  <c r="BV4" i="3"/>
  <c r="CH4" i="3"/>
  <c r="CT4" i="3"/>
  <c r="DF4" i="3"/>
  <c r="DR4" i="3"/>
  <c r="ED4" i="3"/>
  <c r="EP4" i="3"/>
  <c r="FB4" i="3"/>
  <c r="FN4" i="3"/>
  <c r="FZ4" i="3"/>
  <c r="GL4" i="3"/>
  <c r="GX4" i="3"/>
  <c r="AB5" i="3"/>
  <c r="AN5" i="3"/>
  <c r="AZ5" i="3"/>
  <c r="BL5" i="3"/>
  <c r="BX5" i="3"/>
  <c r="CJ5" i="3"/>
  <c r="CV5" i="3"/>
  <c r="DH5" i="3"/>
  <c r="DT5" i="3"/>
  <c r="EF5" i="3"/>
  <c r="ER5" i="3"/>
  <c r="FD5" i="3"/>
  <c r="Z3" i="3"/>
  <c r="AL3" i="3"/>
  <c r="AX3" i="3"/>
  <c r="BJ3" i="3"/>
  <c r="BV3" i="3"/>
  <c r="CH3" i="3"/>
  <c r="CT3" i="3"/>
  <c r="DF3" i="3"/>
  <c r="DR3" i="3"/>
  <c r="ED3" i="3"/>
  <c r="EP3" i="3"/>
  <c r="FB3" i="3"/>
  <c r="FN3" i="3"/>
  <c r="FZ3" i="3"/>
  <c r="GL3" i="3"/>
  <c r="GX3" i="3"/>
  <c r="AB4" i="3"/>
  <c r="AN4" i="3"/>
  <c r="AZ4" i="3"/>
  <c r="BL4" i="3"/>
  <c r="BX4" i="3"/>
  <c r="CJ4" i="3"/>
  <c r="CV4" i="3"/>
  <c r="DH4" i="3"/>
  <c r="DT4" i="3"/>
  <c r="EF4" i="3"/>
  <c r="ER4" i="3"/>
  <c r="FD4" i="3"/>
  <c r="FP4" i="3"/>
  <c r="GB4" i="3"/>
  <c r="GN4" i="3"/>
  <c r="GZ4" i="3"/>
  <c r="AD5" i="3"/>
  <c r="AP5" i="3"/>
  <c r="BB5" i="3"/>
  <c r="BN5" i="3"/>
  <c r="BZ5" i="3"/>
  <c r="CL5" i="3"/>
  <c r="CX5" i="3"/>
  <c r="DJ5" i="3"/>
  <c r="DV5" i="3"/>
  <c r="EH5" i="3"/>
  <c r="ET5" i="3"/>
  <c r="FF5" i="3"/>
  <c r="FR5" i="3"/>
  <c r="GD5" i="3"/>
  <c r="GP5" i="3"/>
  <c r="T6" i="3"/>
  <c r="AF6" i="3"/>
  <c r="AR6" i="3"/>
  <c r="BD6" i="3"/>
  <c r="BP6" i="3"/>
  <c r="CB6" i="3"/>
  <c r="CN6" i="3"/>
  <c r="CZ6" i="3"/>
  <c r="DL6" i="3"/>
  <c r="DX6" i="3"/>
  <c r="EJ6" i="3"/>
  <c r="EV6" i="3"/>
  <c r="FH6" i="3"/>
  <c r="FT6" i="3"/>
  <c r="GF6" i="3"/>
  <c r="GR6" i="3"/>
  <c r="AE3" i="3"/>
  <c r="AU3" i="3"/>
  <c r="BL3" i="3"/>
  <c r="CA3" i="3"/>
  <c r="CQ3" i="3"/>
  <c r="DH3" i="3"/>
  <c r="DW3" i="3"/>
  <c r="EM3" i="3"/>
  <c r="FD3" i="3"/>
  <c r="FS3" i="3"/>
  <c r="GI3" i="3"/>
  <c r="GZ3" i="3"/>
  <c r="AG4" i="3"/>
  <c r="AW4" i="3"/>
  <c r="BN4" i="3"/>
  <c r="CC4" i="3"/>
  <c r="CS4" i="3"/>
  <c r="DJ4" i="3"/>
  <c r="DY4" i="3"/>
  <c r="EO4" i="3"/>
  <c r="FF4" i="3"/>
  <c r="FU4" i="3"/>
  <c r="GK4" i="3"/>
  <c r="T5" i="3"/>
  <c r="AI5" i="3"/>
  <c r="AY5" i="3"/>
  <c r="BP5" i="3"/>
  <c r="CE5" i="3"/>
  <c r="CU5" i="3"/>
  <c r="DL5" i="3"/>
  <c r="EA5" i="3"/>
  <c r="EQ5" i="3"/>
  <c r="FH5" i="3"/>
  <c r="FV5" i="3"/>
  <c r="GK5" i="3"/>
  <c r="GY5" i="3"/>
  <c r="AE6" i="3"/>
  <c r="AT6" i="3"/>
  <c r="BH6" i="3"/>
  <c r="BW6" i="3"/>
  <c r="CK6" i="3"/>
  <c r="V3" i="3"/>
  <c r="AM3" i="3"/>
  <c r="BB3" i="3"/>
  <c r="BR3" i="3"/>
  <c r="CI3" i="3"/>
  <c r="CX3" i="3"/>
  <c r="DN3" i="3"/>
  <c r="EE3" i="3"/>
  <c r="ET3" i="3"/>
  <c r="FJ3" i="3"/>
  <c r="GA3" i="3"/>
  <c r="GP3" i="3"/>
  <c r="X4" i="3"/>
  <c r="AO4" i="3"/>
  <c r="BD4" i="3"/>
  <c r="BT4" i="3"/>
  <c r="CK4" i="3"/>
  <c r="CZ4" i="3"/>
  <c r="DP4" i="3"/>
  <c r="EG4" i="3"/>
  <c r="EV4" i="3"/>
  <c r="FL4" i="3"/>
  <c r="GC4" i="3"/>
  <c r="GR4" i="3"/>
  <c r="Z5" i="3"/>
  <c r="AQ5" i="3"/>
  <c r="BF5" i="3"/>
  <c r="BV5" i="3"/>
  <c r="CM5" i="3"/>
  <c r="DB5" i="3"/>
  <c r="DR5" i="3"/>
  <c r="EI5" i="3"/>
  <c r="EX5" i="3"/>
  <c r="FN5" i="3"/>
  <c r="GB5" i="3"/>
  <c r="GQ5" i="3"/>
  <c r="W6" i="3"/>
  <c r="AK6" i="3"/>
  <c r="AZ6" i="3"/>
  <c r="BN6" i="3"/>
  <c r="CC6" i="3"/>
  <c r="CQ6" i="3"/>
  <c r="DE6" i="3"/>
  <c r="DT6" i="3"/>
  <c r="EH6" i="3"/>
  <c r="EW6" i="3"/>
  <c r="FK6" i="3"/>
  <c r="FY6" i="3"/>
  <c r="GN6" i="3"/>
  <c r="T7" i="3"/>
  <c r="AF7" i="3"/>
  <c r="AR7" i="3"/>
  <c r="BD7" i="3"/>
  <c r="BP7" i="3"/>
  <c r="CB7" i="3"/>
  <c r="CN7" i="3"/>
  <c r="CZ7" i="3"/>
  <c r="DL7" i="3"/>
  <c r="DX7" i="3"/>
  <c r="EJ7" i="3"/>
  <c r="EV7" i="3"/>
  <c r="FH7" i="3"/>
  <c r="FT7" i="3"/>
  <c r="GF7" i="3"/>
  <c r="GR7" i="3"/>
  <c r="V8" i="3"/>
  <c r="AH8" i="3"/>
  <c r="AT8" i="3"/>
  <c r="BF8" i="3"/>
  <c r="BR8" i="3"/>
  <c r="CD8" i="3"/>
  <c r="CP8" i="3"/>
  <c r="DB8" i="3"/>
  <c r="W3" i="3"/>
  <c r="AN3" i="3"/>
  <c r="BC3" i="3"/>
  <c r="BS3" i="3"/>
  <c r="CJ3" i="3"/>
  <c r="CY3" i="3"/>
  <c r="DO3" i="3"/>
  <c r="EF3" i="3"/>
  <c r="EU3" i="3"/>
  <c r="FK3" i="3"/>
  <c r="GB3" i="3"/>
  <c r="GQ3" i="3"/>
  <c r="Y4" i="3"/>
  <c r="AP4" i="3"/>
  <c r="BE4" i="3"/>
  <c r="BU4" i="3"/>
  <c r="CL4" i="3"/>
  <c r="DA4" i="3"/>
  <c r="DQ4" i="3"/>
  <c r="EH4" i="3"/>
  <c r="EW4" i="3"/>
  <c r="FM4" i="3"/>
  <c r="GD4" i="3"/>
  <c r="GS4" i="3"/>
  <c r="AA5" i="3"/>
  <c r="AR5" i="3"/>
  <c r="BG5" i="3"/>
  <c r="BW5" i="3"/>
  <c r="CN5" i="3"/>
  <c r="DC5" i="3"/>
  <c r="DS5" i="3"/>
  <c r="EJ5" i="3"/>
  <c r="EY5" i="3"/>
  <c r="FO5" i="3"/>
  <c r="GC5" i="3"/>
  <c r="GR5" i="3"/>
  <c r="X6" i="3"/>
  <c r="AM6" i="3"/>
  <c r="BA6" i="3"/>
  <c r="BO6" i="3"/>
  <c r="CD6" i="3"/>
  <c r="CR6" i="3"/>
  <c r="DG6" i="3"/>
  <c r="DU6" i="3"/>
  <c r="EI6" i="3"/>
  <c r="EX6" i="3"/>
  <c r="FL6" i="3"/>
  <c r="GA6" i="3"/>
  <c r="GO6" i="3"/>
  <c r="U7" i="3"/>
  <c r="AG7" i="3"/>
  <c r="AS7" i="3"/>
  <c r="BE7" i="3"/>
  <c r="BQ7" i="3"/>
  <c r="CC7" i="3"/>
  <c r="CO7" i="3"/>
  <c r="DA7" i="3"/>
  <c r="DM7" i="3"/>
  <c r="DY7" i="3"/>
  <c r="EK7" i="3"/>
  <c r="EW7" i="3"/>
  <c r="FI7" i="3"/>
  <c r="Y3" i="3"/>
  <c r="AO3" i="3"/>
  <c r="BE3" i="3"/>
  <c r="BU3" i="3"/>
  <c r="CK3" i="3"/>
  <c r="DA3" i="3"/>
  <c r="DQ3" i="3"/>
  <c r="EG3" i="3"/>
  <c r="EW3" i="3"/>
  <c r="FM3" i="3"/>
  <c r="GC3" i="3"/>
  <c r="GS3" i="3"/>
  <c r="AA4" i="3"/>
  <c r="AQ4" i="3"/>
  <c r="BG4" i="3"/>
  <c r="BW4" i="3"/>
  <c r="CM4" i="3"/>
  <c r="DC4" i="3"/>
  <c r="DS4" i="3"/>
  <c r="EI4" i="3"/>
  <c r="EY4" i="3"/>
  <c r="FO4" i="3"/>
  <c r="GE4" i="3"/>
  <c r="GU4" i="3"/>
  <c r="AC5" i="3"/>
  <c r="AS5" i="3"/>
  <c r="BI5" i="3"/>
  <c r="BY5" i="3"/>
  <c r="CO5" i="3"/>
  <c r="DE5" i="3"/>
  <c r="DU5" i="3"/>
  <c r="EK5" i="3"/>
  <c r="FA5" i="3"/>
  <c r="FP5" i="3"/>
  <c r="GE5" i="3"/>
  <c r="GS5" i="3"/>
  <c r="Y6" i="3"/>
  <c r="AN6" i="3"/>
  <c r="BB6" i="3"/>
  <c r="BQ6" i="3"/>
  <c r="CE6" i="3"/>
  <c r="CS6" i="3"/>
  <c r="DH6" i="3"/>
  <c r="DV6" i="3"/>
  <c r="EK6" i="3"/>
  <c r="EY6" i="3"/>
  <c r="FM6" i="3"/>
  <c r="GB6" i="3"/>
  <c r="GP6" i="3"/>
  <c r="V7" i="3"/>
  <c r="AH7" i="3"/>
  <c r="AD3" i="3"/>
  <c r="AT3" i="3"/>
  <c r="BK3" i="3"/>
  <c r="BZ3" i="3"/>
  <c r="CP3" i="3"/>
  <c r="DG3" i="3"/>
  <c r="DV3" i="3"/>
  <c r="EL3" i="3"/>
  <c r="FC3" i="3"/>
  <c r="FR3" i="3"/>
  <c r="GH3" i="3"/>
  <c r="GY3" i="3"/>
  <c r="AF4" i="3"/>
  <c r="AV4" i="3"/>
  <c r="BM4" i="3"/>
  <c r="CB4" i="3"/>
  <c r="CR4" i="3"/>
  <c r="DI4" i="3"/>
  <c r="DX4" i="3"/>
  <c r="EN4" i="3"/>
  <c r="FE4" i="3"/>
  <c r="FT4" i="3"/>
  <c r="GJ4" i="3"/>
  <c r="S5" i="3"/>
  <c r="AH5" i="3"/>
  <c r="AX5" i="3"/>
  <c r="BO5" i="3"/>
  <c r="CD5" i="3"/>
  <c r="CT5" i="3"/>
  <c r="DK5" i="3"/>
  <c r="DZ5" i="3"/>
  <c r="EP5" i="3"/>
  <c r="FG5" i="3"/>
  <c r="FU5" i="3"/>
  <c r="GI5" i="3"/>
  <c r="GX5" i="3"/>
  <c r="AD6" i="3"/>
  <c r="AS6" i="3"/>
  <c r="BG6" i="3"/>
  <c r="BU6" i="3"/>
  <c r="CJ6" i="3"/>
  <c r="CX6" i="3"/>
  <c r="DM6" i="3"/>
  <c r="EA6" i="3"/>
  <c r="EO6" i="3"/>
  <c r="FD6" i="3"/>
  <c r="FR6" i="3"/>
  <c r="GG6" i="3"/>
  <c r="GU6" i="3"/>
  <c r="Z7" i="3"/>
  <c r="AL7" i="3"/>
  <c r="AX7" i="3"/>
  <c r="BJ7" i="3"/>
  <c r="BV7" i="3"/>
  <c r="CH7" i="3"/>
  <c r="CT7" i="3"/>
  <c r="DF7" i="3"/>
  <c r="DR7" i="3"/>
  <c r="ED7" i="3"/>
  <c r="EP7" i="3"/>
  <c r="FB7" i="3"/>
  <c r="FN7" i="3"/>
  <c r="FZ7" i="3"/>
  <c r="GL7" i="3"/>
  <c r="GX7" i="3"/>
  <c r="AB8" i="3"/>
  <c r="AN8" i="3"/>
  <c r="AZ8" i="3"/>
  <c r="BL8" i="3"/>
  <c r="BX8" i="3"/>
  <c r="CJ8" i="3"/>
  <c r="CV8" i="3"/>
  <c r="DH8" i="3"/>
  <c r="AB3" i="3"/>
  <c r="BA3" i="3"/>
  <c r="CD3" i="3"/>
  <c r="DE3" i="3"/>
  <c r="EH3" i="3"/>
  <c r="FG3" i="3"/>
  <c r="GK3" i="3"/>
  <c r="AD4" i="3"/>
  <c r="BC4" i="3"/>
  <c r="CF4" i="3"/>
  <c r="DG4" i="3"/>
  <c r="EJ4" i="3"/>
  <c r="FI4" i="3"/>
  <c r="GM4" i="3"/>
  <c r="AF5" i="3"/>
  <c r="BE5" i="3"/>
  <c r="CH5" i="3"/>
  <c r="DI5" i="3"/>
  <c r="EL5" i="3"/>
  <c r="FK5" i="3"/>
  <c r="GL5" i="3"/>
  <c r="AB6" i="3"/>
  <c r="AY6" i="3"/>
  <c r="BY6" i="3"/>
  <c r="CW6" i="3"/>
  <c r="DQ6" i="3"/>
  <c r="EN6" i="3"/>
  <c r="FI6" i="3"/>
  <c r="GE6" i="3"/>
  <c r="GZ6" i="3"/>
  <c r="AK7" i="3"/>
  <c r="BA7" i="3"/>
  <c r="BR7" i="3"/>
  <c r="CG7" i="3"/>
  <c r="CW7" i="3"/>
  <c r="DN7" i="3"/>
  <c r="EC7" i="3"/>
  <c r="ES7" i="3"/>
  <c r="FJ7" i="3"/>
  <c r="FX7" i="3"/>
  <c r="GM7" i="3"/>
  <c r="S8" i="3"/>
  <c r="AG8" i="3"/>
  <c r="AV8" i="3"/>
  <c r="AI3" i="3"/>
  <c r="BM3" i="3"/>
  <c r="CM3" i="3"/>
  <c r="DM3" i="3"/>
  <c r="EQ3" i="3"/>
  <c r="FQ3" i="3"/>
  <c r="GT3" i="3"/>
  <c r="AK4" i="3"/>
  <c r="BO4" i="3"/>
  <c r="CO4" i="3"/>
  <c r="DO4" i="3"/>
  <c r="ES4" i="3"/>
  <c r="FS4" i="3"/>
  <c r="GV4" i="3"/>
  <c r="AM5" i="3"/>
  <c r="BQ5" i="3"/>
  <c r="CQ5" i="3"/>
  <c r="DQ5" i="3"/>
  <c r="EU5" i="3"/>
  <c r="FT5" i="3"/>
  <c r="GT5" i="3"/>
  <c r="AI6" i="3"/>
  <c r="BI6" i="3"/>
  <c r="CG6" i="3"/>
  <c r="DC6" i="3"/>
  <c r="DZ6" i="3"/>
  <c r="ET6" i="3"/>
  <c r="FQ6" i="3"/>
  <c r="GK6" i="3"/>
  <c r="Y7" i="3"/>
  <c r="AP7" i="3"/>
  <c r="BG7" i="3"/>
  <c r="BW7" i="3"/>
  <c r="CL7" i="3"/>
  <c r="DC7" i="3"/>
  <c r="DS7" i="3"/>
  <c r="EH7" i="3"/>
  <c r="EY7" i="3"/>
  <c r="FO7" i="3"/>
  <c r="GC7" i="3"/>
  <c r="GQ7" i="3"/>
  <c r="X8" i="3"/>
  <c r="AL8" i="3"/>
  <c r="BA8" i="3"/>
  <c r="BO8" i="3"/>
  <c r="CC8" i="3"/>
  <c r="CR8" i="3"/>
  <c r="DF8" i="3"/>
  <c r="DS8" i="3"/>
  <c r="EE8" i="3"/>
  <c r="EQ8" i="3"/>
  <c r="FC8" i="3"/>
  <c r="FO8" i="3"/>
  <c r="GA8" i="3"/>
  <c r="GM8" i="3"/>
  <c r="GY8" i="3"/>
  <c r="AC9" i="3"/>
  <c r="AO9" i="3"/>
  <c r="BA9" i="3"/>
  <c r="BM9" i="3"/>
  <c r="BY9" i="3"/>
  <c r="CK9" i="3"/>
  <c r="CW9" i="3"/>
  <c r="DI9" i="3"/>
  <c r="DU9" i="3"/>
  <c r="EG9" i="3"/>
  <c r="ES9" i="3"/>
  <c r="FE9" i="3"/>
  <c r="FQ9" i="3"/>
  <c r="GC9" i="3"/>
  <c r="GO9" i="3"/>
  <c r="S10" i="3"/>
  <c r="AE10" i="3"/>
  <c r="AQ10" i="3"/>
  <c r="BC10" i="3"/>
  <c r="BO10" i="3"/>
  <c r="CA10" i="3"/>
  <c r="CM10" i="3"/>
  <c r="CY10" i="3"/>
  <c r="DK10" i="3"/>
  <c r="DW10" i="3"/>
  <c r="EI10" i="3"/>
  <c r="EU10" i="3"/>
  <c r="FG10" i="3"/>
  <c r="FS10" i="3"/>
  <c r="GE10" i="3"/>
  <c r="GQ10" i="3"/>
  <c r="U11" i="3"/>
  <c r="AG11" i="3"/>
  <c r="AS11" i="3"/>
  <c r="BE11" i="3"/>
  <c r="AP3" i="3"/>
  <c r="BO3" i="3"/>
  <c r="CS3" i="3"/>
  <c r="DT3" i="3"/>
  <c r="ES3" i="3"/>
  <c r="FV3" i="3"/>
  <c r="GW3" i="3"/>
  <c r="AR4" i="3"/>
  <c r="BQ4" i="3"/>
  <c r="CU4" i="3"/>
  <c r="DV4" i="3"/>
  <c r="EU4" i="3"/>
  <c r="FX4" i="3"/>
  <c r="GY4" i="3"/>
  <c r="AT5" i="3"/>
  <c r="BS5" i="3"/>
  <c r="CW5" i="3"/>
  <c r="DX5" i="3"/>
  <c r="EW5" i="3"/>
  <c r="FY5" i="3"/>
  <c r="GW5" i="3"/>
  <c r="AO6" i="3"/>
  <c r="BL6" i="3"/>
  <c r="CL6" i="3"/>
  <c r="DI6" i="3"/>
  <c r="EC6" i="3"/>
  <c r="EZ6" i="3"/>
  <c r="FU6" i="3"/>
  <c r="GQ6" i="3"/>
  <c r="AB7" i="3"/>
  <c r="AT7" i="3"/>
  <c r="BI7" i="3"/>
  <c r="BY7" i="3"/>
  <c r="CP7" i="3"/>
  <c r="DE7" i="3"/>
  <c r="DU7" i="3"/>
  <c r="EL7" i="3"/>
  <c r="FA7" i="3"/>
  <c r="FQ7" i="3"/>
  <c r="GE7" i="3"/>
  <c r="GT7" i="3"/>
  <c r="Z8" i="3"/>
  <c r="AO8" i="3"/>
  <c r="BC8" i="3"/>
  <c r="BQ8" i="3"/>
  <c r="CF8" i="3"/>
  <c r="CT8" i="3"/>
  <c r="DI8" i="3"/>
  <c r="DU8" i="3"/>
  <c r="EG8" i="3"/>
  <c r="ES8" i="3"/>
  <c r="FE8" i="3"/>
  <c r="FQ8" i="3"/>
  <c r="GC8" i="3"/>
  <c r="GO8" i="3"/>
  <c r="S9" i="3"/>
  <c r="AE9" i="3"/>
  <c r="AQ9" i="3"/>
  <c r="BC9" i="3"/>
  <c r="BO9" i="3"/>
  <c r="AQ3" i="3"/>
  <c r="BQ3" i="3"/>
  <c r="CU3" i="3"/>
  <c r="DU3" i="3"/>
  <c r="EX3" i="3"/>
  <c r="FW3" i="3"/>
  <c r="S4" i="3"/>
  <c r="AS4" i="3"/>
  <c r="BS4" i="3"/>
  <c r="CW4" i="3"/>
  <c r="DW4" i="3"/>
  <c r="EZ4" i="3"/>
  <c r="FY4" i="3"/>
  <c r="U5" i="3"/>
  <c r="AU5" i="3"/>
  <c r="BU5" i="3"/>
  <c r="CY5" i="3"/>
  <c r="DY5" i="3"/>
  <c r="FB5" i="3"/>
  <c r="FZ5" i="3"/>
  <c r="GZ5" i="3"/>
  <c r="AP6" i="3"/>
  <c r="BM6" i="3"/>
  <c r="CM6" i="3"/>
  <c r="DJ6" i="3"/>
  <c r="EE6" i="3"/>
  <c r="FA6" i="3"/>
  <c r="FV6" i="3"/>
  <c r="GS6" i="3"/>
  <c r="AC7" i="3"/>
  <c r="AU7" i="3"/>
  <c r="BK7" i="3"/>
  <c r="BZ7" i="3"/>
  <c r="CQ7" i="3"/>
  <c r="DG7" i="3"/>
  <c r="DV7" i="3"/>
  <c r="EM7" i="3"/>
  <c r="FC7" i="3"/>
  <c r="FR7" i="3"/>
  <c r="GG7" i="3"/>
  <c r="GU7" i="3"/>
  <c r="AA8" i="3"/>
  <c r="U3" i="3"/>
  <c r="AY3" i="3"/>
  <c r="BY3" i="3"/>
  <c r="DB3" i="3"/>
  <c r="EA3" i="3"/>
  <c r="FE3" i="3"/>
  <c r="GE3" i="3"/>
  <c r="W4" i="3"/>
  <c r="BA4" i="3"/>
  <c r="CA4" i="3"/>
  <c r="DD4" i="3"/>
  <c r="EC4" i="3"/>
  <c r="FG4" i="3"/>
  <c r="GG4" i="3"/>
  <c r="Y5" i="3"/>
  <c r="BC5" i="3"/>
  <c r="CC5" i="3"/>
  <c r="DF5" i="3"/>
  <c r="EE5" i="3"/>
  <c r="FI5" i="3"/>
  <c r="GG5" i="3"/>
  <c r="V6" i="3"/>
  <c r="AV6" i="3"/>
  <c r="BT6" i="3"/>
  <c r="CU6" i="3"/>
  <c r="DO6" i="3"/>
  <c r="EL6" i="3"/>
  <c r="FF6" i="3"/>
  <c r="GC6" i="3"/>
  <c r="GW6" i="3"/>
  <c r="AI7" i="3"/>
  <c r="AY7" i="3"/>
  <c r="BN7" i="3"/>
  <c r="CE7" i="3"/>
  <c r="CU7" i="3"/>
  <c r="DJ7" i="3"/>
  <c r="EA7" i="3"/>
  <c r="EQ7" i="3"/>
  <c r="FF7" i="3"/>
  <c r="FV7" i="3"/>
  <c r="GJ7" i="3"/>
  <c r="GY7" i="3"/>
  <c r="AE8" i="3"/>
  <c r="AS8" i="3"/>
  <c r="BH8" i="3"/>
  <c r="BV8" i="3"/>
  <c r="CK8" i="3"/>
  <c r="CY8" i="3"/>
  <c r="DM8" i="3"/>
  <c r="DY8" i="3"/>
  <c r="EK8" i="3"/>
  <c r="EW8" i="3"/>
  <c r="FI8" i="3"/>
  <c r="FU8" i="3"/>
  <c r="GG8" i="3"/>
  <c r="GS8" i="3"/>
  <c r="W9" i="3"/>
  <c r="AI9" i="3"/>
  <c r="AU9" i="3"/>
  <c r="BG9" i="3"/>
  <c r="BS9" i="3"/>
  <c r="CE9" i="3"/>
  <c r="CQ9" i="3"/>
  <c r="DC9" i="3"/>
  <c r="DO9" i="3"/>
  <c r="EA9" i="3"/>
  <c r="EM9" i="3"/>
  <c r="EY9" i="3"/>
  <c r="FK9" i="3"/>
  <c r="FW9" i="3"/>
  <c r="GI9" i="3"/>
  <c r="GU9" i="3"/>
  <c r="Y10" i="3"/>
  <c r="AK10" i="3"/>
  <c r="AW10" i="3"/>
  <c r="BI10" i="3"/>
  <c r="BU10" i="3"/>
  <c r="CG10" i="3"/>
  <c r="CS10" i="3"/>
  <c r="DE10" i="3"/>
  <c r="AZ3" i="3"/>
  <c r="CV3" i="3"/>
  <c r="EO3" i="3"/>
  <c r="GM3" i="3"/>
  <c r="AY4" i="3"/>
  <c r="CQ4" i="3"/>
  <c r="EM4" i="3"/>
  <c r="GI4" i="3"/>
  <c r="AW5" i="3"/>
  <c r="CP5" i="3"/>
  <c r="EM5" i="3"/>
  <c r="GF5" i="3"/>
  <c r="AJ6" i="3"/>
  <c r="CA6" i="3"/>
  <c r="DP6" i="3"/>
  <c r="FC6" i="3"/>
  <c r="GJ6" i="3"/>
  <c r="AM7" i="3"/>
  <c r="BM7" i="3"/>
  <c r="CM7" i="3"/>
  <c r="DP7" i="3"/>
  <c r="ER7" i="3"/>
  <c r="FS7" i="3"/>
  <c r="GP7" i="3"/>
  <c r="AI8" i="3"/>
  <c r="BD8" i="3"/>
  <c r="BW8" i="3"/>
  <c r="CO8" i="3"/>
  <c r="DJ8" i="3"/>
  <c r="DZ8" i="3"/>
  <c r="EO8" i="3"/>
  <c r="FF8" i="3"/>
  <c r="FV8" i="3"/>
  <c r="GK8" i="3"/>
  <c r="AA3" i="3"/>
  <c r="BW3" i="3"/>
  <c r="DK3" i="3"/>
  <c r="FI3" i="3"/>
  <c r="U4" i="3"/>
  <c r="BP4" i="3"/>
  <c r="DL4" i="3"/>
  <c r="FH4" i="3"/>
  <c r="V5" i="3"/>
  <c r="BM5" i="3"/>
  <c r="DM5" i="3"/>
  <c r="FE5" i="3"/>
  <c r="GU5" i="3"/>
  <c r="BE6" i="3"/>
  <c r="CV6" i="3"/>
  <c r="EF6" i="3"/>
  <c r="FP6" i="3"/>
  <c r="S7" i="3"/>
  <c r="AW7" i="3"/>
  <c r="BX7" i="3"/>
  <c r="CY7" i="3"/>
  <c r="EB7" i="3"/>
  <c r="FD7" i="3"/>
  <c r="GB7" i="3"/>
  <c r="T8" i="3"/>
  <c r="AQ8" i="3"/>
  <c r="BK8" i="3"/>
  <c r="CE8" i="3"/>
  <c r="CX8" i="3"/>
  <c r="DP8" i="3"/>
  <c r="EF8" i="3"/>
  <c r="EV8" i="3"/>
  <c r="FL8" i="3"/>
  <c r="GB8" i="3"/>
  <c r="GR8" i="3"/>
  <c r="Z9" i="3"/>
  <c r="AP9" i="3"/>
  <c r="BF9" i="3"/>
  <c r="BV9" i="3"/>
  <c r="CJ9" i="3"/>
  <c r="CY9" i="3"/>
  <c r="DM9" i="3"/>
  <c r="EB9" i="3"/>
  <c r="EP9" i="3"/>
  <c r="FD9" i="3"/>
  <c r="FS9" i="3"/>
  <c r="GG9" i="3"/>
  <c r="GV9" i="3"/>
  <c r="AB10" i="3"/>
  <c r="AP10" i="3"/>
  <c r="BE10" i="3"/>
  <c r="BS10" i="3"/>
  <c r="CH10" i="3"/>
  <c r="CV10" i="3"/>
  <c r="DJ10" i="3"/>
  <c r="DX10" i="3"/>
  <c r="EK10" i="3"/>
  <c r="EX10" i="3"/>
  <c r="FK10" i="3"/>
  <c r="FX10" i="3"/>
  <c r="GK10" i="3"/>
  <c r="GX10" i="3"/>
  <c r="AC11" i="3"/>
  <c r="AP11" i="3"/>
  <c r="BC11" i="3"/>
  <c r="BP11" i="3"/>
  <c r="CB11" i="3"/>
  <c r="CN11" i="3"/>
  <c r="CZ11" i="3"/>
  <c r="DL11" i="3"/>
  <c r="DX11" i="3"/>
  <c r="EJ11" i="3"/>
  <c r="EV11" i="3"/>
  <c r="FH11" i="3"/>
  <c r="FT11" i="3"/>
  <c r="GF11" i="3"/>
  <c r="GR11" i="3"/>
  <c r="V12" i="3"/>
  <c r="AH12" i="3"/>
  <c r="AT12" i="3"/>
  <c r="BF12" i="3"/>
  <c r="BR12" i="3"/>
  <c r="CD12" i="3"/>
  <c r="AC3" i="3"/>
  <c r="BX3" i="3"/>
  <c r="DS3" i="3"/>
  <c r="FO3" i="3"/>
  <c r="AC4" i="3"/>
  <c r="BY4" i="3"/>
  <c r="DM4" i="3"/>
  <c r="FK4" i="3"/>
  <c r="W5" i="3"/>
  <c r="BR5" i="3"/>
  <c r="DN5" i="3"/>
  <c r="FJ5" i="3"/>
  <c r="S6" i="3"/>
  <c r="BF6" i="3"/>
  <c r="CY6" i="3"/>
  <c r="EG6" i="3"/>
  <c r="FS6" i="3"/>
  <c r="W7" i="3"/>
  <c r="AZ7" i="3"/>
  <c r="CA7" i="3"/>
  <c r="DB7" i="3"/>
  <c r="EE7" i="3"/>
  <c r="FE7" i="3"/>
  <c r="GD7" i="3"/>
  <c r="U8" i="3"/>
  <c r="AR8" i="3"/>
  <c r="BM8" i="3"/>
  <c r="CG8" i="3"/>
  <c r="CZ8" i="3"/>
  <c r="DQ8" i="3"/>
  <c r="EH8" i="3"/>
  <c r="EX8" i="3"/>
  <c r="FM8" i="3"/>
  <c r="GD8" i="3"/>
  <c r="GT8" i="3"/>
  <c r="AA9" i="3"/>
  <c r="AR9" i="3"/>
  <c r="BH9" i="3"/>
  <c r="BW9" i="3"/>
  <c r="CL9" i="3"/>
  <c r="CZ9" i="3"/>
  <c r="DN9" i="3"/>
  <c r="EC9" i="3"/>
  <c r="EQ9" i="3"/>
  <c r="FF9" i="3"/>
  <c r="FT9" i="3"/>
  <c r="GH9" i="3"/>
  <c r="GW9" i="3"/>
  <c r="AC10" i="3"/>
  <c r="AR10" i="3"/>
  <c r="BF10" i="3"/>
  <c r="BT10" i="3"/>
  <c r="CI10" i="3"/>
  <c r="CW10" i="3"/>
  <c r="DL10" i="3"/>
  <c r="DY10" i="3"/>
  <c r="EL10" i="3"/>
  <c r="AG3" i="3"/>
  <c r="CC3" i="3"/>
  <c r="DY3" i="3"/>
  <c r="FP3" i="3"/>
  <c r="AE4" i="3"/>
  <c r="BZ4" i="3"/>
  <c r="DU4" i="3"/>
  <c r="FQ4" i="3"/>
  <c r="AE5" i="3"/>
  <c r="CA5" i="3"/>
  <c r="DO5" i="3"/>
  <c r="FM5" i="3"/>
  <c r="U6" i="3"/>
  <c r="BK6" i="3"/>
  <c r="DA6" i="3"/>
  <c r="EM6" i="3"/>
  <c r="FW6" i="3"/>
  <c r="X7" i="3"/>
  <c r="BB7" i="3"/>
  <c r="CD7" i="3"/>
  <c r="DD7" i="3"/>
  <c r="EF7" i="3"/>
  <c r="FG7" i="3"/>
  <c r="GH7" i="3"/>
  <c r="W8" i="3"/>
  <c r="AU8" i="3"/>
  <c r="BN8" i="3"/>
  <c r="CH8" i="3"/>
  <c r="DA8" i="3"/>
  <c r="DR8" i="3"/>
  <c r="EI8" i="3"/>
  <c r="EY8" i="3"/>
  <c r="FN8" i="3"/>
  <c r="GE8" i="3"/>
  <c r="AW3" i="3"/>
  <c r="CO3" i="3"/>
  <c r="EK3" i="3"/>
  <c r="GG3" i="3"/>
  <c r="AU4" i="3"/>
  <c r="CN4" i="3"/>
  <c r="EK4" i="3"/>
  <c r="GF4" i="3"/>
  <c r="AO5" i="3"/>
  <c r="CK5" i="3"/>
  <c r="EG5" i="3"/>
  <c r="GA5" i="3"/>
  <c r="AH6" i="3"/>
  <c r="BZ6" i="3"/>
  <c r="DN6" i="3"/>
  <c r="EU6" i="3"/>
  <c r="GI6" i="3"/>
  <c r="AJ7" i="3"/>
  <c r="BL7" i="3"/>
  <c r="CK7" i="3"/>
  <c r="DO7" i="3"/>
  <c r="EO7" i="3"/>
  <c r="FP7" i="3"/>
  <c r="GO7" i="3"/>
  <c r="AF8" i="3"/>
  <c r="BB8" i="3"/>
  <c r="BU8" i="3"/>
  <c r="CN8" i="3"/>
  <c r="DG8" i="3"/>
  <c r="DX8" i="3"/>
  <c r="EN8" i="3"/>
  <c r="FD8" i="3"/>
  <c r="FT8" i="3"/>
  <c r="GJ8" i="3"/>
  <c r="GZ8" i="3"/>
  <c r="AH9" i="3"/>
  <c r="AX9" i="3"/>
  <c r="BN9" i="3"/>
  <c r="CC9" i="3"/>
  <c r="CR9" i="3"/>
  <c r="DF9" i="3"/>
  <c r="DT9" i="3"/>
  <c r="EI9" i="3"/>
  <c r="EW9" i="3"/>
  <c r="FL9" i="3"/>
  <c r="FZ9" i="3"/>
  <c r="GN9" i="3"/>
  <c r="U10" i="3"/>
  <c r="AI10" i="3"/>
  <c r="AX10" i="3"/>
  <c r="BL10" i="3"/>
  <c r="BZ10" i="3"/>
  <c r="CO10" i="3"/>
  <c r="DC10" i="3"/>
  <c r="DQ10" i="3"/>
  <c r="ED10" i="3"/>
  <c r="EQ10" i="3"/>
  <c r="FD10" i="3"/>
  <c r="FQ10" i="3"/>
  <c r="GD10" i="3"/>
  <c r="GR10" i="3"/>
  <c r="W11" i="3"/>
  <c r="AJ11" i="3"/>
  <c r="AW11" i="3"/>
  <c r="BJ11" i="3"/>
  <c r="BV11" i="3"/>
  <c r="CH11" i="3"/>
  <c r="CT11" i="3"/>
  <c r="DF11" i="3"/>
  <c r="DR11" i="3"/>
  <c r="ED11" i="3"/>
  <c r="EP11" i="3"/>
  <c r="FB11" i="3"/>
  <c r="FN11" i="3"/>
  <c r="FZ11" i="3"/>
  <c r="GL11" i="3"/>
  <c r="GX11" i="3"/>
  <c r="AB12" i="3"/>
  <c r="AN12" i="3"/>
  <c r="AZ12" i="3"/>
  <c r="BL12" i="3"/>
  <c r="BX12" i="3"/>
  <c r="S3" i="3"/>
  <c r="DC3" i="3"/>
  <c r="GD3" i="3"/>
  <c r="CE4" i="3"/>
  <c r="FA4" i="3"/>
  <c r="BA5" i="3"/>
  <c r="EC5" i="3"/>
  <c r="GO5" i="3"/>
  <c r="CI6" i="3"/>
  <c r="ES6" i="3"/>
  <c r="AA7" i="3"/>
  <c r="BT7" i="3"/>
  <c r="DQ7" i="3"/>
  <c r="FL7" i="3"/>
  <c r="GZ7" i="3"/>
  <c r="BG8" i="3"/>
  <c r="CM8" i="3"/>
  <c r="DT8" i="3"/>
  <c r="ET8" i="3"/>
  <c r="FW8" i="3"/>
  <c r="GV8" i="3"/>
  <c r="AJ9" i="3"/>
  <c r="BD9" i="3"/>
  <c r="BZ9" i="3"/>
  <c r="CS9" i="3"/>
  <c r="DK9" i="3"/>
  <c r="EE9" i="3"/>
  <c r="EX9" i="3"/>
  <c r="FP9" i="3"/>
  <c r="GK9" i="3"/>
  <c r="V10" i="3"/>
  <c r="AN10" i="3"/>
  <c r="BH10" i="3"/>
  <c r="CB10" i="3"/>
  <c r="CT10" i="3"/>
  <c r="DN10" i="3"/>
  <c r="BF3" i="3"/>
  <c r="EC3" i="3"/>
  <c r="T4" i="3"/>
  <c r="CY4" i="3"/>
  <c r="GA4" i="3"/>
  <c r="CB5" i="3"/>
  <c r="EV5" i="3"/>
  <c r="AQ6" i="3"/>
  <c r="DD6" i="3"/>
  <c r="FO6" i="3"/>
  <c r="AO7" i="3"/>
  <c r="CJ7" i="3"/>
  <c r="EG7" i="3"/>
  <c r="FY7" i="3"/>
  <c r="AJ8" i="3"/>
  <c r="BS8" i="3"/>
  <c r="CW8" i="3"/>
  <c r="EB8" i="3"/>
  <c r="FB8" i="3"/>
  <c r="GF8" i="3"/>
  <c r="U9" i="3"/>
  <c r="AN9" i="3"/>
  <c r="BK9" i="3"/>
  <c r="CF9" i="3"/>
  <c r="CX9" i="3"/>
  <c r="DR9" i="3"/>
  <c r="EK9" i="3"/>
  <c r="FC9" i="3"/>
  <c r="FX9" i="3"/>
  <c r="GQ9" i="3"/>
  <c r="AA10" i="3"/>
  <c r="AU10" i="3"/>
  <c r="BN10" i="3"/>
  <c r="CF10" i="3"/>
  <c r="DA10" i="3"/>
  <c r="DS10" i="3"/>
  <c r="EJ10" i="3"/>
  <c r="FA10" i="3"/>
  <c r="FP10" i="3"/>
  <c r="GG10" i="3"/>
  <c r="GV10" i="3"/>
  <c r="AD11" i="3"/>
  <c r="AT11" i="3"/>
  <c r="BI11" i="3"/>
  <c r="BX11" i="3"/>
  <c r="CL11" i="3"/>
  <c r="DA11" i="3"/>
  <c r="DO11" i="3"/>
  <c r="EC11" i="3"/>
  <c r="ER11" i="3"/>
  <c r="FF11" i="3"/>
  <c r="FU11" i="3"/>
  <c r="GI11" i="3"/>
  <c r="GW11" i="3"/>
  <c r="AD12" i="3"/>
  <c r="AR12" i="3"/>
  <c r="BG12" i="3"/>
  <c r="BU12" i="3"/>
  <c r="CI12" i="3"/>
  <c r="CU12" i="3"/>
  <c r="DG12" i="3"/>
  <c r="DS12" i="3"/>
  <c r="EE12" i="3"/>
  <c r="EQ12" i="3"/>
  <c r="FC12" i="3"/>
  <c r="FO12" i="3"/>
  <c r="GA12" i="3"/>
  <c r="GM12" i="3"/>
  <c r="GY12" i="3"/>
  <c r="AC13" i="3"/>
  <c r="AO13" i="3"/>
  <c r="BA13" i="3"/>
  <c r="BM13" i="3"/>
  <c r="BY13" i="3"/>
  <c r="CK13" i="3"/>
  <c r="CW13" i="3"/>
  <c r="DI13" i="3"/>
  <c r="DU13" i="3"/>
  <c r="EG13" i="3"/>
  <c r="ES13" i="3"/>
  <c r="FE13" i="3"/>
  <c r="FQ13" i="3"/>
  <c r="GC13" i="3"/>
  <c r="GO13" i="3"/>
  <c r="S14" i="3"/>
  <c r="BI3" i="3"/>
  <c r="ER3" i="3"/>
  <c r="AJ4" i="3"/>
  <c r="DK4" i="3"/>
  <c r="GP4" i="3"/>
  <c r="CI5" i="3"/>
  <c r="FQ5" i="3"/>
  <c r="AW6" i="3"/>
  <c r="DS6" i="3"/>
  <c r="GD6" i="3"/>
  <c r="AV7" i="3"/>
  <c r="CS7" i="3"/>
  <c r="EN7" i="3"/>
  <c r="GI7" i="3"/>
  <c r="AM8" i="3"/>
  <c r="BY8" i="3"/>
  <c r="DD8" i="3"/>
  <c r="ED8" i="3"/>
  <c r="FH8" i="3"/>
  <c r="GI8" i="3"/>
  <c r="X9" i="3"/>
  <c r="AT9" i="3"/>
  <c r="BP9" i="3"/>
  <c r="CH9" i="3"/>
  <c r="DB9" i="3"/>
  <c r="DV9" i="3"/>
  <c r="EN9" i="3"/>
  <c r="FH9" i="3"/>
  <c r="GA9" i="3"/>
  <c r="GS9" i="3"/>
  <c r="AF10" i="3"/>
  <c r="AY10" i="3"/>
  <c r="BQ10" i="3"/>
  <c r="CK10" i="3"/>
  <c r="DD10" i="3"/>
  <c r="DU10" i="3"/>
  <c r="EN10" i="3"/>
  <c r="FC10" i="3"/>
  <c r="FT10" i="3"/>
  <c r="GI10" i="3"/>
  <c r="GY10" i="3"/>
  <c r="AF11" i="3"/>
  <c r="AV11" i="3"/>
  <c r="BL11" i="3"/>
  <c r="BZ11" i="3"/>
  <c r="CO11" i="3"/>
  <c r="DC11" i="3"/>
  <c r="DQ11" i="3"/>
  <c r="EF11" i="3"/>
  <c r="ET11" i="3"/>
  <c r="FI11" i="3"/>
  <c r="FW11" i="3"/>
  <c r="GK11" i="3"/>
  <c r="GZ11" i="3"/>
  <c r="BN3" i="3"/>
  <c r="EY3" i="3"/>
  <c r="AM4" i="3"/>
  <c r="EA4" i="3"/>
  <c r="GQ4" i="3"/>
  <c r="CS5" i="3"/>
  <c r="FS5" i="3"/>
  <c r="BC6" i="3"/>
  <c r="DW6" i="3"/>
  <c r="GH6" i="3"/>
  <c r="BC7" i="3"/>
  <c r="CV7" i="3"/>
  <c r="ET7" i="3"/>
  <c r="GK7" i="3"/>
  <c r="AP8" i="3"/>
  <c r="BZ8" i="3"/>
  <c r="DE8" i="3"/>
  <c r="EJ8" i="3"/>
  <c r="FJ8" i="3"/>
  <c r="GL8" i="3"/>
  <c r="Y9" i="3"/>
  <c r="AV9" i="3"/>
  <c r="BQ9" i="3"/>
  <c r="CI9" i="3"/>
  <c r="DD9" i="3"/>
  <c r="DW9" i="3"/>
  <c r="EO9" i="3"/>
  <c r="FI9" i="3"/>
  <c r="GB9" i="3"/>
  <c r="GT9" i="3"/>
  <c r="AG10" i="3"/>
  <c r="AZ10" i="3"/>
  <c r="BR10" i="3"/>
  <c r="CL10" i="3"/>
  <c r="DF10" i="3"/>
  <c r="CG3" i="3"/>
  <c r="FF3" i="3"/>
  <c r="BH4" i="3"/>
  <c r="EE4" i="3"/>
  <c r="AG5" i="3"/>
  <c r="DA5" i="3"/>
  <c r="GH5" i="3"/>
  <c r="BS6" i="3"/>
  <c r="EB6" i="3"/>
  <c r="GT6" i="3"/>
  <c r="BH7" i="3"/>
  <c r="DH7" i="3"/>
  <c r="EX7" i="3"/>
  <c r="GS7" i="3"/>
  <c r="AX8" i="3"/>
  <c r="CB8" i="3"/>
  <c r="DL8" i="3"/>
  <c r="EM8" i="3"/>
  <c r="FP8" i="3"/>
  <c r="GP8" i="3"/>
  <c r="AD9" i="3"/>
  <c r="AY9" i="3"/>
  <c r="BT9" i="3"/>
  <c r="CN9" i="3"/>
  <c r="DG9" i="3"/>
  <c r="DY9" i="3"/>
  <c r="ET9" i="3"/>
  <c r="FM9" i="3"/>
  <c r="GE9" i="3"/>
  <c r="GY9" i="3"/>
  <c r="AJ10" i="3"/>
  <c r="BB10" i="3"/>
  <c r="BW10" i="3"/>
  <c r="CP10" i="3"/>
  <c r="DH10" i="3"/>
  <c r="EA10" i="3"/>
  <c r="ER10" i="3"/>
  <c r="FH10" i="3"/>
  <c r="FW10" i="3"/>
  <c r="GM10" i="3"/>
  <c r="T11" i="3"/>
  <c r="AK11" i="3"/>
  <c r="AZ11" i="3"/>
  <c r="BO11" i="3"/>
  <c r="CD11" i="3"/>
  <c r="CR11" i="3"/>
  <c r="DG11" i="3"/>
  <c r="DU11" i="3"/>
  <c r="EI11" i="3"/>
  <c r="EX11" i="3"/>
  <c r="FL11" i="3"/>
  <c r="GA11" i="3"/>
  <c r="GO11" i="3"/>
  <c r="U12" i="3"/>
  <c r="AJ12" i="3"/>
  <c r="AX12" i="3"/>
  <c r="BM12" i="3"/>
  <c r="CA12" i="3"/>
  <c r="CN12" i="3"/>
  <c r="CZ12" i="3"/>
  <c r="DL12" i="3"/>
  <c r="DX12" i="3"/>
  <c r="EJ12" i="3"/>
  <c r="EV12" i="3"/>
  <c r="FH12" i="3"/>
  <c r="FT12" i="3"/>
  <c r="GF12" i="3"/>
  <c r="GR12" i="3"/>
  <c r="V13" i="3"/>
  <c r="AH13" i="3"/>
  <c r="AT13" i="3"/>
  <c r="BF13" i="3"/>
  <c r="BR13" i="3"/>
  <c r="CD13" i="3"/>
  <c r="CP13" i="3"/>
  <c r="DB13" i="3"/>
  <c r="DN13" i="3"/>
  <c r="DZ13" i="3"/>
  <c r="EL13" i="3"/>
  <c r="EX13" i="3"/>
  <c r="FJ13" i="3"/>
  <c r="FV13" i="3"/>
  <c r="GH13" i="3"/>
  <c r="CW3" i="3"/>
  <c r="FY3" i="3"/>
  <c r="BK4" i="3"/>
  <c r="ET4" i="3"/>
  <c r="AL5" i="3"/>
  <c r="DW5" i="3"/>
  <c r="GN5" i="3"/>
  <c r="CF6" i="3"/>
  <c r="ER6" i="3"/>
  <c r="GY6" i="3"/>
  <c r="BS7" i="3"/>
  <c r="DK7" i="3"/>
  <c r="FK7" i="3"/>
  <c r="GW7" i="3"/>
  <c r="BE8" i="3"/>
  <c r="CL8" i="3"/>
  <c r="DO8" i="3"/>
  <c r="ER8" i="3"/>
  <c r="FS8" i="3"/>
  <c r="GU8" i="3"/>
  <c r="AG9" i="3"/>
  <c r="BB9" i="3"/>
  <c r="BX9" i="3"/>
  <c r="CP9" i="3"/>
  <c r="DJ9" i="3"/>
  <c r="ED9" i="3"/>
  <c r="EV9" i="3"/>
  <c r="FO9" i="3"/>
  <c r="GJ9" i="3"/>
  <c r="T10" i="3"/>
  <c r="AM10" i="3"/>
  <c r="BG10" i="3"/>
  <c r="BY10" i="3"/>
  <c r="CR10" i="3"/>
  <c r="DM10" i="3"/>
  <c r="EC10" i="3"/>
  <c r="ET10" i="3"/>
  <c r="FJ10" i="3"/>
  <c r="FZ10" i="3"/>
  <c r="GO10" i="3"/>
  <c r="X11" i="3"/>
  <c r="AM11" i="3"/>
  <c r="BB11" i="3"/>
  <c r="BR11" i="3"/>
  <c r="CF11" i="3"/>
  <c r="CU11" i="3"/>
  <c r="DI11" i="3"/>
  <c r="DW11" i="3"/>
  <c r="EL11" i="3"/>
  <c r="EZ11" i="3"/>
  <c r="AH3" i="3"/>
  <c r="GN3" i="3"/>
  <c r="FC4" i="3"/>
  <c r="ED5" i="3"/>
  <c r="CO6" i="3"/>
  <c r="AD7" i="3"/>
  <c r="DT7" i="3"/>
  <c r="Y8" i="3"/>
  <c r="CQ8" i="3"/>
  <c r="EU8" i="3"/>
  <c r="GW8" i="3"/>
  <c r="BE9" i="3"/>
  <c r="CT9" i="3"/>
  <c r="EF9" i="3"/>
  <c r="FR9" i="3"/>
  <c r="W10" i="3"/>
  <c r="BJ10" i="3"/>
  <c r="CU10" i="3"/>
  <c r="EB10" i="3"/>
  <c r="EZ10" i="3"/>
  <c r="FY10" i="3"/>
  <c r="GU10" i="3"/>
  <c r="AL11" i="3"/>
  <c r="BH11" i="3"/>
  <c r="CE11" i="3"/>
  <c r="CY11" i="3"/>
  <c r="DV11" i="3"/>
  <c r="EQ11" i="3"/>
  <c r="FM11" i="3"/>
  <c r="GE11" i="3"/>
  <c r="GY11" i="3"/>
  <c r="AI12" i="3"/>
  <c r="BA12" i="3"/>
  <c r="BQ12" i="3"/>
  <c r="CH12" i="3"/>
  <c r="CW12" i="3"/>
  <c r="DK12" i="3"/>
  <c r="DZ12" i="3"/>
  <c r="EN12" i="3"/>
  <c r="FB12" i="3"/>
  <c r="FQ12" i="3"/>
  <c r="GE12" i="3"/>
  <c r="GT12" i="3"/>
  <c r="Z13" i="3"/>
  <c r="AN13" i="3"/>
  <c r="BC13" i="3"/>
  <c r="BQ13" i="3"/>
  <c r="CF13" i="3"/>
  <c r="CT13" i="3"/>
  <c r="DH13" i="3"/>
  <c r="DW13" i="3"/>
  <c r="EK13" i="3"/>
  <c r="EZ13" i="3"/>
  <c r="FN13" i="3"/>
  <c r="GB13" i="3"/>
  <c r="GQ13" i="3"/>
  <c r="V14" i="3"/>
  <c r="AH14" i="3"/>
  <c r="AT14" i="3"/>
  <c r="BF14" i="3"/>
  <c r="BR14" i="3"/>
  <c r="CD14" i="3"/>
  <c r="CP14" i="3"/>
  <c r="DB14" i="3"/>
  <c r="DN14" i="3"/>
  <c r="DZ14" i="3"/>
  <c r="EL14" i="3"/>
  <c r="EX14" i="3"/>
  <c r="FJ14" i="3"/>
  <c r="FV14" i="3"/>
  <c r="GH14" i="3"/>
  <c r="GT14" i="3"/>
  <c r="X15" i="3"/>
  <c r="AJ15" i="3"/>
  <c r="AV15" i="3"/>
  <c r="BH15" i="3"/>
  <c r="BT15" i="3"/>
  <c r="CF15" i="3"/>
  <c r="CR15" i="3"/>
  <c r="DD15" i="3"/>
  <c r="DP15" i="3"/>
  <c r="EB15" i="3"/>
  <c r="EN15" i="3"/>
  <c r="EZ15" i="3"/>
  <c r="AK3" i="3"/>
  <c r="GO3" i="3"/>
  <c r="FR4" i="3"/>
  <c r="EO5" i="3"/>
  <c r="CP6" i="3"/>
  <c r="AE7" i="3"/>
  <c r="DW7" i="3"/>
  <c r="AC8" i="3"/>
  <c r="CS8" i="3"/>
  <c r="EZ8" i="3"/>
  <c r="GX8" i="3"/>
  <c r="BI9" i="3"/>
  <c r="CU9" i="3"/>
  <c r="EH9" i="3"/>
  <c r="FU9" i="3"/>
  <c r="X10" i="3"/>
  <c r="BK10" i="3"/>
  <c r="CX10" i="3"/>
  <c r="EE10" i="3"/>
  <c r="FB10" i="3"/>
  <c r="GA10" i="3"/>
  <c r="GW10" i="3"/>
  <c r="AN11" i="3"/>
  <c r="BK11" i="3"/>
  <c r="CG11" i="3"/>
  <c r="AS3" i="3"/>
  <c r="GU3" i="3"/>
  <c r="FW4" i="3"/>
  <c r="ES5" i="3"/>
  <c r="DB6" i="3"/>
  <c r="AN7" i="3"/>
  <c r="DZ7" i="3"/>
  <c r="AD8" i="3"/>
  <c r="CU8" i="3"/>
  <c r="FA8" i="3"/>
  <c r="T9" i="3"/>
  <c r="BJ9" i="3"/>
  <c r="CV9" i="3"/>
  <c r="EJ9" i="3"/>
  <c r="FV9" i="3"/>
  <c r="Z10" i="3"/>
  <c r="BM10" i="3"/>
  <c r="CZ10" i="3"/>
  <c r="EF10" i="3"/>
  <c r="FE10" i="3"/>
  <c r="GB10" i="3"/>
  <c r="GZ10" i="3"/>
  <c r="AO11" i="3"/>
  <c r="BM11" i="3"/>
  <c r="CI11" i="3"/>
  <c r="CE3" i="3"/>
  <c r="BB4" i="3"/>
  <c r="GW4" i="3"/>
  <c r="FW5" i="3"/>
  <c r="DY6" i="3"/>
  <c r="BF7" i="3"/>
  <c r="EU7" i="3"/>
  <c r="AW8" i="3"/>
  <c r="DK8" i="3"/>
  <c r="FK8" i="3"/>
  <c r="AB9" i="3"/>
  <c r="BR9" i="3"/>
  <c r="DE9" i="3"/>
  <c r="ER9" i="3"/>
  <c r="GD9" i="3"/>
  <c r="AH10" i="3"/>
  <c r="BV10" i="3"/>
  <c r="DG10" i="3"/>
  <c r="EH10" i="3"/>
  <c r="FI10" i="3"/>
  <c r="GF10" i="3"/>
  <c r="V11" i="3"/>
  <c r="AR11" i="3"/>
  <c r="BQ11" i="3"/>
  <c r="CK11" i="3"/>
  <c r="DH11" i="3"/>
  <c r="EB11" i="3"/>
  <c r="EY11" i="3"/>
  <c r="FR11" i="3"/>
  <c r="GM11" i="3"/>
  <c r="X12" i="3"/>
  <c r="AO12" i="3"/>
  <c r="BE12" i="3"/>
  <c r="BW12" i="3"/>
  <c r="CM12" i="3"/>
  <c r="DB12" i="3"/>
  <c r="DP12" i="3"/>
  <c r="ED12" i="3"/>
  <c r="ES12" i="3"/>
  <c r="FG12" i="3"/>
  <c r="FV12" i="3"/>
  <c r="GJ12" i="3"/>
  <c r="GX12" i="3"/>
  <c r="AE13" i="3"/>
  <c r="AS13" i="3"/>
  <c r="BH13" i="3"/>
  <c r="BV13" i="3"/>
  <c r="CJ13" i="3"/>
  <c r="CY13" i="3"/>
  <c r="DM13" i="3"/>
  <c r="EB13" i="3"/>
  <c r="EP13" i="3"/>
  <c r="FD13" i="3"/>
  <c r="FS13" i="3"/>
  <c r="GG13" i="3"/>
  <c r="GU13" i="3"/>
  <c r="Z14" i="3"/>
  <c r="AL14" i="3"/>
  <c r="AX14" i="3"/>
  <c r="BJ14" i="3"/>
  <c r="BV14" i="3"/>
  <c r="CH14" i="3"/>
  <c r="CT14" i="3"/>
  <c r="DF14" i="3"/>
  <c r="DR14" i="3"/>
  <c r="ED14" i="3"/>
  <c r="EP14" i="3"/>
  <c r="FB14" i="3"/>
  <c r="FN14" i="3"/>
  <c r="FZ14" i="3"/>
  <c r="GL14" i="3"/>
  <c r="GX14" i="3"/>
  <c r="AB15" i="3"/>
  <c r="AN15" i="3"/>
  <c r="AZ15" i="3"/>
  <c r="BL15" i="3"/>
  <c r="BX15" i="3"/>
  <c r="CJ15" i="3"/>
  <c r="CV15" i="3"/>
  <c r="DH15" i="3"/>
  <c r="DT15" i="3"/>
  <c r="EF15" i="3"/>
  <c r="ER15" i="3"/>
  <c r="FD15" i="3"/>
  <c r="FP15" i="3"/>
  <c r="GB15" i="3"/>
  <c r="GN15" i="3"/>
  <c r="GZ15" i="3"/>
  <c r="AD16" i="3"/>
  <c r="AP16" i="3"/>
  <c r="BB16" i="3"/>
  <c r="BN16" i="3"/>
  <c r="BZ16" i="3"/>
  <c r="CL16" i="3"/>
  <c r="CX16" i="3"/>
  <c r="DJ16" i="3"/>
  <c r="DV16" i="3"/>
  <c r="EH16" i="3"/>
  <c r="ET16" i="3"/>
  <c r="FF16" i="3"/>
  <c r="FR16" i="3"/>
  <c r="GD16" i="3"/>
  <c r="GP16" i="3"/>
  <c r="T17" i="3"/>
  <c r="AF17" i="3"/>
  <c r="AR17" i="3"/>
  <c r="BD17" i="3"/>
  <c r="BP17" i="3"/>
  <c r="CB17" i="3"/>
  <c r="CN17" i="3"/>
  <c r="CZ17" i="3"/>
  <c r="DL17" i="3"/>
  <c r="DX17" i="3"/>
  <c r="EJ17" i="3"/>
  <c r="EV17" i="3"/>
  <c r="FH17" i="3"/>
  <c r="FT17" i="3"/>
  <c r="GF17" i="3"/>
  <c r="GR17" i="3"/>
  <c r="V18" i="3"/>
  <c r="AH18" i="3"/>
  <c r="AT18" i="3"/>
  <c r="BF18" i="3"/>
  <c r="CL3" i="3"/>
  <c r="BI4" i="3"/>
  <c r="AK5" i="3"/>
  <c r="GM5" i="3"/>
  <c r="EQ6" i="3"/>
  <c r="BO7" i="3"/>
  <c r="EZ7" i="3"/>
  <c r="AY8" i="3"/>
  <c r="DN8" i="3"/>
  <c r="FR8" i="3"/>
  <c r="AF9" i="3"/>
  <c r="BU9" i="3"/>
  <c r="DH9" i="3"/>
  <c r="EU9" i="3"/>
  <c r="DI3" i="3"/>
  <c r="CG4" i="3"/>
  <c r="BD5" i="3"/>
  <c r="AA6" i="3"/>
  <c r="FE6" i="3"/>
  <c r="BU7" i="3"/>
  <c r="FM7" i="3"/>
  <c r="BI8" i="3"/>
  <c r="DV8" i="3"/>
  <c r="FX8" i="3"/>
  <c r="AK9" i="3"/>
  <c r="CA9" i="3"/>
  <c r="DL9" i="3"/>
  <c r="EZ9" i="3"/>
  <c r="GL9" i="3"/>
  <c r="AO10" i="3"/>
  <c r="CC10" i="3"/>
  <c r="DO10" i="3"/>
  <c r="EO10" i="3"/>
  <c r="FM10" i="3"/>
  <c r="GJ10" i="3"/>
  <c r="Z11" i="3"/>
  <c r="AX11" i="3"/>
  <c r="BT11" i="3"/>
  <c r="CP11" i="3"/>
  <c r="DK11" i="3"/>
  <c r="EG11" i="3"/>
  <c r="FC11" i="3"/>
  <c r="FV11" i="3"/>
  <c r="GP11" i="3"/>
  <c r="Z12" i="3"/>
  <c r="AQ12" i="3"/>
  <c r="BI12" i="3"/>
  <c r="BZ12" i="3"/>
  <c r="CP12" i="3"/>
  <c r="DD12" i="3"/>
  <c r="DR12" i="3"/>
  <c r="EG12" i="3"/>
  <c r="EU12" i="3"/>
  <c r="FJ12" i="3"/>
  <c r="FX12" i="3"/>
  <c r="GL12" i="3"/>
  <c r="S13" i="3"/>
  <c r="AG13" i="3"/>
  <c r="AV13" i="3"/>
  <c r="BJ13" i="3"/>
  <c r="BX13" i="3"/>
  <c r="CM13" i="3"/>
  <c r="DA13" i="3"/>
  <c r="DP13" i="3"/>
  <c r="ED13" i="3"/>
  <c r="ER13" i="3"/>
  <c r="FG13" i="3"/>
  <c r="FU13" i="3"/>
  <c r="GJ13" i="3"/>
  <c r="GW13" i="3"/>
  <c r="AB14" i="3"/>
  <c r="AN14" i="3"/>
  <c r="AZ14" i="3"/>
  <c r="BL14" i="3"/>
  <c r="BX14" i="3"/>
  <c r="CJ14" i="3"/>
  <c r="CV14" i="3"/>
  <c r="DH14" i="3"/>
  <c r="DT14" i="3"/>
  <c r="EF14" i="3"/>
  <c r="ER14" i="3"/>
  <c r="FD14" i="3"/>
  <c r="FP14" i="3"/>
  <c r="GB14" i="3"/>
  <c r="GN14" i="3"/>
  <c r="GZ14" i="3"/>
  <c r="AD15" i="3"/>
  <c r="AP15" i="3"/>
  <c r="BB15" i="3"/>
  <c r="BN15" i="3"/>
  <c r="BZ15" i="3"/>
  <c r="CL15" i="3"/>
  <c r="CX15" i="3"/>
  <c r="DJ15" i="3"/>
  <c r="DV15" i="3"/>
  <c r="EH15" i="3"/>
  <c r="ET15" i="3"/>
  <c r="FF15" i="3"/>
  <c r="DJ3" i="3"/>
  <c r="CI4" i="3"/>
  <c r="BJ5" i="3"/>
  <c r="AC6" i="3"/>
  <c r="FG6" i="3"/>
  <c r="CF7" i="3"/>
  <c r="FU7" i="3"/>
  <c r="BJ8" i="3"/>
  <c r="DW8" i="3"/>
  <c r="FY8" i="3"/>
  <c r="AL9" i="3"/>
  <c r="CB9" i="3"/>
  <c r="DP9" i="3"/>
  <c r="FA9" i="3"/>
  <c r="GM9" i="3"/>
  <c r="AS10" i="3"/>
  <c r="CD10" i="3"/>
  <c r="DP10" i="3"/>
  <c r="EP10" i="3"/>
  <c r="FN10" i="3"/>
  <c r="GL10" i="3"/>
  <c r="AA11" i="3"/>
  <c r="AY11" i="3"/>
  <c r="BU11" i="3"/>
  <c r="DZ3" i="3"/>
  <c r="CX4" i="3"/>
  <c r="BK5" i="3"/>
  <c r="AG6" i="3"/>
  <c r="FJ6" i="3"/>
  <c r="CI7" i="3"/>
  <c r="FW7" i="3"/>
  <c r="BP8" i="3"/>
  <c r="EA8" i="3"/>
  <c r="FZ8" i="3"/>
  <c r="AM9" i="3"/>
  <c r="CD9" i="3"/>
  <c r="DQ9" i="3"/>
  <c r="FB9" i="3"/>
  <c r="GP9" i="3"/>
  <c r="AT10" i="3"/>
  <c r="CE10" i="3"/>
  <c r="DR10" i="3"/>
  <c r="ES10" i="3"/>
  <c r="FO10" i="3"/>
  <c r="GN10" i="3"/>
  <c r="AB11" i="3"/>
  <c r="BA11" i="3"/>
  <c r="BW11" i="3"/>
  <c r="CS11" i="3"/>
  <c r="DN11" i="3"/>
  <c r="EK11" i="3"/>
  <c r="FE11" i="3"/>
  <c r="FY11" i="3"/>
  <c r="GS11" i="3"/>
  <c r="AC12" i="3"/>
  <c r="AU12" i="3"/>
  <c r="BK12" i="3"/>
  <c r="CC12" i="3"/>
  <c r="CR12" i="3"/>
  <c r="DF12" i="3"/>
  <c r="DU12" i="3"/>
  <c r="EI12" i="3"/>
  <c r="EX12" i="3"/>
  <c r="FL12" i="3"/>
  <c r="FZ12" i="3"/>
  <c r="GO12" i="3"/>
  <c r="U13" i="3"/>
  <c r="AJ13" i="3"/>
  <c r="AX13" i="3"/>
  <c r="BL13" i="3"/>
  <c r="CA13" i="3"/>
  <c r="CO13" i="3"/>
  <c r="DD13" i="3"/>
  <c r="DR13" i="3"/>
  <c r="EF13" i="3"/>
  <c r="EU13" i="3"/>
  <c r="FI13" i="3"/>
  <c r="FX13" i="3"/>
  <c r="GL13" i="3"/>
  <c r="GY13" i="3"/>
  <c r="AD14" i="3"/>
  <c r="AP14" i="3"/>
  <c r="BB14" i="3"/>
  <c r="BN14" i="3"/>
  <c r="BZ14" i="3"/>
  <c r="CL14" i="3"/>
  <c r="CX14" i="3"/>
  <c r="DJ14" i="3"/>
  <c r="DV14" i="3"/>
  <c r="EH14" i="3"/>
  <c r="ET14" i="3"/>
  <c r="FF14" i="3"/>
  <c r="FR14" i="3"/>
  <c r="GD14" i="3"/>
  <c r="GP14" i="3"/>
  <c r="EI3" i="3"/>
  <c r="DE4" i="3"/>
  <c r="CG5" i="3"/>
  <c r="AU6" i="3"/>
  <c r="FX6" i="3"/>
  <c r="CR7" i="3"/>
  <c r="GA7" i="3"/>
  <c r="BT8" i="3"/>
  <c r="EC8" i="3"/>
  <c r="GH8" i="3"/>
  <c r="AS9" i="3"/>
  <c r="CG9" i="3"/>
  <c r="DS9" i="3"/>
  <c r="FG9" i="3"/>
  <c r="GR9" i="3"/>
  <c r="AV10" i="3"/>
  <c r="CJ10" i="3"/>
  <c r="DT10" i="3"/>
  <c r="EV10" i="3"/>
  <c r="FR10" i="3"/>
  <c r="GP10" i="3"/>
  <c r="AE11" i="3"/>
  <c r="BD11" i="3"/>
  <c r="BY11" i="3"/>
  <c r="CV11" i="3"/>
  <c r="FA3" i="3"/>
  <c r="EB4" i="3"/>
  <c r="CZ5" i="3"/>
  <c r="BR6" i="3"/>
  <c r="GM6" i="3"/>
  <c r="CX7" i="3"/>
  <c r="GN7" i="3"/>
  <c r="CA8" i="3"/>
  <c r="EL8" i="3"/>
  <c r="GN8" i="3"/>
  <c r="AW9" i="3"/>
  <c r="CM9" i="3"/>
  <c r="DX9" i="3"/>
  <c r="FJ9" i="3"/>
  <c r="GX9" i="3"/>
  <c r="BA10" i="3"/>
  <c r="CN10" i="3"/>
  <c r="DV10" i="3"/>
  <c r="EW10" i="3"/>
  <c r="FU10" i="3"/>
  <c r="GS10" i="3"/>
  <c r="AH11" i="3"/>
  <c r="BF11" i="3"/>
  <c r="CA11" i="3"/>
  <c r="CW11" i="3"/>
  <c r="DS11" i="3"/>
  <c r="EN11" i="3"/>
  <c r="FJ11" i="3"/>
  <c r="GC11" i="3"/>
  <c r="GU11" i="3"/>
  <c r="AF12" i="3"/>
  <c r="AW12" i="3"/>
  <c r="BO12" i="3"/>
  <c r="CF12" i="3"/>
  <c r="CT12" i="3"/>
  <c r="DI12" i="3"/>
  <c r="DW12" i="3"/>
  <c r="EL12" i="3"/>
  <c r="EZ12" i="3"/>
  <c r="FN12" i="3"/>
  <c r="GC12" i="3"/>
  <c r="GQ12" i="3"/>
  <c r="X13" i="3"/>
  <c r="AL13" i="3"/>
  <c r="AZ13" i="3"/>
  <c r="BO13" i="3"/>
  <c r="CC13" i="3"/>
  <c r="CR13" i="3"/>
  <c r="DF13" i="3"/>
  <c r="DT13" i="3"/>
  <c r="EI13" i="3"/>
  <c r="EW13" i="3"/>
  <c r="FL13" i="3"/>
  <c r="FZ13" i="3"/>
  <c r="GN13" i="3"/>
  <c r="T14" i="3"/>
  <c r="AF14" i="3"/>
  <c r="AR14" i="3"/>
  <c r="BD14" i="3"/>
  <c r="BP14" i="3"/>
  <c r="CB14" i="3"/>
  <c r="CN14" i="3"/>
  <c r="CZ14" i="3"/>
  <c r="DL14" i="3"/>
  <c r="DX14" i="3"/>
  <c r="EJ14" i="3"/>
  <c r="EV14" i="3"/>
  <c r="FH14" i="3"/>
  <c r="FT14" i="3"/>
  <c r="GF14" i="3"/>
  <c r="GR14" i="3"/>
  <c r="V15" i="3"/>
  <c r="AH15" i="3"/>
  <c r="AT15" i="3"/>
  <c r="BF15" i="3"/>
  <c r="BR15" i="3"/>
  <c r="CD15" i="3"/>
  <c r="CP15" i="3"/>
  <c r="DB15" i="3"/>
  <c r="DN15" i="3"/>
  <c r="DZ15" i="3"/>
  <c r="EL15" i="3"/>
  <c r="EX15" i="3"/>
  <c r="FJ15" i="3"/>
  <c r="FV15" i="3"/>
  <c r="GH15" i="3"/>
  <c r="GT15" i="3"/>
  <c r="X16" i="3"/>
  <c r="AJ16" i="3"/>
  <c r="AV16" i="3"/>
  <c r="BH16" i="3"/>
  <c r="BT16" i="3"/>
  <c r="CF16" i="3"/>
  <c r="CR16" i="3"/>
  <c r="DD16" i="3"/>
  <c r="DP16" i="3"/>
  <c r="EB16" i="3"/>
  <c r="EN16" i="3"/>
  <c r="EZ16" i="3"/>
  <c r="FL16" i="3"/>
  <c r="FX16" i="3"/>
  <c r="GJ16" i="3"/>
  <c r="GV16" i="3"/>
  <c r="Z17" i="3"/>
  <c r="AL17" i="3"/>
  <c r="AX17" i="3"/>
  <c r="BJ17" i="3"/>
  <c r="BV17" i="3"/>
  <c r="CH17" i="3"/>
  <c r="CT17" i="3"/>
  <c r="DF17" i="3"/>
  <c r="DR17" i="3"/>
  <c r="ED17" i="3"/>
  <c r="EP17" i="3"/>
  <c r="FB17" i="3"/>
  <c r="FN17" i="3"/>
  <c r="FZ17" i="3"/>
  <c r="GL17" i="3"/>
  <c r="GX17" i="3"/>
  <c r="DI7" i="3"/>
  <c r="CO9" i="3"/>
  <c r="BX10" i="3"/>
  <c r="GH10" i="3"/>
  <c r="CM11" i="3"/>
  <c r="EA11" i="3"/>
  <c r="FO11" i="3"/>
  <c r="GT11" i="3"/>
  <c r="AP12" i="3"/>
  <c r="BT12" i="3"/>
  <c r="CV12" i="3"/>
  <c r="DT12" i="3"/>
  <c r="ER12" i="3"/>
  <c r="FR12" i="3"/>
  <c r="GP12" i="3"/>
  <c r="AF13" i="3"/>
  <c r="BE13" i="3"/>
  <c r="CE13" i="3"/>
  <c r="DC13" i="3"/>
  <c r="EA13" i="3"/>
  <c r="FA13" i="3"/>
  <c r="FY13" i="3"/>
  <c r="GV13" i="3"/>
  <c r="AJ14" i="3"/>
  <c r="BE14" i="3"/>
  <c r="BY14" i="3"/>
  <c r="CS14" i="3"/>
  <c r="DO14" i="3"/>
  <c r="EI14" i="3"/>
  <c r="FC14" i="3"/>
  <c r="FX14" i="3"/>
  <c r="GS14" i="3"/>
  <c r="AC15" i="3"/>
  <c r="AU15" i="3"/>
  <c r="BM15" i="3"/>
  <c r="CE15" i="3"/>
  <c r="CW15" i="3"/>
  <c r="DO15" i="3"/>
  <c r="EG15" i="3"/>
  <c r="BG3" i="3"/>
  <c r="FU3" i="3"/>
  <c r="GV7" i="3"/>
  <c r="DZ9" i="3"/>
  <c r="DB10" i="3"/>
  <c r="S11" i="3"/>
  <c r="CX11" i="3"/>
  <c r="EH11" i="3"/>
  <c r="FQ11" i="3"/>
  <c r="S12" i="3"/>
  <c r="AV12" i="3"/>
  <c r="BY12" i="3"/>
  <c r="CY12" i="3"/>
  <c r="DY12" i="3"/>
  <c r="EW12" i="3"/>
  <c r="FU12" i="3"/>
  <c r="GU12" i="3"/>
  <c r="AK13" i="3"/>
  <c r="BI13" i="3"/>
  <c r="CH13" i="3"/>
  <c r="DG13" i="3"/>
  <c r="EE13" i="3"/>
  <c r="FC13" i="3"/>
  <c r="GD13" i="3"/>
  <c r="GZ13" i="3"/>
  <c r="AM14" i="3"/>
  <c r="BH14" i="3"/>
  <c r="CC14" i="3"/>
  <c r="CW14" i="3"/>
  <c r="DQ14" i="3"/>
  <c r="EM14" i="3"/>
  <c r="FG14" i="3"/>
  <c r="GA14" i="3"/>
  <c r="GV14" i="3"/>
  <c r="AF15" i="3"/>
  <c r="AX15" i="3"/>
  <c r="BP15" i="3"/>
  <c r="CH15" i="3"/>
  <c r="CZ15" i="3"/>
  <c r="DR15" i="3"/>
  <c r="EJ15" i="3"/>
  <c r="FB15" i="3"/>
  <c r="FR15" i="3"/>
  <c r="GF15" i="3"/>
  <c r="GU15" i="3"/>
  <c r="AA16" i="3"/>
  <c r="AO16" i="3"/>
  <c r="BD16" i="3"/>
  <c r="BR16" i="3"/>
  <c r="CG16" i="3"/>
  <c r="CU16" i="3"/>
  <c r="AI4" i="3"/>
  <c r="AK8" i="3"/>
  <c r="EL9" i="3"/>
  <c r="DI10" i="3"/>
  <c r="Y11" i="3"/>
  <c r="DB11" i="3"/>
  <c r="EM11" i="3"/>
  <c r="FS11" i="3"/>
  <c r="T12" i="3"/>
  <c r="AY12" i="3"/>
  <c r="CB12" i="3"/>
  <c r="DA12" i="3"/>
  <c r="EA12" i="3"/>
  <c r="EY12" i="3"/>
  <c r="FW12" i="3"/>
  <c r="GV12" i="3"/>
  <c r="AM13" i="3"/>
  <c r="BK13" i="3"/>
  <c r="CI13" i="3"/>
  <c r="DJ13" i="3"/>
  <c r="EH13" i="3"/>
  <c r="FF13" i="3"/>
  <c r="GE13" i="3"/>
  <c r="U14" i="3"/>
  <c r="AO14" i="3"/>
  <c r="BI14" i="3"/>
  <c r="CE14" i="3"/>
  <c r="CY14" i="3"/>
  <c r="DS14" i="3"/>
  <c r="EN14" i="3"/>
  <c r="FI14" i="3"/>
  <c r="GC14" i="3"/>
  <c r="GW14" i="3"/>
  <c r="AG15" i="3"/>
  <c r="AY15" i="3"/>
  <c r="BQ15" i="3"/>
  <c r="CI15" i="3"/>
  <c r="DA15" i="3"/>
  <c r="DS15" i="3"/>
  <c r="EK15" i="3"/>
  <c r="FC15" i="3"/>
  <c r="FS15" i="3"/>
  <c r="GG15" i="3"/>
  <c r="GV15" i="3"/>
  <c r="AB16" i="3"/>
  <c r="AQ16" i="3"/>
  <c r="BE16" i="3"/>
  <c r="BS16" i="3"/>
  <c r="CH16" i="3"/>
  <c r="CV16" i="3"/>
  <c r="DK16" i="3"/>
  <c r="DY16" i="3"/>
  <c r="EM16" i="3"/>
  <c r="FB16" i="3"/>
  <c r="FP16" i="3"/>
  <c r="GE16" i="3"/>
  <c r="GS16" i="3"/>
  <c r="Y17" i="3"/>
  <c r="AN17" i="3"/>
  <c r="BB17" i="3"/>
  <c r="BQ17" i="3"/>
  <c r="CE17" i="3"/>
  <c r="CS17" i="3"/>
  <c r="DH17" i="3"/>
  <c r="DV17" i="3"/>
  <c r="EK17" i="3"/>
  <c r="EY17" i="3"/>
  <c r="FM17" i="3"/>
  <c r="GB17" i="3"/>
  <c r="GP17" i="3"/>
  <c r="W18" i="3"/>
  <c r="AJ18" i="3"/>
  <c r="AW18" i="3"/>
  <c r="BJ18" i="3"/>
  <c r="BV18" i="3"/>
  <c r="CH18" i="3"/>
  <c r="CT18" i="3"/>
  <c r="DF18" i="3"/>
  <c r="DR18" i="3"/>
  <c r="ED18" i="3"/>
  <c r="EP18" i="3"/>
  <c r="FB18" i="3"/>
  <c r="FN18" i="3"/>
  <c r="FZ18" i="3"/>
  <c r="GL18" i="3"/>
  <c r="EQ4" i="3"/>
  <c r="GO4" i="3"/>
  <c r="DG5" i="3"/>
  <c r="EP8" i="3"/>
  <c r="GF9" i="3"/>
  <c r="EM10" i="3"/>
  <c r="AU11" i="3"/>
  <c r="DJ11" i="3"/>
  <c r="EU11" i="3"/>
  <c r="GD11" i="3"/>
  <c r="AA12" i="3"/>
  <c r="BD12" i="3"/>
  <c r="CJ12" i="3"/>
  <c r="DH12" i="3"/>
  <c r="EF12" i="3"/>
  <c r="FE12" i="3"/>
  <c r="GD12" i="3"/>
  <c r="T13" i="3"/>
  <c r="AR13" i="3"/>
  <c r="BS13" i="3"/>
  <c r="CQ13" i="3"/>
  <c r="DO13" i="3"/>
  <c r="EN13" i="3"/>
  <c r="FM13" i="3"/>
  <c r="GK13" i="3"/>
  <c r="Y14" i="3"/>
  <c r="AU14" i="3"/>
  <c r="BO14" i="3"/>
  <c r="CI14" i="3"/>
  <c r="DD14" i="3"/>
  <c r="DY14" i="3"/>
  <c r="ES14" i="3"/>
  <c r="FM14" i="3"/>
  <c r="GI14" i="3"/>
  <c r="T15" i="3"/>
  <c r="AL15" i="3"/>
  <c r="BD15" i="3"/>
  <c r="BV15" i="3"/>
  <c r="CN15" i="3"/>
  <c r="DF15" i="3"/>
  <c r="DX15" i="3"/>
  <c r="EP15" i="3"/>
  <c r="FC5" i="3"/>
  <c r="FG8" i="3"/>
  <c r="GZ9" i="3"/>
  <c r="EY10" i="3"/>
  <c r="BG11" i="3"/>
  <c r="DM11" i="3"/>
  <c r="EW11" i="3"/>
  <c r="GG11" i="3"/>
  <c r="AE12" i="3"/>
  <c r="BH12" i="3"/>
  <c r="CK12" i="3"/>
  <c r="DJ12" i="3"/>
  <c r="EH12" i="3"/>
  <c r="FF12" i="3"/>
  <c r="GG12" i="3"/>
  <c r="W13" i="3"/>
  <c r="AU13" i="3"/>
  <c r="BT13" i="3"/>
  <c r="CS13" i="3"/>
  <c r="DQ13" i="3"/>
  <c r="EO13" i="3"/>
  <c r="FO13" i="3"/>
  <c r="GM13" i="3"/>
  <c r="AA14" i="3"/>
  <c r="AV14" i="3"/>
  <c r="BQ14" i="3"/>
  <c r="CK14" i="3"/>
  <c r="DE14" i="3"/>
  <c r="EA14" i="3"/>
  <c r="EU14" i="3"/>
  <c r="FO14" i="3"/>
  <c r="GJ14" i="3"/>
  <c r="U15" i="3"/>
  <c r="AM15" i="3"/>
  <c r="BE15" i="3"/>
  <c r="BW15" i="3"/>
  <c r="CO15" i="3"/>
  <c r="DG15" i="3"/>
  <c r="DY15" i="3"/>
  <c r="EQ15" i="3"/>
  <c r="FI15" i="3"/>
  <c r="FX15" i="3"/>
  <c r="GL15" i="3"/>
  <c r="S16" i="3"/>
  <c r="AG16" i="3"/>
  <c r="AU16" i="3"/>
  <c r="BJ16" i="3"/>
  <c r="BX16" i="3"/>
  <c r="CM16" i="3"/>
  <c r="BX6" i="3"/>
  <c r="GQ8" i="3"/>
  <c r="AD10" i="3"/>
  <c r="FF10" i="3"/>
  <c r="BN11" i="3"/>
  <c r="DP11" i="3"/>
  <c r="FA11" i="3"/>
  <c r="GH11" i="3"/>
  <c r="AG12" i="3"/>
  <c r="BJ12" i="3"/>
  <c r="CL12" i="3"/>
  <c r="DM12" i="3"/>
  <c r="EK12" i="3"/>
  <c r="FI12" i="3"/>
  <c r="GH12" i="3"/>
  <c r="Y13" i="3"/>
  <c r="AW13" i="3"/>
  <c r="BU13" i="3"/>
  <c r="CU13" i="3"/>
  <c r="DS13" i="3"/>
  <c r="EQ13" i="3"/>
  <c r="FP13" i="3"/>
  <c r="GP13" i="3"/>
  <c r="AC14" i="3"/>
  <c r="AW14" i="3"/>
  <c r="BS14" i="3"/>
  <c r="CM14" i="3"/>
  <c r="DG14" i="3"/>
  <c r="EB14" i="3"/>
  <c r="EW14" i="3"/>
  <c r="FQ14" i="3"/>
  <c r="GK14" i="3"/>
  <c r="W15" i="3"/>
  <c r="AO15" i="3"/>
  <c r="BG15" i="3"/>
  <c r="BY15" i="3"/>
  <c r="CQ15" i="3"/>
  <c r="DI15" i="3"/>
  <c r="EA15" i="3"/>
  <c r="ES15" i="3"/>
  <c r="FK15" i="3"/>
  <c r="FY15" i="3"/>
  <c r="GM15" i="3"/>
  <c r="T16" i="3"/>
  <c r="AH16" i="3"/>
  <c r="AW16" i="3"/>
  <c r="BK16" i="3"/>
  <c r="BY16" i="3"/>
  <c r="CN16" i="3"/>
  <c r="DB16" i="3"/>
  <c r="AQ7" i="3"/>
  <c r="BL9" i="3"/>
  <c r="BP10" i="3"/>
  <c r="GC10" i="3"/>
  <c r="CJ11" i="3"/>
  <c r="DZ11" i="3"/>
  <c r="FK11" i="3"/>
  <c r="GQ11" i="3"/>
  <c r="AM12" i="3"/>
  <c r="BS12" i="3"/>
  <c r="CS12" i="3"/>
  <c r="DQ12" i="3"/>
  <c r="EP12" i="3"/>
  <c r="FP12" i="3"/>
  <c r="GN12" i="3"/>
  <c r="AD13" i="3"/>
  <c r="BD13" i="3"/>
  <c r="CB13" i="3"/>
  <c r="CZ13" i="3"/>
  <c r="DY13" i="3"/>
  <c r="EY13" i="3"/>
  <c r="FW13" i="3"/>
  <c r="GT13" i="3"/>
  <c r="AI14" i="3"/>
  <c r="BC14" i="3"/>
  <c r="BW14" i="3"/>
  <c r="CR14" i="3"/>
  <c r="DM14" i="3"/>
  <c r="EG14" i="3"/>
  <c r="FA14" i="3"/>
  <c r="FW14" i="3"/>
  <c r="GQ14" i="3"/>
  <c r="AA15" i="3"/>
  <c r="AS15" i="3"/>
  <c r="BK15" i="3"/>
  <c r="CC15" i="3"/>
  <c r="CU15" i="3"/>
  <c r="DM15" i="3"/>
  <c r="EE15" i="3"/>
  <c r="EW15" i="3"/>
  <c r="FN15" i="3"/>
  <c r="GC15" i="3"/>
  <c r="GQ15" i="3"/>
  <c r="W16" i="3"/>
  <c r="AL16" i="3"/>
  <c r="AZ16" i="3"/>
  <c r="BO16" i="3"/>
  <c r="CC16" i="3"/>
  <c r="CQ16" i="3"/>
  <c r="DF16" i="3"/>
  <c r="DT16" i="3"/>
  <c r="EI16" i="3"/>
  <c r="EW16" i="3"/>
  <c r="FK16" i="3"/>
  <c r="FZ16" i="3"/>
  <c r="GN16" i="3"/>
  <c r="U17" i="3"/>
  <c r="AI17" i="3"/>
  <c r="AW17" i="3"/>
  <c r="BL17" i="3"/>
  <c r="BZ17" i="3"/>
  <c r="CO17" i="3"/>
  <c r="DC17" i="3"/>
  <c r="DQ17" i="3"/>
  <c r="EF17" i="3"/>
  <c r="ET17" i="3"/>
  <c r="FI17" i="3"/>
  <c r="FW17" i="3"/>
  <c r="GK17" i="3"/>
  <c r="GZ17" i="3"/>
  <c r="AE18" i="3"/>
  <c r="AR18" i="3"/>
  <c r="DK6" i="3"/>
  <c r="GV6" i="3"/>
  <c r="DZ10" i="3"/>
  <c r="DT11" i="3"/>
  <c r="GV11" i="3"/>
  <c r="CG12" i="3"/>
  <c r="EO12" i="3"/>
  <c r="GW12" i="3"/>
  <c r="BW13" i="3"/>
  <c r="EC13" i="3"/>
  <c r="GI13" i="3"/>
  <c r="BA14" i="3"/>
  <c r="DA14" i="3"/>
  <c r="EY14" i="3"/>
  <c r="GU14" i="3"/>
  <c r="BC15" i="3"/>
  <c r="CT15" i="3"/>
  <c r="EM15" i="3"/>
  <c r="FQ15" i="3"/>
  <c r="GP15" i="3"/>
  <c r="AF16" i="3"/>
  <c r="BF16" i="3"/>
  <c r="CD16" i="3"/>
  <c r="DA16" i="3"/>
  <c r="DS16" i="3"/>
  <c r="EK16" i="3"/>
  <c r="FC16" i="3"/>
  <c r="FT16" i="3"/>
  <c r="GK16" i="3"/>
  <c r="S17" i="3"/>
  <c r="AK17" i="3"/>
  <c r="BC17" i="3"/>
  <c r="BT17" i="3"/>
  <c r="CK17" i="3"/>
  <c r="DB17" i="3"/>
  <c r="DT17" i="3"/>
  <c r="EL17" i="3"/>
  <c r="FC17" i="3"/>
  <c r="FS17" i="3"/>
  <c r="GJ17" i="3"/>
  <c r="T18" i="3"/>
  <c r="AK18" i="3"/>
  <c r="AZ18" i="3"/>
  <c r="BN18" i="3"/>
  <c r="CA18" i="3"/>
  <c r="CN18" i="3"/>
  <c r="DA18" i="3"/>
  <c r="DN18" i="3"/>
  <c r="EA18" i="3"/>
  <c r="EN18" i="3"/>
  <c r="FA18" i="3"/>
  <c r="FO18" i="3"/>
  <c r="GB18" i="3"/>
  <c r="GO18" i="3"/>
  <c r="S19" i="3"/>
  <c r="AE19" i="3"/>
  <c r="AQ19" i="3"/>
  <c r="BC19" i="3"/>
  <c r="BO19" i="3"/>
  <c r="CA19" i="3"/>
  <c r="CM19" i="3"/>
  <c r="CY19" i="3"/>
  <c r="DK19" i="3"/>
  <c r="DW19" i="3"/>
  <c r="EI19" i="3"/>
  <c r="EU19" i="3"/>
  <c r="FG19" i="3"/>
  <c r="FS19" i="3"/>
  <c r="GE19" i="3"/>
  <c r="GQ19" i="3"/>
  <c r="U20" i="3"/>
  <c r="AG20" i="3"/>
  <c r="AS20" i="3"/>
  <c r="BE20" i="3"/>
  <c r="BQ20" i="3"/>
  <c r="CC20" i="3"/>
  <c r="CO20" i="3"/>
  <c r="DA20" i="3"/>
  <c r="DM20" i="3"/>
  <c r="DY20" i="3"/>
  <c r="EK20" i="3"/>
  <c r="EW20" i="3"/>
  <c r="FI20" i="3"/>
  <c r="FU20" i="3"/>
  <c r="GG20" i="3"/>
  <c r="GS20" i="3"/>
  <c r="CI8" i="3"/>
  <c r="FL10" i="3"/>
  <c r="EE11" i="3"/>
  <c r="Y12" i="3"/>
  <c r="CQ12" i="3"/>
  <c r="FA12" i="3"/>
  <c r="AA13" i="3"/>
  <c r="CG13" i="3"/>
  <c r="EM13" i="3"/>
  <c r="GS13" i="3"/>
  <c r="BK14" i="3"/>
  <c r="DI14" i="3"/>
  <c r="FE14" i="3"/>
  <c r="S15" i="3"/>
  <c r="BJ15" i="3"/>
  <c r="DC15" i="3"/>
  <c r="EU15" i="3"/>
  <c r="FU15" i="3"/>
  <c r="GS15" i="3"/>
  <c r="AK16" i="3"/>
  <c r="BI16" i="3"/>
  <c r="CI16" i="3"/>
  <c r="DE16" i="3"/>
  <c r="DW16" i="3"/>
  <c r="EO16" i="3"/>
  <c r="FE16" i="3"/>
  <c r="FV16" i="3"/>
  <c r="GM16" i="3"/>
  <c r="W17" i="3"/>
  <c r="AO17" i="3"/>
  <c r="BF17" i="3"/>
  <c r="BW17" i="3"/>
  <c r="CM17" i="3"/>
  <c r="DE17" i="3"/>
  <c r="DW17" i="3"/>
  <c r="EN17" i="3"/>
  <c r="FE17" i="3"/>
  <c r="FV17" i="3"/>
  <c r="GN17" i="3"/>
  <c r="X18" i="3"/>
  <c r="AM18" i="3"/>
  <c r="BB18" i="3"/>
  <c r="BP18" i="3"/>
  <c r="CC18" i="3"/>
  <c r="CP18" i="3"/>
  <c r="DC18" i="3"/>
  <c r="DP18" i="3"/>
  <c r="EC18" i="3"/>
  <c r="EQ18" i="3"/>
  <c r="FD18" i="3"/>
  <c r="FQ18" i="3"/>
  <c r="GD18" i="3"/>
  <c r="GQ18" i="3"/>
  <c r="U19" i="3"/>
  <c r="AG19" i="3"/>
  <c r="AS19" i="3"/>
  <c r="BE19" i="3"/>
  <c r="BQ19" i="3"/>
  <c r="CC19" i="3"/>
  <c r="CO19" i="3"/>
  <c r="DA19" i="3"/>
  <c r="DM19" i="3"/>
  <c r="DY19" i="3"/>
  <c r="EK19" i="3"/>
  <c r="EW19" i="3"/>
  <c r="FI19" i="3"/>
  <c r="FU19" i="3"/>
  <c r="GG19" i="3"/>
  <c r="GS19" i="3"/>
  <c r="W20" i="3"/>
  <c r="AI20" i="3"/>
  <c r="AU20" i="3"/>
  <c r="BG20" i="3"/>
  <c r="BS20" i="3"/>
  <c r="CE20" i="3"/>
  <c r="CQ20" i="3"/>
  <c r="DC20" i="3"/>
  <c r="DO20" i="3"/>
  <c r="EA20" i="3"/>
  <c r="EM20" i="3"/>
  <c r="DC8" i="3"/>
  <c r="FV10" i="3"/>
  <c r="EO11" i="3"/>
  <c r="AK12" i="3"/>
  <c r="CX12" i="3"/>
  <c r="FD12" i="3"/>
  <c r="AB13" i="3"/>
  <c r="CL13" i="3"/>
  <c r="ET13" i="3"/>
  <c r="GX13" i="3"/>
  <c r="BM14" i="3"/>
  <c r="DK14" i="3"/>
  <c r="FK14" i="3"/>
  <c r="Y15" i="3"/>
  <c r="BO15" i="3"/>
  <c r="DE15" i="3"/>
  <c r="EV15" i="3"/>
  <c r="FW15" i="3"/>
  <c r="GW15" i="3"/>
  <c r="AM16" i="3"/>
  <c r="BL16" i="3"/>
  <c r="CJ16" i="3"/>
  <c r="DG16" i="3"/>
  <c r="DX16" i="3"/>
  <c r="EP16" i="3"/>
  <c r="FG16" i="3"/>
  <c r="V9" i="3"/>
  <c r="AZ9" i="3"/>
  <c r="DA9" i="3"/>
  <c r="AQ11" i="3"/>
  <c r="FG11" i="3"/>
  <c r="BB12" i="3"/>
  <c r="DN12" i="3"/>
  <c r="FS12" i="3"/>
  <c r="AQ13" i="3"/>
  <c r="CX13" i="3"/>
  <c r="FH13" i="3"/>
  <c r="AE14" i="3"/>
  <c r="CA14" i="3"/>
  <c r="DW14" i="3"/>
  <c r="FU14" i="3"/>
  <c r="AI15" i="3"/>
  <c r="CA15" i="3"/>
  <c r="DQ15" i="3"/>
  <c r="FE15" i="3"/>
  <c r="GD15" i="3"/>
  <c r="U16" i="3"/>
  <c r="AS16" i="3"/>
  <c r="BQ16" i="3"/>
  <c r="CP16" i="3"/>
  <c r="DL16" i="3"/>
  <c r="EC16" i="3"/>
  <c r="ES16" i="3"/>
  <c r="FJ16" i="3"/>
  <c r="GB16" i="3"/>
  <c r="GT16" i="3"/>
  <c r="AC17" i="3"/>
  <c r="AT17" i="3"/>
  <c r="BK17" i="3"/>
  <c r="CC17" i="3"/>
  <c r="CU17" i="3"/>
  <c r="DK17" i="3"/>
  <c r="EB17" i="3"/>
  <c r="ES17" i="3"/>
  <c r="FK17" i="3"/>
  <c r="GC17" i="3"/>
  <c r="GT17" i="3"/>
  <c r="AB18" i="3"/>
  <c r="AQ18" i="3"/>
  <c r="BG18" i="3"/>
  <c r="BT18" i="3"/>
  <c r="CG18" i="3"/>
  <c r="CU18" i="3"/>
  <c r="DH18" i="3"/>
  <c r="DU18" i="3"/>
  <c r="EH18" i="3"/>
  <c r="EU18" i="3"/>
  <c r="FH18" i="3"/>
  <c r="FN9" i="3"/>
  <c r="BS11" i="3"/>
  <c r="FP11" i="3"/>
  <c r="BC12" i="3"/>
  <c r="DO12" i="3"/>
  <c r="FY12" i="3"/>
  <c r="AY13" i="3"/>
  <c r="DE13" i="3"/>
  <c r="FK13" i="3"/>
  <c r="AG14" i="3"/>
  <c r="CF14" i="3"/>
  <c r="EC14" i="3"/>
  <c r="FY14" i="3"/>
  <c r="AK15" i="3"/>
  <c r="CB15" i="3"/>
  <c r="DU15" i="3"/>
  <c r="FG15" i="3"/>
  <c r="GE15" i="3"/>
  <c r="V16" i="3"/>
  <c r="AT16" i="3"/>
  <c r="BU16" i="3"/>
  <c r="CS16" i="3"/>
  <c r="DM16" i="3"/>
  <c r="ED16" i="3"/>
  <c r="EU16" i="3"/>
  <c r="FM16" i="3"/>
  <c r="GC16" i="3"/>
  <c r="GU16" i="3"/>
  <c r="AD17" i="3"/>
  <c r="AU17" i="3"/>
  <c r="BM17" i="3"/>
  <c r="CD17" i="3"/>
  <c r="CV17" i="3"/>
  <c r="DM17" i="3"/>
  <c r="EC17" i="3"/>
  <c r="EU17" i="3"/>
  <c r="FL17" i="3"/>
  <c r="GD17" i="3"/>
  <c r="GU17" i="3"/>
  <c r="AC18" i="3"/>
  <c r="AS18" i="3"/>
  <c r="BH18" i="3"/>
  <c r="BU18" i="3"/>
  <c r="CI18" i="3"/>
  <c r="CV18" i="3"/>
  <c r="DI18" i="3"/>
  <c r="DV18" i="3"/>
  <c r="EI18" i="3"/>
  <c r="EV18" i="3"/>
  <c r="FI18" i="3"/>
  <c r="FV18" i="3"/>
  <c r="GI18" i="3"/>
  <c r="GV18" i="3"/>
  <c r="Z19" i="3"/>
  <c r="AL19" i="3"/>
  <c r="AX19" i="3"/>
  <c r="BJ19" i="3"/>
  <c r="BV19" i="3"/>
  <c r="CH19" i="3"/>
  <c r="CT19" i="3"/>
  <c r="DF19" i="3"/>
  <c r="DR19" i="3"/>
  <c r="ED19" i="3"/>
  <c r="EP19" i="3"/>
  <c r="FB19" i="3"/>
  <c r="FN19" i="3"/>
  <c r="FY9" i="3"/>
  <c r="CC11" i="3"/>
  <c r="FX11" i="3"/>
  <c r="BN12" i="3"/>
  <c r="DV12" i="3"/>
  <c r="GB12" i="3"/>
  <c r="BB13" i="3"/>
  <c r="DK13" i="3"/>
  <c r="FR13" i="3"/>
  <c r="AK14" i="3"/>
  <c r="CG14" i="3"/>
  <c r="EE14" i="3"/>
  <c r="GE14" i="3"/>
  <c r="AQ15" i="3"/>
  <c r="CG15" i="3"/>
  <c r="DW15" i="3"/>
  <c r="FH15" i="3"/>
  <c r="GI15" i="3"/>
  <c r="Y16" i="3"/>
  <c r="AX16" i="3"/>
  <c r="BV16" i="3"/>
  <c r="CT16" i="3"/>
  <c r="DN16" i="3"/>
  <c r="EE16" i="3"/>
  <c r="EV16" i="3"/>
  <c r="FN16" i="3"/>
  <c r="GF16" i="3"/>
  <c r="GW16" i="3"/>
  <c r="AE17" i="3"/>
  <c r="AV17" i="3"/>
  <c r="BN17" i="3"/>
  <c r="CF17" i="3"/>
  <c r="CW17" i="3"/>
  <c r="DN17" i="3"/>
  <c r="EE17" i="3"/>
  <c r="EW17" i="3"/>
  <c r="FO17" i="3"/>
  <c r="GE17" i="3"/>
  <c r="GV17" i="3"/>
  <c r="AD18" i="3"/>
  <c r="AU18" i="3"/>
  <c r="BI18" i="3"/>
  <c r="BW18" i="3"/>
  <c r="CJ18" i="3"/>
  <c r="CW18" i="3"/>
  <c r="DJ18" i="3"/>
  <c r="DW18" i="3"/>
  <c r="EJ18" i="3"/>
  <c r="EW18" i="3"/>
  <c r="FJ18" i="3"/>
  <c r="FW18" i="3"/>
  <c r="GJ18" i="3"/>
  <c r="GW18" i="3"/>
  <c r="AA19" i="3"/>
  <c r="AM19" i="3"/>
  <c r="AY19" i="3"/>
  <c r="BK19" i="3"/>
  <c r="BW19" i="3"/>
  <c r="CI19" i="3"/>
  <c r="CU19" i="3"/>
  <c r="DG19" i="3"/>
  <c r="DS19" i="3"/>
  <c r="EE19" i="3"/>
  <c r="EQ19" i="3"/>
  <c r="FC19" i="3"/>
  <c r="FO19" i="3"/>
  <c r="GA19" i="3"/>
  <c r="GM19" i="3"/>
  <c r="GY19" i="3"/>
  <c r="AC20" i="3"/>
  <c r="AO20" i="3"/>
  <c r="BA20" i="3"/>
  <c r="BM20" i="3"/>
  <c r="BY20" i="3"/>
  <c r="CK20" i="3"/>
  <c r="CW20" i="3"/>
  <c r="DI20" i="3"/>
  <c r="DU20" i="3"/>
  <c r="EG20" i="3"/>
  <c r="EI7" i="3"/>
  <c r="FD11" i="3"/>
  <c r="DE12" i="3"/>
  <c r="AP13" i="3"/>
  <c r="FB13" i="3"/>
  <c r="BU14" i="3"/>
  <c r="FS14" i="3"/>
  <c r="BU15" i="3"/>
  <c r="FA15" i="3"/>
  <c r="GY15" i="3"/>
  <c r="BP16" i="3"/>
  <c r="DI16" i="3"/>
  <c r="ER16" i="3"/>
  <c r="FY16" i="3"/>
  <c r="V17" i="3"/>
  <c r="AZ17" i="3"/>
  <c r="CA17" i="3"/>
  <c r="DG17" i="3"/>
  <c r="EI17" i="3"/>
  <c r="FP17" i="3"/>
  <c r="GQ17" i="3"/>
  <c r="AL18" i="3"/>
  <c r="BL18" i="3"/>
  <c r="CF18" i="3"/>
  <c r="DD18" i="3"/>
  <c r="DZ18" i="3"/>
  <c r="EX18" i="3"/>
  <c r="FS18" i="3"/>
  <c r="GM18" i="3"/>
  <c r="W19" i="3"/>
  <c r="AO19" i="3"/>
  <c r="BG19" i="3"/>
  <c r="BY19" i="3"/>
  <c r="CQ19" i="3"/>
  <c r="DI19" i="3"/>
  <c r="EA19" i="3"/>
  <c r="ES19" i="3"/>
  <c r="AL10" i="3"/>
  <c r="GB11" i="3"/>
  <c r="EB12" i="3"/>
  <c r="BG13" i="3"/>
  <c r="FT13" i="3"/>
  <c r="CO14" i="3"/>
  <c r="GG14" i="3"/>
  <c r="BD10" i="3"/>
  <c r="GJ11" i="3"/>
  <c r="EC12" i="3"/>
  <c r="BN13" i="3"/>
  <c r="GA13" i="3"/>
  <c r="CQ14" i="3"/>
  <c r="GM14" i="3"/>
  <c r="CM15" i="3"/>
  <c r="FM15" i="3"/>
  <c r="AC16" i="3"/>
  <c r="CA16" i="3"/>
  <c r="DQ16" i="3"/>
  <c r="EY16" i="3"/>
  <c r="GG16" i="3"/>
  <c r="AA17" i="3"/>
  <c r="BE17" i="3"/>
  <c r="CI17" i="3"/>
  <c r="DJ17" i="3"/>
  <c r="EO17" i="3"/>
  <c r="FR17" i="3"/>
  <c r="GW17" i="3"/>
  <c r="AO18" i="3"/>
  <c r="BO18" i="3"/>
  <c r="CL18" i="3"/>
  <c r="DG18" i="3"/>
  <c r="EE18" i="3"/>
  <c r="EZ18" i="3"/>
  <c r="FU18" i="3"/>
  <c r="GP18" i="3"/>
  <c r="Y19" i="3"/>
  <c r="AR19" i="3"/>
  <c r="BI19" i="3"/>
  <c r="CB19" i="3"/>
  <c r="CS19" i="3"/>
  <c r="DL19" i="3"/>
  <c r="EC19" i="3"/>
  <c r="EV19" i="3"/>
  <c r="FM19" i="3"/>
  <c r="GD19" i="3"/>
  <c r="GU19" i="3"/>
  <c r="AB20" i="3"/>
  <c r="AR20" i="3"/>
  <c r="BI20" i="3"/>
  <c r="BX20" i="3"/>
  <c r="CN20" i="3"/>
  <c r="DE20" i="3"/>
  <c r="DT20" i="3"/>
  <c r="EJ20" i="3"/>
  <c r="EY20" i="3"/>
  <c r="FL20" i="3"/>
  <c r="FY20" i="3"/>
  <c r="GL20" i="3"/>
  <c r="GY20" i="3"/>
  <c r="AC21" i="3"/>
  <c r="AO21" i="3"/>
  <c r="BA21" i="3"/>
  <c r="BM21" i="3"/>
  <c r="BY21" i="3"/>
  <c r="CK21" i="3"/>
  <c r="CW21" i="3"/>
  <c r="DI21" i="3"/>
  <c r="DU21" i="3"/>
  <c r="EG21" i="3"/>
  <c r="ES21" i="3"/>
  <c r="FE21" i="3"/>
  <c r="FQ21" i="3"/>
  <c r="GC21" i="3"/>
  <c r="GO21" i="3"/>
  <c r="S22" i="3"/>
  <c r="AE22" i="3"/>
  <c r="AQ22" i="3"/>
  <c r="BC22" i="3"/>
  <c r="BO22" i="3"/>
  <c r="CA22" i="3"/>
  <c r="CM22" i="3"/>
  <c r="CY22" i="3"/>
  <c r="DK22" i="3"/>
  <c r="DW22" i="3"/>
  <c r="EI22" i="3"/>
  <c r="EU22" i="3"/>
  <c r="FG22" i="3"/>
  <c r="FS22" i="3"/>
  <c r="GE22" i="3"/>
  <c r="GQ22" i="3"/>
  <c r="U23" i="3"/>
  <c r="CQ10" i="3"/>
  <c r="GN11" i="3"/>
  <c r="EM12" i="3"/>
  <c r="BP13" i="3"/>
  <c r="GF13" i="3"/>
  <c r="CU14" i="3"/>
  <c r="GO14" i="3"/>
  <c r="CS15" i="3"/>
  <c r="FO15" i="3"/>
  <c r="AE16" i="3"/>
  <c r="CB16" i="3"/>
  <c r="DR16" i="3"/>
  <c r="FA16" i="3"/>
  <c r="GH16" i="3"/>
  <c r="AB17" i="3"/>
  <c r="BG17" i="3"/>
  <c r="CJ17" i="3"/>
  <c r="DO17" i="3"/>
  <c r="EQ17" i="3"/>
  <c r="FU17" i="3"/>
  <c r="GY17" i="3"/>
  <c r="AP18" i="3"/>
  <c r="BQ18" i="3"/>
  <c r="CM18" i="3"/>
  <c r="DK18" i="3"/>
  <c r="EF18" i="3"/>
  <c r="FC18" i="3"/>
  <c r="FX18" i="3"/>
  <c r="GR18" i="3"/>
  <c r="AB19" i="3"/>
  <c r="AT19" i="3"/>
  <c r="BL19" i="3"/>
  <c r="CD19" i="3"/>
  <c r="CV19" i="3"/>
  <c r="DN19" i="3"/>
  <c r="EF19" i="3"/>
  <c r="EX19" i="3"/>
  <c r="FP19" i="3"/>
  <c r="GF19" i="3"/>
  <c r="GV19" i="3"/>
  <c r="AD20" i="3"/>
  <c r="AT20" i="3"/>
  <c r="BJ20" i="3"/>
  <c r="BZ20" i="3"/>
  <c r="CP20" i="3"/>
  <c r="DF20" i="3"/>
  <c r="DV20" i="3"/>
  <c r="EL20" i="3"/>
  <c r="EZ20" i="3"/>
  <c r="FM20" i="3"/>
  <c r="FZ20" i="3"/>
  <c r="GM20" i="3"/>
  <c r="GZ20" i="3"/>
  <c r="AD21" i="3"/>
  <c r="AP21" i="3"/>
  <c r="BB21" i="3"/>
  <c r="EG10" i="3"/>
  <c r="W12" i="3"/>
  <c r="ET12" i="3"/>
  <c r="BZ13" i="3"/>
  <c r="GR13" i="3"/>
  <c r="DC14" i="3"/>
  <c r="GY14" i="3"/>
  <c r="CY15" i="3"/>
  <c r="FT15" i="3"/>
  <c r="AI16" i="3"/>
  <c r="CE16" i="3"/>
  <c r="DU16" i="3"/>
  <c r="FD16" i="3"/>
  <c r="GI16" i="3"/>
  <c r="AG17" i="3"/>
  <c r="BH17" i="3"/>
  <c r="CL17" i="3"/>
  <c r="DP17" i="3"/>
  <c r="ER17" i="3"/>
  <c r="FX17" i="3"/>
  <c r="S18" i="3"/>
  <c r="AV18" i="3"/>
  <c r="BR18" i="3"/>
  <c r="CO18" i="3"/>
  <c r="DL18" i="3"/>
  <c r="EG18" i="3"/>
  <c r="FE18" i="3"/>
  <c r="FY18" i="3"/>
  <c r="GS18" i="3"/>
  <c r="AC19" i="3"/>
  <c r="AU19" i="3"/>
  <c r="BM19" i="3"/>
  <c r="CE19" i="3"/>
  <c r="CW19" i="3"/>
  <c r="DO19" i="3"/>
  <c r="EG19" i="3"/>
  <c r="EY19" i="3"/>
  <c r="FQ19" i="3"/>
  <c r="GH19" i="3"/>
  <c r="GW19" i="3"/>
  <c r="AE20" i="3"/>
  <c r="AV20" i="3"/>
  <c r="BK20" i="3"/>
  <c r="CA20" i="3"/>
  <c r="CR20" i="3"/>
  <c r="DG20" i="3"/>
  <c r="DW20" i="3"/>
  <c r="EN20" i="3"/>
  <c r="FA20" i="3"/>
  <c r="FN20" i="3"/>
  <c r="GA20" i="3"/>
  <c r="GN20" i="3"/>
  <c r="S21" i="3"/>
  <c r="AE21" i="3"/>
  <c r="AQ21" i="3"/>
  <c r="BC21" i="3"/>
  <c r="BO21" i="3"/>
  <c r="CA21" i="3"/>
  <c r="CM21" i="3"/>
  <c r="CY21" i="3"/>
  <c r="DK21" i="3"/>
  <c r="DW21" i="3"/>
  <c r="EI21" i="3"/>
  <c r="EU21" i="3"/>
  <c r="FG21" i="3"/>
  <c r="FS21" i="3"/>
  <c r="GE21" i="3"/>
  <c r="GQ21" i="3"/>
  <c r="U22" i="3"/>
  <c r="AG22" i="3"/>
  <c r="AS22" i="3"/>
  <c r="BE22" i="3"/>
  <c r="GT10" i="3"/>
  <c r="AL12" i="3"/>
  <c r="FK12" i="3"/>
  <c r="CN13" i="3"/>
  <c r="W14" i="3"/>
  <c r="DP14" i="3"/>
  <c r="Z15" i="3"/>
  <c r="DK15" i="3"/>
  <c r="FZ15" i="3"/>
  <c r="AN16" i="3"/>
  <c r="CK16" i="3"/>
  <c r="DZ16" i="3"/>
  <c r="FH16" i="3"/>
  <c r="GL16" i="3"/>
  <c r="AH17" i="3"/>
  <c r="BI17" i="3"/>
  <c r="CP17" i="3"/>
  <c r="DS17" i="3"/>
  <c r="EX17" i="3"/>
  <c r="FY17" i="3"/>
  <c r="U18" i="3"/>
  <c r="AX18" i="3"/>
  <c r="BS18" i="3"/>
  <c r="CQ18" i="3"/>
  <c r="DM18" i="3"/>
  <c r="EK18" i="3"/>
  <c r="FF18" i="3"/>
  <c r="GA18" i="3"/>
  <c r="GT18" i="3"/>
  <c r="AD19" i="3"/>
  <c r="AV19" i="3"/>
  <c r="BN19" i="3"/>
  <c r="CF19" i="3"/>
  <c r="CX19" i="3"/>
  <c r="DP19" i="3"/>
  <c r="EH19" i="3"/>
  <c r="EZ19" i="3"/>
  <c r="AI11" i="3"/>
  <c r="AS12" i="3"/>
  <c r="FM12" i="3"/>
  <c r="CV13" i="3"/>
  <c r="X14" i="3"/>
  <c r="DU14" i="3"/>
  <c r="AE15" i="3"/>
  <c r="CQ11" i="3"/>
  <c r="BP12" i="3"/>
  <c r="GI12" i="3"/>
  <c r="DL13" i="3"/>
  <c r="AQ14" i="3"/>
  <c r="EK14" i="3"/>
  <c r="AR15" i="3"/>
  <c r="EC15" i="3"/>
  <c r="GJ15" i="3"/>
  <c r="AY16" i="3"/>
  <c r="CW16" i="3"/>
  <c r="EF16" i="3"/>
  <c r="FO16" i="3"/>
  <c r="GQ16" i="3"/>
  <c r="AM17" i="3"/>
  <c r="BR17" i="3"/>
  <c r="CR17" i="3"/>
  <c r="DY17" i="3"/>
  <c r="FA17" i="3"/>
  <c r="GG17" i="3"/>
  <c r="Z18" i="3"/>
  <c r="BA18" i="3"/>
  <c r="BY18" i="3"/>
  <c r="CS18" i="3"/>
  <c r="DQ18" i="3"/>
  <c r="EM18" i="3"/>
  <c r="FK18" i="3"/>
  <c r="GE18" i="3"/>
  <c r="GX18" i="3"/>
  <c r="AH19" i="3"/>
  <c r="AZ19" i="3"/>
  <c r="BR19" i="3"/>
  <c r="CJ19" i="3"/>
  <c r="DB19" i="3"/>
  <c r="DT19" i="3"/>
  <c r="EL19" i="3"/>
  <c r="FD19" i="3"/>
  <c r="FV19" i="3"/>
  <c r="GK19" i="3"/>
  <c r="S20" i="3"/>
  <c r="AJ20" i="3"/>
  <c r="AY20" i="3"/>
  <c r="BO20" i="3"/>
  <c r="CF20" i="3"/>
  <c r="CU20" i="3"/>
  <c r="DK20" i="3"/>
  <c r="EB20" i="3"/>
  <c r="EQ20" i="3"/>
  <c r="FD20" i="3"/>
  <c r="FQ20" i="3"/>
  <c r="GD20" i="3"/>
  <c r="GQ20" i="3"/>
  <c r="DE11" i="3"/>
  <c r="CE12" i="3"/>
  <c r="GS12" i="3"/>
  <c r="DX13" i="3"/>
  <c r="AY14" i="3"/>
  <c r="EQ14" i="3"/>
  <c r="BA15" i="3"/>
  <c r="EI15" i="3"/>
  <c r="GO15" i="3"/>
  <c r="BC16" i="3"/>
  <c r="CZ16" i="3"/>
  <c r="EJ16" i="3"/>
  <c r="FS16" i="3"/>
  <c r="GX16" i="3"/>
  <c r="AQ17" i="3"/>
  <c r="BU17" i="3"/>
  <c r="CY17" i="3"/>
  <c r="EA17" i="3"/>
  <c r="FF17" i="3"/>
  <c r="GI17" i="3"/>
  <c r="AF18" i="3"/>
  <c r="BD18" i="3"/>
  <c r="CB18" i="3"/>
  <c r="CY18" i="3"/>
  <c r="DT18" i="3"/>
  <c r="ER18" i="3"/>
  <c r="FM18" i="3"/>
  <c r="GG18" i="3"/>
  <c r="GZ18" i="3"/>
  <c r="AJ19" i="3"/>
  <c r="BB19" i="3"/>
  <c r="BT19" i="3"/>
  <c r="CL19" i="3"/>
  <c r="DD19" i="3"/>
  <c r="DV19" i="3"/>
  <c r="EN19" i="3"/>
  <c r="FF19" i="3"/>
  <c r="FX19" i="3"/>
  <c r="GN19" i="3"/>
  <c r="V20" i="3"/>
  <c r="AL20" i="3"/>
  <c r="BB20" i="3"/>
  <c r="BR20" i="3"/>
  <c r="CH20" i="3"/>
  <c r="CX20" i="3"/>
  <c r="DN20" i="3"/>
  <c r="ED20" i="3"/>
  <c r="ES20" i="3"/>
  <c r="FF20" i="3"/>
  <c r="FS20" i="3"/>
  <c r="GF20" i="3"/>
  <c r="GT20" i="3"/>
  <c r="X21" i="3"/>
  <c r="AJ21" i="3"/>
  <c r="AV21" i="3"/>
  <c r="BH21" i="3"/>
  <c r="BT21" i="3"/>
  <c r="CF21" i="3"/>
  <c r="CR21" i="3"/>
  <c r="DD21" i="3"/>
  <c r="DP21" i="3"/>
  <c r="EB21" i="3"/>
  <c r="EN21" i="3"/>
  <c r="EZ21" i="3"/>
  <c r="FL21" i="3"/>
  <c r="FX21" i="3"/>
  <c r="GJ21" i="3"/>
  <c r="GV21" i="3"/>
  <c r="Z22" i="3"/>
  <c r="AL22" i="3"/>
  <c r="AX22" i="3"/>
  <c r="BJ22" i="3"/>
  <c r="BV22" i="3"/>
  <c r="CH22" i="3"/>
  <c r="CT22" i="3"/>
  <c r="DF22" i="3"/>
  <c r="DY11" i="3"/>
  <c r="CO12" i="3"/>
  <c r="GZ12" i="3"/>
  <c r="EJ13" i="3"/>
  <c r="BG14" i="3"/>
  <c r="EZ14" i="3"/>
  <c r="BI15" i="3"/>
  <c r="EO15" i="3"/>
  <c r="GR15" i="3"/>
  <c r="BG16" i="3"/>
  <c r="DC16" i="3"/>
  <c r="EL16" i="3"/>
  <c r="FU16" i="3"/>
  <c r="GY16" i="3"/>
  <c r="AS17" i="3"/>
  <c r="BX17" i="3"/>
  <c r="DA17" i="3"/>
  <c r="EG17" i="3"/>
  <c r="FG17" i="3"/>
  <c r="GM17" i="3"/>
  <c r="AG18" i="3"/>
  <c r="BE18" i="3"/>
  <c r="CD18" i="3"/>
  <c r="CZ18" i="3"/>
  <c r="DX18" i="3"/>
  <c r="ES18" i="3"/>
  <c r="FP18" i="3"/>
  <c r="GH18" i="3"/>
  <c r="T19" i="3"/>
  <c r="AK19" i="3"/>
  <c r="BD19" i="3"/>
  <c r="BU19" i="3"/>
  <c r="CN19" i="3"/>
  <c r="DE19" i="3"/>
  <c r="DX19" i="3"/>
  <c r="ES11" i="3"/>
  <c r="DC12" i="3"/>
  <c r="AI13" i="3"/>
  <c r="EV13" i="3"/>
  <c r="BT14" i="3"/>
  <c r="FL14" i="3"/>
  <c r="BS15" i="3"/>
  <c r="EY15" i="3"/>
  <c r="GX15" i="3"/>
  <c r="BM16" i="3"/>
  <c r="DH16" i="3"/>
  <c r="EQ16" i="3"/>
  <c r="FW16" i="3"/>
  <c r="GZ16" i="3"/>
  <c r="AY17" i="3"/>
  <c r="BY17" i="3"/>
  <c r="DD17" i="3"/>
  <c r="EH17" i="3"/>
  <c r="FJ17" i="3"/>
  <c r="GO17" i="3"/>
  <c r="AI18" i="3"/>
  <c r="BK18" i="3"/>
  <c r="CE18" i="3"/>
  <c r="DB18" i="3"/>
  <c r="DY18" i="3"/>
  <c r="ET18" i="3"/>
  <c r="FR18" i="3"/>
  <c r="GK18" i="3"/>
  <c r="V19" i="3"/>
  <c r="AN19" i="3"/>
  <c r="BF19" i="3"/>
  <c r="BX19" i="3"/>
  <c r="CP19" i="3"/>
  <c r="DH19" i="3"/>
  <c r="DZ19" i="3"/>
  <c r="ER19" i="3"/>
  <c r="FJ19" i="3"/>
  <c r="FZ19" i="3"/>
  <c r="GP19" i="3"/>
  <c r="Y20" i="3"/>
  <c r="AN20" i="3"/>
  <c r="BD20" i="3"/>
  <c r="BU20" i="3"/>
  <c r="CJ20" i="3"/>
  <c r="CZ20" i="3"/>
  <c r="DQ20" i="3"/>
  <c r="EF20" i="3"/>
  <c r="EU20" i="3"/>
  <c r="FH20" i="3"/>
  <c r="FV20" i="3"/>
  <c r="GI20" i="3"/>
  <c r="GV20" i="3"/>
  <c r="Z21" i="3"/>
  <c r="AL21" i="3"/>
  <c r="AX21" i="3"/>
  <c r="BJ21" i="3"/>
  <c r="BV21" i="3"/>
  <c r="CH21" i="3"/>
  <c r="CT21" i="3"/>
  <c r="DF21" i="3"/>
  <c r="DR21" i="3"/>
  <c r="ED21" i="3"/>
  <c r="EP21" i="3"/>
  <c r="FB21" i="3"/>
  <c r="FN21" i="3"/>
  <c r="FZ21" i="3"/>
  <c r="GL21" i="3"/>
  <c r="GX21" i="3"/>
  <c r="AB22" i="3"/>
  <c r="AN22" i="3"/>
  <c r="AZ22" i="3"/>
  <c r="BL22" i="3"/>
  <c r="DD11" i="3"/>
  <c r="GK15" i="3"/>
  <c r="FQ16" i="3"/>
  <c r="CX17" i="3"/>
  <c r="AA18" i="3"/>
  <c r="DS18" i="3"/>
  <c r="GY18" i="3"/>
  <c r="CK19" i="3"/>
  <c r="FA19" i="3"/>
  <c r="GJ19" i="3"/>
  <c r="AH20" i="3"/>
  <c r="BN20" i="3"/>
  <c r="CT20" i="3"/>
  <c r="DZ20" i="3"/>
  <c r="FC20" i="3"/>
  <c r="GC20" i="3"/>
  <c r="U21" i="3"/>
  <c r="AN21" i="3"/>
  <c r="BI21" i="3"/>
  <c r="CB21" i="3"/>
  <c r="CS21" i="3"/>
  <c r="DL21" i="3"/>
  <c r="EC21" i="3"/>
  <c r="EV21" i="3"/>
  <c r="FM21" i="3"/>
  <c r="GF21" i="3"/>
  <c r="GW21" i="3"/>
  <c r="AH22" i="3"/>
  <c r="AY22" i="3"/>
  <c r="BQ22" i="3"/>
  <c r="CE22" i="3"/>
  <c r="CS22" i="3"/>
  <c r="DH22" i="3"/>
  <c r="DU22" i="3"/>
  <c r="EH22" i="3"/>
  <c r="EV22" i="3"/>
  <c r="FI22" i="3"/>
  <c r="FV22" i="3"/>
  <c r="GI22" i="3"/>
  <c r="GV22" i="3"/>
  <c r="AA23" i="3"/>
  <c r="AM23" i="3"/>
  <c r="AY23" i="3"/>
  <c r="BK23" i="3"/>
  <c r="BW23" i="3"/>
  <c r="CI23" i="3"/>
  <c r="CU23" i="3"/>
  <c r="DG23" i="3"/>
  <c r="DS23" i="3"/>
  <c r="EE23" i="3"/>
  <c r="EQ23" i="3"/>
  <c r="FC23" i="3"/>
  <c r="FO23" i="3"/>
  <c r="GA23" i="3"/>
  <c r="GM23" i="3"/>
  <c r="GY23" i="3"/>
  <c r="AC24" i="3"/>
  <c r="AO24" i="3"/>
  <c r="BA24" i="3"/>
  <c r="BM24" i="3"/>
  <c r="BY24" i="3"/>
  <c r="CK24" i="3"/>
  <c r="CW24" i="3"/>
  <c r="DI24" i="3"/>
  <c r="DU24" i="3"/>
  <c r="EG24" i="3"/>
  <c r="ES24" i="3"/>
  <c r="FE24" i="3"/>
  <c r="FQ24" i="3"/>
  <c r="GC24" i="3"/>
  <c r="GO24" i="3"/>
  <c r="S25" i="3"/>
  <c r="AE25" i="3"/>
  <c r="AQ25" i="3"/>
  <c r="BC25" i="3"/>
  <c r="BO25" i="3"/>
  <c r="CA25" i="3"/>
  <c r="CM25" i="3"/>
  <c r="CY25" i="3"/>
  <c r="DK25" i="3"/>
  <c r="DW25" i="3"/>
  <c r="EI25" i="3"/>
  <c r="EU25" i="3"/>
  <c r="FG25" i="3"/>
  <c r="FS25" i="3"/>
  <c r="GE25" i="3"/>
  <c r="GQ25" i="3"/>
  <c r="U26" i="3"/>
  <c r="AG26" i="3"/>
  <c r="AS26" i="3"/>
  <c r="BE26" i="3"/>
  <c r="BQ26" i="3"/>
  <c r="CC26" i="3"/>
  <c r="CO26" i="3"/>
  <c r="DA26" i="3"/>
  <c r="DM26" i="3"/>
  <c r="BV12" i="3"/>
  <c r="Z16" i="3"/>
  <c r="GA16" i="3"/>
  <c r="DI17" i="3"/>
  <c r="AN18" i="3"/>
  <c r="EB18" i="3"/>
  <c r="X19" i="3"/>
  <c r="CR19" i="3"/>
  <c r="FE19" i="3"/>
  <c r="GL19" i="3"/>
  <c r="AK20" i="3"/>
  <c r="BP20" i="3"/>
  <c r="CV20" i="3"/>
  <c r="EC20" i="3"/>
  <c r="FE20" i="3"/>
  <c r="GE20" i="3"/>
  <c r="V21" i="3"/>
  <c r="AR21" i="3"/>
  <c r="BK21" i="3"/>
  <c r="CC21" i="3"/>
  <c r="CU21" i="3"/>
  <c r="DM21" i="3"/>
  <c r="EE21" i="3"/>
  <c r="EW21" i="3"/>
  <c r="FO21" i="3"/>
  <c r="GG21" i="3"/>
  <c r="GY21" i="3"/>
  <c r="AI22" i="3"/>
  <c r="BA22" i="3"/>
  <c r="BR22" i="3"/>
  <c r="CF22" i="3"/>
  <c r="CU22" i="3"/>
  <c r="DI22" i="3"/>
  <c r="DV22" i="3"/>
  <c r="EJ22" i="3"/>
  <c r="EW22" i="3"/>
  <c r="FJ22" i="3"/>
  <c r="FW22" i="3"/>
  <c r="GJ22" i="3"/>
  <c r="GW22" i="3"/>
  <c r="AB23" i="3"/>
  <c r="AN23" i="3"/>
  <c r="AZ23" i="3"/>
  <c r="BL23" i="3"/>
  <c r="BX23" i="3"/>
  <c r="CJ23" i="3"/>
  <c r="CV23" i="3"/>
  <c r="DH23" i="3"/>
  <c r="DT23" i="3"/>
  <c r="EF23" i="3"/>
  <c r="ER23" i="3"/>
  <c r="FD23" i="3"/>
  <c r="FP23" i="3"/>
  <c r="GB23" i="3"/>
  <c r="GN23" i="3"/>
  <c r="GZ23" i="3"/>
  <c r="AD24" i="3"/>
  <c r="AP24" i="3"/>
  <c r="BB24" i="3"/>
  <c r="BN24" i="3"/>
  <c r="BZ24" i="3"/>
  <c r="CL24" i="3"/>
  <c r="CX24" i="3"/>
  <c r="DJ24" i="3"/>
  <c r="GK12" i="3"/>
  <c r="AR16" i="3"/>
  <c r="GO16" i="3"/>
  <c r="DU17" i="3"/>
  <c r="AY18" i="3"/>
  <c r="EL18" i="3"/>
  <c r="AF19" i="3"/>
  <c r="CZ19" i="3"/>
  <c r="FH19" i="3"/>
  <c r="GO19" i="3"/>
  <c r="AM20" i="3"/>
  <c r="BT20" i="3"/>
  <c r="CY20" i="3"/>
  <c r="EE20" i="3"/>
  <c r="FG20" i="3"/>
  <c r="GH20" i="3"/>
  <c r="W21" i="3"/>
  <c r="AS21" i="3"/>
  <c r="BL21" i="3"/>
  <c r="CD21" i="3"/>
  <c r="CV21" i="3"/>
  <c r="DN21" i="3"/>
  <c r="EF21" i="3"/>
  <c r="EX21" i="3"/>
  <c r="FP21" i="3"/>
  <c r="GH21" i="3"/>
  <c r="GZ21" i="3"/>
  <c r="AJ22" i="3"/>
  <c r="BB22" i="3"/>
  <c r="BS22" i="3"/>
  <c r="CG22" i="3"/>
  <c r="CV22" i="3"/>
  <c r="DJ22" i="3"/>
  <c r="DX22" i="3"/>
  <c r="EK22" i="3"/>
  <c r="EX22" i="3"/>
  <c r="FK22" i="3"/>
  <c r="FX22" i="3"/>
  <c r="GK22" i="3"/>
  <c r="GX22" i="3"/>
  <c r="AC23" i="3"/>
  <c r="AO23" i="3"/>
  <c r="BA23" i="3"/>
  <c r="BM23" i="3"/>
  <c r="BY23" i="3"/>
  <c r="CK23" i="3"/>
  <c r="CW23" i="3"/>
  <c r="DI23" i="3"/>
  <c r="DU23" i="3"/>
  <c r="EG23" i="3"/>
  <c r="ES23" i="3"/>
  <c r="FE23" i="3"/>
  <c r="FQ23" i="3"/>
  <c r="GC23" i="3"/>
  <c r="GO23" i="3"/>
  <c r="S24" i="3"/>
  <c r="AE24" i="3"/>
  <c r="AQ24" i="3"/>
  <c r="BC24" i="3"/>
  <c r="BO24" i="3"/>
  <c r="CA24" i="3"/>
  <c r="CM24" i="3"/>
  <c r="CY24" i="3"/>
  <c r="DK24" i="3"/>
  <c r="DW24" i="3"/>
  <c r="EI24" i="3"/>
  <c r="EU24" i="3"/>
  <c r="FG24" i="3"/>
  <c r="FS24" i="3"/>
  <c r="GE24" i="3"/>
  <c r="GQ24" i="3"/>
  <c r="U25" i="3"/>
  <c r="AG25" i="3"/>
  <c r="AS25" i="3"/>
  <c r="BE25" i="3"/>
  <c r="BQ25" i="3"/>
  <c r="CC25" i="3"/>
  <c r="CO25" i="3"/>
  <c r="DA25" i="3"/>
  <c r="DM25" i="3"/>
  <c r="DY25" i="3"/>
  <c r="EK25" i="3"/>
  <c r="EW25" i="3"/>
  <c r="FI25" i="3"/>
  <c r="FU25" i="3"/>
  <c r="GG25" i="3"/>
  <c r="GS25" i="3"/>
  <c r="W26" i="3"/>
  <c r="AI26" i="3"/>
  <c r="AU26" i="3"/>
  <c r="BG26" i="3"/>
  <c r="BS26" i="3"/>
  <c r="CE26" i="3"/>
  <c r="CQ26" i="3"/>
  <c r="DC26" i="3"/>
  <c r="DO26" i="3"/>
  <c r="EA26" i="3"/>
  <c r="EM26" i="3"/>
  <c r="EY26" i="3"/>
  <c r="FK26" i="3"/>
  <c r="FW26" i="3"/>
  <c r="GI26" i="3"/>
  <c r="GU26" i="3"/>
  <c r="Y27" i="3"/>
  <c r="AK27" i="3"/>
  <c r="AW27" i="3"/>
  <c r="BI27" i="3"/>
  <c r="BU27" i="3"/>
  <c r="CG27" i="3"/>
  <c r="CS27" i="3"/>
  <c r="DE27" i="3"/>
  <c r="DQ27" i="3"/>
  <c r="EC27" i="3"/>
  <c r="EO27" i="3"/>
  <c r="FA27" i="3"/>
  <c r="FM27" i="3"/>
  <c r="FY27" i="3"/>
  <c r="GK27" i="3"/>
  <c r="GW27" i="3"/>
  <c r="AA28" i="3"/>
  <c r="AM28" i="3"/>
  <c r="AY28" i="3"/>
  <c r="BK28" i="3"/>
  <c r="BW28" i="3"/>
  <c r="CI28" i="3"/>
  <c r="CU28" i="3"/>
  <c r="DG28" i="3"/>
  <c r="DS28" i="3"/>
  <c r="EE28" i="3"/>
  <c r="EQ28" i="3"/>
  <c r="FC28" i="3"/>
  <c r="FO28" i="3"/>
  <c r="GA28" i="3"/>
  <c r="GM28" i="3"/>
  <c r="GY28" i="3"/>
  <c r="AC29" i="3"/>
  <c r="AO29" i="3"/>
  <c r="BA29" i="3"/>
  <c r="BM29" i="3"/>
  <c r="BY29" i="3"/>
  <c r="DV13" i="3"/>
  <c r="BA16" i="3"/>
  <c r="GR16" i="3"/>
  <c r="DZ17" i="3"/>
  <c r="BC18" i="3"/>
  <c r="EO18" i="3"/>
  <c r="AI19" i="3"/>
  <c r="DC19" i="3"/>
  <c r="FK19" i="3"/>
  <c r="GR19" i="3"/>
  <c r="AP20" i="3"/>
  <c r="BV20" i="3"/>
  <c r="DB20" i="3"/>
  <c r="EH20" i="3"/>
  <c r="FJ20" i="3"/>
  <c r="GJ20" i="3"/>
  <c r="Y21" i="3"/>
  <c r="AT21" i="3"/>
  <c r="BN21" i="3"/>
  <c r="CE21" i="3"/>
  <c r="CX21" i="3"/>
  <c r="DO21" i="3"/>
  <c r="EH21" i="3"/>
  <c r="EY21" i="3"/>
  <c r="FR21" i="3"/>
  <c r="GI21" i="3"/>
  <c r="T22" i="3"/>
  <c r="AK22" i="3"/>
  <c r="BD22" i="3"/>
  <c r="BT22" i="3"/>
  <c r="CI22" i="3"/>
  <c r="CW22" i="3"/>
  <c r="DL22" i="3"/>
  <c r="DY22" i="3"/>
  <c r="EL22" i="3"/>
  <c r="EY22" i="3"/>
  <c r="FL22" i="3"/>
  <c r="FY22" i="3"/>
  <c r="GL22" i="3"/>
  <c r="GY22" i="3"/>
  <c r="AD23" i="3"/>
  <c r="AP23" i="3"/>
  <c r="BB23" i="3"/>
  <c r="BN23" i="3"/>
  <c r="BZ23" i="3"/>
  <c r="CL23" i="3"/>
  <c r="CX23" i="3"/>
  <c r="DJ23" i="3"/>
  <c r="DV23" i="3"/>
  <c r="EH23" i="3"/>
  <c r="ET23" i="3"/>
  <c r="FF23" i="3"/>
  <c r="FR23" i="3"/>
  <c r="GD23" i="3"/>
  <c r="GP23" i="3"/>
  <c r="T24" i="3"/>
  <c r="AF24" i="3"/>
  <c r="AR24" i="3"/>
  <c r="BD24" i="3"/>
  <c r="BP24" i="3"/>
  <c r="CB24" i="3"/>
  <c r="CN24" i="3"/>
  <c r="CZ24" i="3"/>
  <c r="DL24" i="3"/>
  <c r="DX24" i="3"/>
  <c r="EJ24" i="3"/>
  <c r="EV24" i="3"/>
  <c r="FH24" i="3"/>
  <c r="FT24" i="3"/>
  <c r="GF24" i="3"/>
  <c r="GR24" i="3"/>
  <c r="V25" i="3"/>
  <c r="AH25" i="3"/>
  <c r="AT25" i="3"/>
  <c r="BF25" i="3"/>
  <c r="BR25" i="3"/>
  <c r="CD25" i="3"/>
  <c r="CP25" i="3"/>
  <c r="DB25" i="3"/>
  <c r="DN25" i="3"/>
  <c r="DZ25" i="3"/>
  <c r="EL25" i="3"/>
  <c r="EX25" i="3"/>
  <c r="FJ25" i="3"/>
  <c r="FV25" i="3"/>
  <c r="GH25" i="3"/>
  <c r="GT25" i="3"/>
  <c r="X26" i="3"/>
  <c r="AJ26" i="3"/>
  <c r="AV26" i="3"/>
  <c r="BH26" i="3"/>
  <c r="BT26" i="3"/>
  <c r="CF26" i="3"/>
  <c r="CR26" i="3"/>
  <c r="DD26" i="3"/>
  <c r="DP26" i="3"/>
  <c r="EB26" i="3"/>
  <c r="EN26" i="3"/>
  <c r="EZ26" i="3"/>
  <c r="FL26" i="3"/>
  <c r="FX26" i="3"/>
  <c r="GJ26" i="3"/>
  <c r="GV26" i="3"/>
  <c r="Z27" i="3"/>
  <c r="AL27" i="3"/>
  <c r="AX27" i="3"/>
  <c r="BJ27" i="3"/>
  <c r="BV27" i="3"/>
  <c r="CH27" i="3"/>
  <c r="CT27" i="3"/>
  <c r="DF27" i="3"/>
  <c r="DR27" i="3"/>
  <c r="ED27" i="3"/>
  <c r="EP27" i="3"/>
  <c r="FB27" i="3"/>
  <c r="FN27" i="3"/>
  <c r="FZ27" i="3"/>
  <c r="GL27" i="3"/>
  <c r="GX27" i="3"/>
  <c r="AB28" i="3"/>
  <c r="AN28" i="3"/>
  <c r="AZ28" i="3"/>
  <c r="BL28" i="3"/>
  <c r="BX28" i="3"/>
  <c r="CJ28" i="3"/>
  <c r="CV28" i="3"/>
  <c r="DH28" i="3"/>
  <c r="DT28" i="3"/>
  <c r="EF28" i="3"/>
  <c r="ER28" i="3"/>
  <c r="FD28" i="3"/>
  <c r="FP28" i="3"/>
  <c r="GB28" i="3"/>
  <c r="GN28" i="3"/>
  <c r="GZ28" i="3"/>
  <c r="AD29" i="3"/>
  <c r="AP29" i="3"/>
  <c r="BB29" i="3"/>
  <c r="BN29" i="3"/>
  <c r="AS14" i="3"/>
  <c r="BW16" i="3"/>
  <c r="X17" i="3"/>
  <c r="EM17" i="3"/>
  <c r="BM18" i="3"/>
  <c r="EY18" i="3"/>
  <c r="AP19" i="3"/>
  <c r="DJ19" i="3"/>
  <c r="FL19" i="3"/>
  <c r="GT19" i="3"/>
  <c r="AQ20" i="3"/>
  <c r="BW20" i="3"/>
  <c r="DD20" i="3"/>
  <c r="EI20" i="3"/>
  <c r="FK20" i="3"/>
  <c r="GK20" i="3"/>
  <c r="AA21" i="3"/>
  <c r="AU21" i="3"/>
  <c r="BP21" i="3"/>
  <c r="CG21" i="3"/>
  <c r="CZ21" i="3"/>
  <c r="DQ21" i="3"/>
  <c r="EJ21" i="3"/>
  <c r="FA21" i="3"/>
  <c r="FT21" i="3"/>
  <c r="GK21" i="3"/>
  <c r="V22" i="3"/>
  <c r="AM22" i="3"/>
  <c r="BF22" i="3"/>
  <c r="BU22" i="3"/>
  <c r="CJ22" i="3"/>
  <c r="CX22" i="3"/>
  <c r="DM22" i="3"/>
  <c r="DZ22" i="3"/>
  <c r="EM22" i="3"/>
  <c r="EZ22" i="3"/>
  <c r="FM22" i="3"/>
  <c r="FZ22" i="3"/>
  <c r="GM22" i="3"/>
  <c r="GZ22" i="3"/>
  <c r="AE23" i="3"/>
  <c r="AQ23" i="3"/>
  <c r="BC23" i="3"/>
  <c r="BO23" i="3"/>
  <c r="CA23" i="3"/>
  <c r="CM23" i="3"/>
  <c r="CY23" i="3"/>
  <c r="DK23" i="3"/>
  <c r="DW23" i="3"/>
  <c r="EI23" i="3"/>
  <c r="EU23" i="3"/>
  <c r="FG23" i="3"/>
  <c r="FS23" i="3"/>
  <c r="GE23" i="3"/>
  <c r="GQ23" i="3"/>
  <c r="U24" i="3"/>
  <c r="AG24" i="3"/>
  <c r="AS24" i="3"/>
  <c r="BE24" i="3"/>
  <c r="BQ24" i="3"/>
  <c r="CC24" i="3"/>
  <c r="CO24" i="3"/>
  <c r="DA24" i="3"/>
  <c r="DM24" i="3"/>
  <c r="DY24" i="3"/>
  <c r="EK24" i="3"/>
  <c r="EW24" i="3"/>
  <c r="FI24" i="3"/>
  <c r="FU24" i="3"/>
  <c r="GG24" i="3"/>
  <c r="GS24" i="3"/>
  <c r="W25" i="3"/>
  <c r="AI25" i="3"/>
  <c r="AU25" i="3"/>
  <c r="BG25" i="3"/>
  <c r="BS25" i="3"/>
  <c r="CE25" i="3"/>
  <c r="CQ25" i="3"/>
  <c r="DC25" i="3"/>
  <c r="DO25" i="3"/>
  <c r="EA25" i="3"/>
  <c r="EM25" i="3"/>
  <c r="EY25" i="3"/>
  <c r="FK25" i="3"/>
  <c r="FW25" i="3"/>
  <c r="GI25" i="3"/>
  <c r="GU25" i="3"/>
  <c r="Y26" i="3"/>
  <c r="AK26" i="3"/>
  <c r="AW26" i="3"/>
  <c r="BI26" i="3"/>
  <c r="BU26" i="3"/>
  <c r="CG26" i="3"/>
  <c r="CS26" i="3"/>
  <c r="DE26" i="3"/>
  <c r="DQ26" i="3"/>
  <c r="EC26" i="3"/>
  <c r="EO26" i="3"/>
  <c r="FA26" i="3"/>
  <c r="FM26" i="3"/>
  <c r="FY26" i="3"/>
  <c r="GK26" i="3"/>
  <c r="GW26" i="3"/>
  <c r="AA27" i="3"/>
  <c r="AM27" i="3"/>
  <c r="AY27" i="3"/>
  <c r="BK27" i="3"/>
  <c r="BW27" i="3"/>
  <c r="CI27" i="3"/>
  <c r="CU27" i="3"/>
  <c r="DG27" i="3"/>
  <c r="DS27" i="3"/>
  <c r="EE27" i="3"/>
  <c r="EQ27" i="3"/>
  <c r="FC27" i="3"/>
  <c r="FO27" i="3"/>
  <c r="GA27" i="3"/>
  <c r="GM27" i="3"/>
  <c r="GY27" i="3"/>
  <c r="AC28" i="3"/>
  <c r="AO28" i="3"/>
  <c r="BA28" i="3"/>
  <c r="BM28" i="3"/>
  <c r="BY28" i="3"/>
  <c r="CK28" i="3"/>
  <c r="CW28" i="3"/>
  <c r="DI28" i="3"/>
  <c r="DU28" i="3"/>
  <c r="EG28" i="3"/>
  <c r="ES28" i="3"/>
  <c r="EO14" i="3"/>
  <c r="CO16" i="3"/>
  <c r="AJ17" i="3"/>
  <c r="EZ17" i="3"/>
  <c r="BX18" i="3"/>
  <c r="FG18" i="3"/>
  <c r="AW19" i="3"/>
  <c r="DQ19" i="3"/>
  <c r="FR19" i="3"/>
  <c r="GX19" i="3"/>
  <c r="AW20" i="3"/>
  <c r="CB20" i="3"/>
  <c r="DH20" i="3"/>
  <c r="EO20" i="3"/>
  <c r="FO20" i="3"/>
  <c r="GO20" i="3"/>
  <c r="AB21" i="3"/>
  <c r="AW21" i="3"/>
  <c r="BQ21" i="3"/>
  <c r="CI21" i="3"/>
  <c r="DA21" i="3"/>
  <c r="DS21" i="3"/>
  <c r="EK21" i="3"/>
  <c r="FC21" i="3"/>
  <c r="FU21" i="3"/>
  <c r="GM21" i="3"/>
  <c r="W22" i="3"/>
  <c r="AO22" i="3"/>
  <c r="BG22" i="3"/>
  <c r="BW22" i="3"/>
  <c r="CK22" i="3"/>
  <c r="CZ22" i="3"/>
  <c r="DN22" i="3"/>
  <c r="EA22" i="3"/>
  <c r="EN22" i="3"/>
  <c r="FA22" i="3"/>
  <c r="FN22" i="3"/>
  <c r="GA22" i="3"/>
  <c r="GN22" i="3"/>
  <c r="S23" i="3"/>
  <c r="AF23" i="3"/>
  <c r="AR23" i="3"/>
  <c r="BD23" i="3"/>
  <c r="BP23" i="3"/>
  <c r="CB23" i="3"/>
  <c r="CN23" i="3"/>
  <c r="CZ23" i="3"/>
  <c r="DL23" i="3"/>
  <c r="DX23" i="3"/>
  <c r="EJ23" i="3"/>
  <c r="EV23" i="3"/>
  <c r="FH23" i="3"/>
  <c r="FT23" i="3"/>
  <c r="GF23" i="3"/>
  <c r="GR23" i="3"/>
  <c r="V24" i="3"/>
  <c r="AH24" i="3"/>
  <c r="AT24" i="3"/>
  <c r="BF24" i="3"/>
  <c r="BR24" i="3"/>
  <c r="CD24" i="3"/>
  <c r="CP24" i="3"/>
  <c r="DB24" i="3"/>
  <c r="DN24" i="3"/>
  <c r="DZ24" i="3"/>
  <c r="EL24" i="3"/>
  <c r="EX24" i="3"/>
  <c r="FJ24" i="3"/>
  <c r="FV24" i="3"/>
  <c r="GH24" i="3"/>
  <c r="GT24" i="3"/>
  <c r="X25" i="3"/>
  <c r="AJ25" i="3"/>
  <c r="AV25" i="3"/>
  <c r="BH25" i="3"/>
  <c r="BT25" i="3"/>
  <c r="CF25" i="3"/>
  <c r="CR25" i="3"/>
  <c r="DD25" i="3"/>
  <c r="DP25" i="3"/>
  <c r="EB25" i="3"/>
  <c r="EN25" i="3"/>
  <c r="EZ25" i="3"/>
  <c r="FL25" i="3"/>
  <c r="FX25" i="3"/>
  <c r="GJ25" i="3"/>
  <c r="GV25" i="3"/>
  <c r="Z26" i="3"/>
  <c r="AL26" i="3"/>
  <c r="AX26" i="3"/>
  <c r="BJ26" i="3"/>
  <c r="BV26" i="3"/>
  <c r="CH26" i="3"/>
  <c r="CT26" i="3"/>
  <c r="DF26" i="3"/>
  <c r="DR26" i="3"/>
  <c r="AW15" i="3"/>
  <c r="CY16" i="3"/>
  <c r="AP17" i="3"/>
  <c r="FD17" i="3"/>
  <c r="BZ18" i="3"/>
  <c r="FL18" i="3"/>
  <c r="BA19" i="3"/>
  <c r="DU19" i="3"/>
  <c r="FT19" i="3"/>
  <c r="GZ19" i="3"/>
  <c r="AX20" i="3"/>
  <c r="CD20" i="3"/>
  <c r="DJ20" i="3"/>
  <c r="EP20" i="3"/>
  <c r="FP20" i="3"/>
  <c r="GP20" i="3"/>
  <c r="AF21" i="3"/>
  <c r="AY21" i="3"/>
  <c r="BR21" i="3"/>
  <c r="CJ21" i="3"/>
  <c r="DB21" i="3"/>
  <c r="DT21" i="3"/>
  <c r="EL21" i="3"/>
  <c r="FD21" i="3"/>
  <c r="FV21" i="3"/>
  <c r="GN21" i="3"/>
  <c r="X22" i="3"/>
  <c r="AP22" i="3"/>
  <c r="BH22" i="3"/>
  <c r="BX22" i="3"/>
  <c r="CL22" i="3"/>
  <c r="DA22" i="3"/>
  <c r="DO22" i="3"/>
  <c r="EB22" i="3"/>
  <c r="EO22" i="3"/>
  <c r="FB22" i="3"/>
  <c r="FO22" i="3"/>
  <c r="GB22" i="3"/>
  <c r="GO22" i="3"/>
  <c r="T23" i="3"/>
  <c r="AG23" i="3"/>
  <c r="AS23" i="3"/>
  <c r="BE23" i="3"/>
  <c r="BQ23" i="3"/>
  <c r="CC23" i="3"/>
  <c r="CO23" i="3"/>
  <c r="DA23" i="3"/>
  <c r="DM23" i="3"/>
  <c r="DY23" i="3"/>
  <c r="EK23" i="3"/>
  <c r="EW23" i="3"/>
  <c r="FI23" i="3"/>
  <c r="FU23" i="3"/>
  <c r="GG23" i="3"/>
  <c r="GS23" i="3"/>
  <c r="W24" i="3"/>
  <c r="AI24" i="3"/>
  <c r="AU24" i="3"/>
  <c r="BG24" i="3"/>
  <c r="BS24" i="3"/>
  <c r="CE24" i="3"/>
  <c r="CQ24" i="3"/>
  <c r="DC24" i="3"/>
  <c r="DO24" i="3"/>
  <c r="CK15" i="3"/>
  <c r="DO16" i="3"/>
  <c r="BA17" i="3"/>
  <c r="FQ17" i="3"/>
  <c r="CK18" i="3"/>
  <c r="FT18" i="3"/>
  <c r="BH19" i="3"/>
  <c r="EB19" i="3"/>
  <c r="FW19" i="3"/>
  <c r="T20" i="3"/>
  <c r="AZ20" i="3"/>
  <c r="CG20" i="3"/>
  <c r="DL20" i="3"/>
  <c r="ER20" i="3"/>
  <c r="FR20" i="3"/>
  <c r="GR20" i="3"/>
  <c r="AG21" i="3"/>
  <c r="AZ21" i="3"/>
  <c r="BS21" i="3"/>
  <c r="CL21" i="3"/>
  <c r="DC21" i="3"/>
  <c r="DV21" i="3"/>
  <c r="EM21" i="3"/>
  <c r="FF21" i="3"/>
  <c r="FW21" i="3"/>
  <c r="GP21" i="3"/>
  <c r="Y22" i="3"/>
  <c r="AR22" i="3"/>
  <c r="BI22" i="3"/>
  <c r="BY22" i="3"/>
  <c r="CN22" i="3"/>
  <c r="DB22" i="3"/>
  <c r="DP22" i="3"/>
  <c r="EC22" i="3"/>
  <c r="EP22" i="3"/>
  <c r="FC22" i="3"/>
  <c r="FP22" i="3"/>
  <c r="GC22" i="3"/>
  <c r="GP22" i="3"/>
  <c r="V23" i="3"/>
  <c r="AH23" i="3"/>
  <c r="AT23" i="3"/>
  <c r="BF23" i="3"/>
  <c r="BR23" i="3"/>
  <c r="CD23" i="3"/>
  <c r="CP23" i="3"/>
  <c r="DB23" i="3"/>
  <c r="DN23" i="3"/>
  <c r="DZ23" i="3"/>
  <c r="EL23" i="3"/>
  <c r="EX23" i="3"/>
  <c r="FJ23" i="3"/>
  <c r="FV23" i="3"/>
  <c r="GH23" i="3"/>
  <c r="GT23" i="3"/>
  <c r="X24" i="3"/>
  <c r="AJ24" i="3"/>
  <c r="AV24" i="3"/>
  <c r="BH24" i="3"/>
  <c r="BT24" i="3"/>
  <c r="CF24" i="3"/>
  <c r="CR24" i="3"/>
  <c r="DD24" i="3"/>
  <c r="DP24" i="3"/>
  <c r="EB24" i="3"/>
  <c r="EN24" i="3"/>
  <c r="EZ24" i="3"/>
  <c r="FL24" i="3"/>
  <c r="FX24" i="3"/>
  <c r="GJ24" i="3"/>
  <c r="GV24" i="3"/>
  <c r="Z25" i="3"/>
  <c r="AL25" i="3"/>
  <c r="AX25" i="3"/>
  <c r="BJ25" i="3"/>
  <c r="BV25" i="3"/>
  <c r="CH25" i="3"/>
  <c r="CT25" i="3"/>
  <c r="DF25" i="3"/>
  <c r="DR25" i="3"/>
  <c r="ED25" i="3"/>
  <c r="EP25" i="3"/>
  <c r="FB25" i="3"/>
  <c r="FN25" i="3"/>
  <c r="FZ25" i="3"/>
  <c r="ED15" i="3"/>
  <c r="EG16" i="3"/>
  <c r="BS17" i="3"/>
  <c r="GH17" i="3"/>
  <c r="CX18" i="3"/>
  <c r="GF18" i="3"/>
  <c r="BS19" i="3"/>
  <c r="EM19" i="3"/>
  <c r="GB19" i="3"/>
  <c r="Z20" i="3"/>
  <c r="BF20" i="3"/>
  <c r="CL20" i="3"/>
  <c r="DR20" i="3"/>
  <c r="EV20" i="3"/>
  <c r="FW20" i="3"/>
  <c r="GW20" i="3"/>
  <c r="AI21" i="3"/>
  <c r="BE21" i="3"/>
  <c r="BW21" i="3"/>
  <c r="CO21" i="3"/>
  <c r="DG21" i="3"/>
  <c r="DY21" i="3"/>
  <c r="EQ21" i="3"/>
  <c r="FI21" i="3"/>
  <c r="GA21" i="3"/>
  <c r="GS21" i="3"/>
  <c r="AC22" i="3"/>
  <c r="AU22" i="3"/>
  <c r="BM22" i="3"/>
  <c r="CB22" i="3"/>
  <c r="CP22" i="3"/>
  <c r="DD22" i="3"/>
  <c r="DR22" i="3"/>
  <c r="EE22" i="3"/>
  <c r="ER22" i="3"/>
  <c r="FE22" i="3"/>
  <c r="FR22" i="3"/>
  <c r="GF22" i="3"/>
  <c r="GS22" i="3"/>
  <c r="X23" i="3"/>
  <c r="AJ23" i="3"/>
  <c r="AV23" i="3"/>
  <c r="BH23" i="3"/>
  <c r="BT23" i="3"/>
  <c r="CF23" i="3"/>
  <c r="CR23" i="3"/>
  <c r="DD23" i="3"/>
  <c r="DP23" i="3"/>
  <c r="EB23" i="3"/>
  <c r="EN23" i="3"/>
  <c r="EZ23" i="3"/>
  <c r="FL23" i="3"/>
  <c r="FX23" i="3"/>
  <c r="GJ23" i="3"/>
  <c r="GV23" i="3"/>
  <c r="Z24" i="3"/>
  <c r="AL24" i="3"/>
  <c r="AX24" i="3"/>
  <c r="BJ24" i="3"/>
  <c r="BV24" i="3"/>
  <c r="CH24" i="3"/>
  <c r="CT24" i="3"/>
  <c r="DF24" i="3"/>
  <c r="DR24" i="3"/>
  <c r="ED24" i="3"/>
  <c r="EP24" i="3"/>
  <c r="FB24" i="3"/>
  <c r="FN24" i="3"/>
  <c r="FZ24" i="3"/>
  <c r="GL24" i="3"/>
  <c r="GX24" i="3"/>
  <c r="AB25" i="3"/>
  <c r="AN25" i="3"/>
  <c r="AZ25" i="3"/>
  <c r="BL25" i="3"/>
  <c r="BX25" i="3"/>
  <c r="CJ25" i="3"/>
  <c r="CV25" i="3"/>
  <c r="DH25" i="3"/>
  <c r="DT25" i="3"/>
  <c r="EF25" i="3"/>
  <c r="ER25" i="3"/>
  <c r="FD25" i="3"/>
  <c r="FP25" i="3"/>
  <c r="GB25" i="3"/>
  <c r="GN25" i="3"/>
  <c r="GZ25" i="3"/>
  <c r="AD26" i="3"/>
  <c r="AP26" i="3"/>
  <c r="BB26" i="3"/>
  <c r="BN26" i="3"/>
  <c r="BZ26" i="3"/>
  <c r="CL26" i="3"/>
  <c r="CX26" i="3"/>
  <c r="DJ26" i="3"/>
  <c r="DV26" i="3"/>
  <c r="EH26" i="3"/>
  <c r="ET26" i="3"/>
  <c r="FF26" i="3"/>
  <c r="FR26" i="3"/>
  <c r="GD26" i="3"/>
  <c r="GP26" i="3"/>
  <c r="T27" i="3"/>
  <c r="AF27" i="3"/>
  <c r="AR27" i="3"/>
  <c r="BD27" i="3"/>
  <c r="BP27" i="3"/>
  <c r="CB27" i="3"/>
  <c r="CN27" i="3"/>
  <c r="CZ27" i="3"/>
  <c r="DL27" i="3"/>
  <c r="DX27" i="3"/>
  <c r="EJ27" i="3"/>
  <c r="EV27" i="3"/>
  <c r="FH27" i="3"/>
  <c r="FT27" i="3"/>
  <c r="GF27" i="3"/>
  <c r="GR27" i="3"/>
  <c r="V28" i="3"/>
  <c r="AH28" i="3"/>
  <c r="AT28" i="3"/>
  <c r="BF28" i="3"/>
  <c r="BR28" i="3"/>
  <c r="CD28" i="3"/>
  <c r="CP28" i="3"/>
  <c r="DB28" i="3"/>
  <c r="DN28" i="3"/>
  <c r="DZ28" i="3"/>
  <c r="EL28" i="3"/>
  <c r="FL15" i="3"/>
  <c r="EX16" i="3"/>
  <c r="CG17" i="3"/>
  <c r="GS17" i="3"/>
  <c r="DE18" i="3"/>
  <c r="GN18" i="3"/>
  <c r="BZ19" i="3"/>
  <c r="EO19" i="3"/>
  <c r="GC19" i="3"/>
  <c r="AA20" i="3"/>
  <c r="BH20" i="3"/>
  <c r="CM20" i="3"/>
  <c r="DS20" i="3"/>
  <c r="EX20" i="3"/>
  <c r="FX20" i="3"/>
  <c r="GX20" i="3"/>
  <c r="AK21" i="3"/>
  <c r="BF21" i="3"/>
  <c r="BX21" i="3"/>
  <c r="CP21" i="3"/>
  <c r="DH21" i="3"/>
  <c r="DZ21" i="3"/>
  <c r="ER21" i="3"/>
  <c r="FJ21" i="3"/>
  <c r="GB21" i="3"/>
  <c r="GT21" i="3"/>
  <c r="AD22" i="3"/>
  <c r="AV22" i="3"/>
  <c r="BN22" i="3"/>
  <c r="CC22" i="3"/>
  <c r="CQ22" i="3"/>
  <c r="DE22" i="3"/>
  <c r="DS22" i="3"/>
  <c r="EF22" i="3"/>
  <c r="ES22" i="3"/>
  <c r="FF22" i="3"/>
  <c r="FT22" i="3"/>
  <c r="GG22" i="3"/>
  <c r="GT22" i="3"/>
  <c r="Y23" i="3"/>
  <c r="AK23" i="3"/>
  <c r="AW23" i="3"/>
  <c r="BI23" i="3"/>
  <c r="BU23" i="3"/>
  <c r="CG23" i="3"/>
  <c r="CS23" i="3"/>
  <c r="DE23" i="3"/>
  <c r="DQ23" i="3"/>
  <c r="EC23" i="3"/>
  <c r="EO23" i="3"/>
  <c r="FA23" i="3"/>
  <c r="FM23" i="3"/>
  <c r="FY23" i="3"/>
  <c r="GK23" i="3"/>
  <c r="GW23" i="3"/>
  <c r="AA24" i="3"/>
  <c r="AM24" i="3"/>
  <c r="AY24" i="3"/>
  <c r="BK24" i="3"/>
  <c r="BW24" i="3"/>
  <c r="CI24" i="3"/>
  <c r="CU24" i="3"/>
  <c r="DG24" i="3"/>
  <c r="DS24" i="3"/>
  <c r="EE24" i="3"/>
  <c r="EQ24" i="3"/>
  <c r="FC24" i="3"/>
  <c r="FO24" i="3"/>
  <c r="GA24" i="3"/>
  <c r="GM24" i="3"/>
  <c r="GY24" i="3"/>
  <c r="AC25" i="3"/>
  <c r="AO25" i="3"/>
  <c r="BA25" i="3"/>
  <c r="BM25" i="3"/>
  <c r="BY25" i="3"/>
  <c r="CK25" i="3"/>
  <c r="CW25" i="3"/>
  <c r="DI25" i="3"/>
  <c r="DU25" i="3"/>
  <c r="EG25" i="3"/>
  <c r="ES25" i="3"/>
  <c r="FE25" i="3"/>
  <c r="FQ25" i="3"/>
  <c r="GC25" i="3"/>
  <c r="GO25" i="3"/>
  <c r="S26" i="3"/>
  <c r="AE26" i="3"/>
  <c r="AQ26" i="3"/>
  <c r="BC26" i="3"/>
  <c r="BO26" i="3"/>
  <c r="CA26" i="3"/>
  <c r="CM26" i="3"/>
  <c r="CY26" i="3"/>
  <c r="DK26" i="3"/>
  <c r="DW26" i="3"/>
  <c r="EI26" i="3"/>
  <c r="EU26" i="3"/>
  <c r="FG26" i="3"/>
  <c r="FS26" i="3"/>
  <c r="GE26" i="3"/>
  <c r="GQ26" i="3"/>
  <c r="U27" i="3"/>
  <c r="AG27" i="3"/>
  <c r="AS27" i="3"/>
  <c r="BE27" i="3"/>
  <c r="BQ27" i="3"/>
  <c r="CC27" i="3"/>
  <c r="CO27" i="3"/>
  <c r="DA27" i="3"/>
  <c r="DM27" i="3"/>
  <c r="DY27" i="3"/>
  <c r="EK27" i="3"/>
  <c r="EW27" i="3"/>
  <c r="FI27" i="3"/>
  <c r="FU27" i="3"/>
  <c r="GG27" i="3"/>
  <c r="GS27" i="3"/>
  <c r="W28" i="3"/>
  <c r="GA15" i="3"/>
  <c r="FI16" i="3"/>
  <c r="CQ17" i="3"/>
  <c r="Y18" i="3"/>
  <c r="DO18" i="3"/>
  <c r="GU18" i="3"/>
  <c r="CG19" i="3"/>
  <c r="ET19" i="3"/>
  <c r="GI19" i="3"/>
  <c r="AF20" i="3"/>
  <c r="BL20" i="3"/>
  <c r="CS20" i="3"/>
  <c r="DX20" i="3"/>
  <c r="FB20" i="3"/>
  <c r="GB20" i="3"/>
  <c r="T21" i="3"/>
  <c r="AM21" i="3"/>
  <c r="BG21" i="3"/>
  <c r="BZ21" i="3"/>
  <c r="CQ21" i="3"/>
  <c r="DJ21" i="3"/>
  <c r="EA21" i="3"/>
  <c r="ET21" i="3"/>
  <c r="FK21" i="3"/>
  <c r="GD21" i="3"/>
  <c r="GU21" i="3"/>
  <c r="AF22" i="3"/>
  <c r="AW22" i="3"/>
  <c r="BP22" i="3"/>
  <c r="CD22" i="3"/>
  <c r="CR22" i="3"/>
  <c r="DG22" i="3"/>
  <c r="DT22" i="3"/>
  <c r="EG22" i="3"/>
  <c r="ET22" i="3"/>
  <c r="FH22" i="3"/>
  <c r="FU22" i="3"/>
  <c r="GH22" i="3"/>
  <c r="GU22" i="3"/>
  <c r="Z23" i="3"/>
  <c r="AL23" i="3"/>
  <c r="AX23" i="3"/>
  <c r="BJ23" i="3"/>
  <c r="BV23" i="3"/>
  <c r="CH23" i="3"/>
  <c r="CT23" i="3"/>
  <c r="DF23" i="3"/>
  <c r="DR23" i="3"/>
  <c r="ED23" i="3"/>
  <c r="EP23" i="3"/>
  <c r="FB23" i="3"/>
  <c r="FN23" i="3"/>
  <c r="FZ23" i="3"/>
  <c r="GL23" i="3"/>
  <c r="GX23" i="3"/>
  <c r="AB24" i="3"/>
  <c r="AN24" i="3"/>
  <c r="AZ24" i="3"/>
  <c r="BL24" i="3"/>
  <c r="BX24" i="3"/>
  <c r="CJ24" i="3"/>
  <c r="CV24" i="3"/>
  <c r="DH24" i="3"/>
  <c r="DT24" i="3"/>
  <c r="EF24" i="3"/>
  <c r="ER24" i="3"/>
  <c r="FD24" i="3"/>
  <c r="FP24" i="3"/>
  <c r="GB24" i="3"/>
  <c r="GN24" i="3"/>
  <c r="GZ24" i="3"/>
  <c r="AD25" i="3"/>
  <c r="AP25" i="3"/>
  <c r="BB25" i="3"/>
  <c r="BN25" i="3"/>
  <c r="BZ25" i="3"/>
  <c r="CL25" i="3"/>
  <c r="CX25" i="3"/>
  <c r="DJ25" i="3"/>
  <c r="DV25" i="3"/>
  <c r="EH25" i="3"/>
  <c r="ET25" i="3"/>
  <c r="FF25" i="3"/>
  <c r="FR25" i="3"/>
  <c r="GD25" i="3"/>
  <c r="GP25" i="3"/>
  <c r="T26" i="3"/>
  <c r="AF26" i="3"/>
  <c r="AR26" i="3"/>
  <c r="BD26" i="3"/>
  <c r="BP26" i="3"/>
  <c r="CB26" i="3"/>
  <c r="CN26" i="3"/>
  <c r="CZ26" i="3"/>
  <c r="DL26" i="3"/>
  <c r="DX26" i="3"/>
  <c r="EJ26" i="3"/>
  <c r="EV26" i="3"/>
  <c r="FH26" i="3"/>
  <c r="FT26" i="3"/>
  <c r="GF26" i="3"/>
  <c r="GR26" i="3"/>
  <c r="V27" i="3"/>
  <c r="AH27" i="3"/>
  <c r="AT27" i="3"/>
  <c r="BF27" i="3"/>
  <c r="BR27" i="3"/>
  <c r="CD27" i="3"/>
  <c r="CP27" i="3"/>
  <c r="DB27" i="3"/>
  <c r="DN27" i="3"/>
  <c r="DZ27" i="3"/>
  <c r="EL27" i="3"/>
  <c r="EX27" i="3"/>
  <c r="FJ27" i="3"/>
  <c r="FV27" i="3"/>
  <c r="GH27" i="3"/>
  <c r="GT27" i="3"/>
  <c r="X28" i="3"/>
  <c r="AJ28" i="3"/>
  <c r="AV28" i="3"/>
  <c r="BH28" i="3"/>
  <c r="BT28" i="3"/>
  <c r="CF28" i="3"/>
  <c r="CR28" i="3"/>
  <c r="DD28" i="3"/>
  <c r="DP28" i="3"/>
  <c r="EB28" i="3"/>
  <c r="DL15" i="3"/>
  <c r="DP20" i="3"/>
  <c r="FY21" i="3"/>
  <c r="FQ22" i="3"/>
  <c r="EA23" i="3"/>
  <c r="CG24" i="3"/>
  <c r="FA24" i="3"/>
  <c r="GW24" i="3"/>
  <c r="BK25" i="3"/>
  <c r="DG25" i="3"/>
  <c r="FC25" i="3"/>
  <c r="GW25" i="3"/>
  <c r="AY26" i="3"/>
  <c r="CI26" i="3"/>
  <c r="DS26" i="3"/>
  <c r="EQ26" i="3"/>
  <c r="FO26" i="3"/>
  <c r="GM26" i="3"/>
  <c r="AC27" i="3"/>
  <c r="BA27" i="3"/>
  <c r="BY27" i="3"/>
  <c r="CW27" i="3"/>
  <c r="DU27" i="3"/>
  <c r="ES27" i="3"/>
  <c r="FQ27" i="3"/>
  <c r="GO27" i="3"/>
  <c r="AE28" i="3"/>
  <c r="AX28" i="3"/>
  <c r="BS28" i="3"/>
  <c r="CN28" i="3"/>
  <c r="DJ28" i="3"/>
  <c r="EC28" i="3"/>
  <c r="EV28" i="3"/>
  <c r="FJ28" i="3"/>
  <c r="FX28" i="3"/>
  <c r="GL28" i="3"/>
  <c r="T29" i="3"/>
  <c r="AH29" i="3"/>
  <c r="AV29" i="3"/>
  <c r="BJ29" i="3"/>
  <c r="BX29" i="3"/>
  <c r="CK29" i="3"/>
  <c r="CW29" i="3"/>
  <c r="DI29" i="3"/>
  <c r="DU29" i="3"/>
  <c r="EG29" i="3"/>
  <c r="ES29" i="3"/>
  <c r="FE29" i="3"/>
  <c r="FQ29" i="3"/>
  <c r="GC29" i="3"/>
  <c r="GO29" i="3"/>
  <c r="S30" i="3"/>
  <c r="AE30" i="3"/>
  <c r="AQ30" i="3"/>
  <c r="BC30" i="3"/>
  <c r="BO30" i="3"/>
  <c r="EA16" i="3"/>
  <c r="ET20" i="3"/>
  <c r="GR21" i="3"/>
  <c r="GD22" i="3"/>
  <c r="EM23" i="3"/>
  <c r="CS24" i="3"/>
  <c r="FF24" i="3"/>
  <c r="T25" i="3"/>
  <c r="BP25" i="3"/>
  <c r="DL25" i="3"/>
  <c r="FH25" i="3"/>
  <c r="GX25" i="3"/>
  <c r="AZ26" i="3"/>
  <c r="CJ26" i="3"/>
  <c r="DT26" i="3"/>
  <c r="BO17" i="3"/>
  <c r="FT20" i="3"/>
  <c r="AA22" i="3"/>
  <c r="GR22" i="3"/>
  <c r="EY23" i="3"/>
  <c r="DE24" i="3"/>
  <c r="GA17" i="3"/>
  <c r="GU20" i="3"/>
  <c r="AT22" i="3"/>
  <c r="W23" i="3"/>
  <c r="FK23" i="3"/>
  <c r="DQ24" i="3"/>
  <c r="FM24" i="3"/>
  <c r="AA25" i="3"/>
  <c r="BW25" i="3"/>
  <c r="DS25" i="3"/>
  <c r="FO25" i="3"/>
  <c r="V26" i="3"/>
  <c r="BF26" i="3"/>
  <c r="CP26" i="3"/>
  <c r="DY26" i="3"/>
  <c r="EW26" i="3"/>
  <c r="FU26" i="3"/>
  <c r="GS26" i="3"/>
  <c r="AI27" i="3"/>
  <c r="BG27" i="3"/>
  <c r="CE27" i="3"/>
  <c r="DC27" i="3"/>
  <c r="EA27" i="3"/>
  <c r="EY27" i="3"/>
  <c r="FW27" i="3"/>
  <c r="GU27" i="3"/>
  <c r="AI28" i="3"/>
  <c r="BD28" i="3"/>
  <c r="BZ28" i="3"/>
  <c r="CS28" i="3"/>
  <c r="DM28" i="3"/>
  <c r="EI28" i="3"/>
  <c r="EY28" i="3"/>
  <c r="FM28" i="3"/>
  <c r="GC28" i="3"/>
  <c r="GQ28" i="3"/>
  <c r="W29" i="3"/>
  <c r="AK29" i="3"/>
  <c r="AY29" i="3"/>
  <c r="BO29" i="3"/>
  <c r="CB29" i="3"/>
  <c r="CN29" i="3"/>
  <c r="CZ29" i="3"/>
  <c r="DL29" i="3"/>
  <c r="DX29" i="3"/>
  <c r="EJ29" i="3"/>
  <c r="EV29" i="3"/>
  <c r="FH29" i="3"/>
  <c r="FT29" i="3"/>
  <c r="GF29" i="3"/>
  <c r="GR29" i="3"/>
  <c r="V30" i="3"/>
  <c r="AH30" i="3"/>
  <c r="AT30" i="3"/>
  <c r="BF30" i="3"/>
  <c r="BR30" i="3"/>
  <c r="CD30" i="3"/>
  <c r="CP30" i="3"/>
  <c r="DB30" i="3"/>
  <c r="DN30" i="3"/>
  <c r="DZ30" i="3"/>
  <c r="EL30" i="3"/>
  <c r="EX30" i="3"/>
  <c r="FJ30" i="3"/>
  <c r="FV30" i="3"/>
  <c r="GH30" i="3"/>
  <c r="GT30" i="3"/>
  <c r="X31" i="3"/>
  <c r="AJ31" i="3"/>
  <c r="AV31" i="3"/>
  <c r="BH31" i="3"/>
  <c r="BT31" i="3"/>
  <c r="CF31" i="3"/>
  <c r="CR31" i="3"/>
  <c r="DD31" i="3"/>
  <c r="DP31" i="3"/>
  <c r="EB31" i="3"/>
  <c r="EN31" i="3"/>
  <c r="EZ31" i="3"/>
  <c r="FL31" i="3"/>
  <c r="FX31" i="3"/>
  <c r="GJ31" i="3"/>
  <c r="GV31" i="3"/>
  <c r="Z32" i="3"/>
  <c r="AL32" i="3"/>
  <c r="AX32" i="3"/>
  <c r="BJ32" i="3"/>
  <c r="BV32" i="3"/>
  <c r="CH32" i="3"/>
  <c r="CT32" i="3"/>
  <c r="DF32" i="3"/>
  <c r="DR32" i="3"/>
  <c r="ED32" i="3"/>
  <c r="EP32" i="3"/>
  <c r="FB32" i="3"/>
  <c r="FN32" i="3"/>
  <c r="FZ32" i="3"/>
  <c r="GL32" i="3"/>
  <c r="CR18" i="3"/>
  <c r="AH21" i="3"/>
  <c r="BK22" i="3"/>
  <c r="AI23" i="3"/>
  <c r="FW23" i="3"/>
  <c r="DV24" i="3"/>
  <c r="FR24" i="3"/>
  <c r="AF25" i="3"/>
  <c r="CB25" i="3"/>
  <c r="DX25" i="3"/>
  <c r="FT25" i="3"/>
  <c r="AA26" i="3"/>
  <c r="BK26" i="3"/>
  <c r="CU26" i="3"/>
  <c r="DZ26" i="3"/>
  <c r="EX26" i="3"/>
  <c r="FV26" i="3"/>
  <c r="GT26" i="3"/>
  <c r="AJ27" i="3"/>
  <c r="BH27" i="3"/>
  <c r="CF27" i="3"/>
  <c r="DD27" i="3"/>
  <c r="EB27" i="3"/>
  <c r="EZ27" i="3"/>
  <c r="FX27" i="3"/>
  <c r="GV27" i="3"/>
  <c r="AK28" i="3"/>
  <c r="BE28" i="3"/>
  <c r="CA28" i="3"/>
  <c r="CT28" i="3"/>
  <c r="DO28" i="3"/>
  <c r="EJ28" i="3"/>
  <c r="EZ28" i="3"/>
  <c r="FN28" i="3"/>
  <c r="GD28" i="3"/>
  <c r="GR28" i="3"/>
  <c r="X29" i="3"/>
  <c r="AL29" i="3"/>
  <c r="AZ29" i="3"/>
  <c r="BP29" i="3"/>
  <c r="CC29" i="3"/>
  <c r="CO29" i="3"/>
  <c r="DA29" i="3"/>
  <c r="DM29" i="3"/>
  <c r="DY29" i="3"/>
  <c r="EK29" i="3"/>
  <c r="EW29" i="3"/>
  <c r="FI29" i="3"/>
  <c r="FU29" i="3"/>
  <c r="GG29" i="3"/>
  <c r="GS29" i="3"/>
  <c r="W30" i="3"/>
  <c r="AI30" i="3"/>
  <c r="AU30" i="3"/>
  <c r="BG30" i="3"/>
  <c r="BS30" i="3"/>
  <c r="CE30" i="3"/>
  <c r="CQ30" i="3"/>
  <c r="DC30" i="3"/>
  <c r="DO30" i="3"/>
  <c r="EA30" i="3"/>
  <c r="EM30" i="3"/>
  <c r="EY30" i="3"/>
  <c r="FK30" i="3"/>
  <c r="FW30" i="3"/>
  <c r="GI30" i="3"/>
  <c r="GU30" i="3"/>
  <c r="Y31" i="3"/>
  <c r="AK31" i="3"/>
  <c r="AW31" i="3"/>
  <c r="BI31" i="3"/>
  <c r="BU31" i="3"/>
  <c r="CG31" i="3"/>
  <c r="CS31" i="3"/>
  <c r="DE31" i="3"/>
  <c r="DQ31" i="3"/>
  <c r="EC31" i="3"/>
  <c r="EO31" i="3"/>
  <c r="FA31" i="3"/>
  <c r="FM31" i="3"/>
  <c r="FY31" i="3"/>
  <c r="GK31" i="3"/>
  <c r="GW31" i="3"/>
  <c r="AA32" i="3"/>
  <c r="AM32" i="3"/>
  <c r="AY32" i="3"/>
  <c r="GC18" i="3"/>
  <c r="BD21" i="3"/>
  <c r="BZ22" i="3"/>
  <c r="AU23" i="3"/>
  <c r="GI23" i="3"/>
  <c r="EA24" i="3"/>
  <c r="FW24" i="3"/>
  <c r="AK25" i="3"/>
  <c r="CG25" i="3"/>
  <c r="EC25" i="3"/>
  <c r="FY25" i="3"/>
  <c r="AB26" i="3"/>
  <c r="BL26" i="3"/>
  <c r="CV26" i="3"/>
  <c r="ED26" i="3"/>
  <c r="FB26" i="3"/>
  <c r="FZ26" i="3"/>
  <c r="GX26" i="3"/>
  <c r="AN27" i="3"/>
  <c r="BL27" i="3"/>
  <c r="CJ27" i="3"/>
  <c r="DH27" i="3"/>
  <c r="EF27" i="3"/>
  <c r="FD27" i="3"/>
  <c r="GB27" i="3"/>
  <c r="GZ27" i="3"/>
  <c r="AL28" i="3"/>
  <c r="BG28" i="3"/>
  <c r="CB28" i="3"/>
  <c r="CX28" i="3"/>
  <c r="DQ28" i="3"/>
  <c r="EK28" i="3"/>
  <c r="FA28" i="3"/>
  <c r="FQ28" i="3"/>
  <c r="GE28" i="3"/>
  <c r="GS28" i="3"/>
  <c r="Y29" i="3"/>
  <c r="AM29" i="3"/>
  <c r="BC29" i="3"/>
  <c r="BQ29" i="3"/>
  <c r="CD29" i="3"/>
  <c r="CP29" i="3"/>
  <c r="DB29" i="3"/>
  <c r="DN29" i="3"/>
  <c r="DZ29" i="3"/>
  <c r="EL29" i="3"/>
  <c r="EX29" i="3"/>
  <c r="FJ29" i="3"/>
  <c r="FV29" i="3"/>
  <c r="GH29" i="3"/>
  <c r="GT29" i="3"/>
  <c r="X30" i="3"/>
  <c r="AJ30" i="3"/>
  <c r="AV30" i="3"/>
  <c r="BH30" i="3"/>
  <c r="BT30" i="3"/>
  <c r="BP19" i="3"/>
  <c r="BU21" i="3"/>
  <c r="CO22" i="3"/>
  <c r="BG23" i="3"/>
  <c r="GU23" i="3"/>
  <c r="EC24" i="3"/>
  <c r="FY24" i="3"/>
  <c r="AM25" i="3"/>
  <c r="CI25" i="3"/>
  <c r="EE25" i="3"/>
  <c r="GA25" i="3"/>
  <c r="AC26" i="3"/>
  <c r="BM26" i="3"/>
  <c r="CW26" i="3"/>
  <c r="EE26" i="3"/>
  <c r="EJ19" i="3"/>
  <c r="CN21" i="3"/>
  <c r="DC22" i="3"/>
  <c r="BS23" i="3"/>
  <c r="Y24" i="3"/>
  <c r="EH24" i="3"/>
  <c r="GD24" i="3"/>
  <c r="AR25" i="3"/>
  <c r="CN25" i="3"/>
  <c r="EJ25" i="3"/>
  <c r="GF25" i="3"/>
  <c r="AH26" i="3"/>
  <c r="BR26" i="3"/>
  <c r="FY19" i="3"/>
  <c r="DE21" i="3"/>
  <c r="DQ22" i="3"/>
  <c r="CE23" i="3"/>
  <c r="AK24" i="3"/>
  <c r="EM24" i="3"/>
  <c r="GI24" i="3"/>
  <c r="AW25" i="3"/>
  <c r="CS25" i="3"/>
  <c r="EO25" i="3"/>
  <c r="GK25" i="3"/>
  <c r="AM26" i="3"/>
  <c r="BW26" i="3"/>
  <c r="DG26" i="3"/>
  <c r="EG26" i="3"/>
  <c r="FE26" i="3"/>
  <c r="GC26" i="3"/>
  <c r="S27" i="3"/>
  <c r="AQ27" i="3"/>
  <c r="BO27" i="3"/>
  <c r="CM27" i="3"/>
  <c r="DK27" i="3"/>
  <c r="EI27" i="3"/>
  <c r="FG27" i="3"/>
  <c r="GE27" i="3"/>
  <c r="U28" i="3"/>
  <c r="AR28" i="3"/>
  <c r="BN28" i="3"/>
  <c r="CG28" i="3"/>
  <c r="DA28" i="3"/>
  <c r="DW28" i="3"/>
  <c r="EO28" i="3"/>
  <c r="FF28" i="3"/>
  <c r="FT28" i="3"/>
  <c r="GH28" i="3"/>
  <c r="GV28" i="3"/>
  <c r="AB29" i="3"/>
  <c r="AR29" i="3"/>
  <c r="BF29" i="3"/>
  <c r="BT29" i="3"/>
  <c r="CG29" i="3"/>
  <c r="CS29" i="3"/>
  <c r="DE29" i="3"/>
  <c r="DQ29" i="3"/>
  <c r="EC29" i="3"/>
  <c r="EO29" i="3"/>
  <c r="FA29" i="3"/>
  <c r="FM29" i="3"/>
  <c r="FY29" i="3"/>
  <c r="GK29" i="3"/>
  <c r="GW29" i="3"/>
  <c r="AA30" i="3"/>
  <c r="AM30" i="3"/>
  <c r="AY30" i="3"/>
  <c r="BK30" i="3"/>
  <c r="BW30" i="3"/>
  <c r="CI30" i="3"/>
  <c r="CU30" i="3"/>
  <c r="DG30" i="3"/>
  <c r="DS30" i="3"/>
  <c r="EE30" i="3"/>
  <c r="EQ30" i="3"/>
  <c r="FC30" i="3"/>
  <c r="FO30" i="3"/>
  <c r="GA30" i="3"/>
  <c r="GM30" i="3"/>
  <c r="GY30" i="3"/>
  <c r="AC31" i="3"/>
  <c r="AO31" i="3"/>
  <c r="BA31" i="3"/>
  <c r="BM31" i="3"/>
  <c r="BY31" i="3"/>
  <c r="CK31" i="3"/>
  <c r="CW31" i="3"/>
  <c r="DI31" i="3"/>
  <c r="DU31" i="3"/>
  <c r="EG31" i="3"/>
  <c r="ES31" i="3"/>
  <c r="FE31" i="3"/>
  <c r="FQ31" i="3"/>
  <c r="GC31" i="3"/>
  <c r="GO31" i="3"/>
  <c r="S32" i="3"/>
  <c r="AE32" i="3"/>
  <c r="AQ32" i="3"/>
  <c r="X20" i="3"/>
  <c r="DX21" i="3"/>
  <c r="ED22" i="3"/>
  <c r="CQ23" i="3"/>
  <c r="AW24" i="3"/>
  <c r="EO24" i="3"/>
  <c r="GK24" i="3"/>
  <c r="AY25" i="3"/>
  <c r="CU25" i="3"/>
  <c r="EQ25" i="3"/>
  <c r="GL25" i="3"/>
  <c r="AN26" i="3"/>
  <c r="BX26" i="3"/>
  <c r="DH26" i="3"/>
  <c r="EK26" i="3"/>
  <c r="FI26" i="3"/>
  <c r="GG26" i="3"/>
  <c r="W27" i="3"/>
  <c r="AU27" i="3"/>
  <c r="BS27" i="3"/>
  <c r="CQ27" i="3"/>
  <c r="DO27" i="3"/>
  <c r="EM27" i="3"/>
  <c r="FK27" i="3"/>
  <c r="GI27" i="3"/>
  <c r="Y28" i="3"/>
  <c r="AS28" i="3"/>
  <c r="BO28" i="3"/>
  <c r="CH28" i="3"/>
  <c r="DC28" i="3"/>
  <c r="DX28" i="3"/>
  <c r="EP28" i="3"/>
  <c r="FG28" i="3"/>
  <c r="FU28" i="3"/>
  <c r="GI28" i="3"/>
  <c r="GW28" i="3"/>
  <c r="AE29" i="3"/>
  <c r="AS29" i="3"/>
  <c r="BG29" i="3"/>
  <c r="BU29" i="3"/>
  <c r="CH29" i="3"/>
  <c r="CT29" i="3"/>
  <c r="DF29" i="3"/>
  <c r="DR29" i="3"/>
  <c r="ED29" i="3"/>
  <c r="EP29" i="3"/>
  <c r="FB29" i="3"/>
  <c r="FN29" i="3"/>
  <c r="FZ29" i="3"/>
  <c r="GL29" i="3"/>
  <c r="GX29" i="3"/>
  <c r="AB30" i="3"/>
  <c r="AN30" i="3"/>
  <c r="AZ30" i="3"/>
  <c r="BL30" i="3"/>
  <c r="BX30" i="3"/>
  <c r="CJ30" i="3"/>
  <c r="CV30" i="3"/>
  <c r="DH30" i="3"/>
  <c r="DT30" i="3"/>
  <c r="EF30" i="3"/>
  <c r="ER30" i="3"/>
  <c r="FD30" i="3"/>
  <c r="FP30" i="3"/>
  <c r="GB30" i="3"/>
  <c r="GN30" i="3"/>
  <c r="GZ30" i="3"/>
  <c r="AD31" i="3"/>
  <c r="AP31" i="3"/>
  <c r="BB31" i="3"/>
  <c r="BN31" i="3"/>
  <c r="BZ31" i="3"/>
  <c r="CL31" i="3"/>
  <c r="CX31" i="3"/>
  <c r="DJ31" i="3"/>
  <c r="DV31" i="3"/>
  <c r="EH31" i="3"/>
  <c r="ET31" i="3"/>
  <c r="FF31" i="3"/>
  <c r="FR31" i="3"/>
  <c r="GD31" i="3"/>
  <c r="GP31" i="3"/>
  <c r="T32" i="3"/>
  <c r="AF32" i="3"/>
  <c r="AR32" i="3"/>
  <c r="BD32" i="3"/>
  <c r="BP32" i="3"/>
  <c r="CB32" i="3"/>
  <c r="CN32" i="3"/>
  <c r="CZ32" i="3"/>
  <c r="DL32" i="3"/>
  <c r="DX32" i="3"/>
  <c r="BC20" i="3"/>
  <c r="FK24" i="3"/>
  <c r="FM25" i="3"/>
  <c r="DN26" i="3"/>
  <c r="FQ26" i="3"/>
  <c r="AE27" i="3"/>
  <c r="CA27" i="3"/>
  <c r="DW27" i="3"/>
  <c r="FS27" i="3"/>
  <c r="AG28" i="3"/>
  <c r="BV28" i="3"/>
  <c r="DL28" i="3"/>
  <c r="EX28" i="3"/>
  <c r="FZ28" i="3"/>
  <c r="V29" i="3"/>
  <c r="AX29" i="3"/>
  <c r="CA29" i="3"/>
  <c r="CY29" i="3"/>
  <c r="DW29" i="3"/>
  <c r="EU29" i="3"/>
  <c r="FS29" i="3"/>
  <c r="GQ29" i="3"/>
  <c r="AG30" i="3"/>
  <c r="BE30" i="3"/>
  <c r="CB30" i="3"/>
  <c r="CT30" i="3"/>
  <c r="DL30" i="3"/>
  <c r="ED30" i="3"/>
  <c r="EV30" i="3"/>
  <c r="FN30" i="3"/>
  <c r="GF30" i="3"/>
  <c r="GX30" i="3"/>
  <c r="AH31" i="3"/>
  <c r="AZ31" i="3"/>
  <c r="BR31" i="3"/>
  <c r="CJ31" i="3"/>
  <c r="DB31" i="3"/>
  <c r="DT31" i="3"/>
  <c r="EL31" i="3"/>
  <c r="FD31" i="3"/>
  <c r="FV31" i="3"/>
  <c r="GN31" i="3"/>
  <c r="X32" i="3"/>
  <c r="AP32" i="3"/>
  <c r="BG32" i="3"/>
  <c r="BU32" i="3"/>
  <c r="CJ32" i="3"/>
  <c r="CX32" i="3"/>
  <c r="CI20" i="3"/>
  <c r="GP24" i="3"/>
  <c r="GM25" i="3"/>
  <c r="DU26" i="3"/>
  <c r="GA26" i="3"/>
  <c r="AO27" i="3"/>
  <c r="CK27" i="3"/>
  <c r="EG27" i="3"/>
  <c r="GC27" i="3"/>
  <c r="AP28" i="3"/>
  <c r="CC28" i="3"/>
  <c r="DR28" i="3"/>
  <c r="FB28" i="3"/>
  <c r="GF28" i="3"/>
  <c r="Z29" i="3"/>
  <c r="BD29" i="3"/>
  <c r="CE29" i="3"/>
  <c r="DC29" i="3"/>
  <c r="EA29" i="3"/>
  <c r="EY29" i="3"/>
  <c r="FW29" i="3"/>
  <c r="GU29" i="3"/>
  <c r="AK30" i="3"/>
  <c r="BI30" i="3"/>
  <c r="CC30" i="3"/>
  <c r="CW30" i="3"/>
  <c r="DM30" i="3"/>
  <c r="EG30" i="3"/>
  <c r="EW30" i="3"/>
  <c r="FQ30" i="3"/>
  <c r="GG30" i="3"/>
  <c r="S31" i="3"/>
  <c r="AI31" i="3"/>
  <c r="BC31" i="3"/>
  <c r="BS31" i="3"/>
  <c r="CM31" i="3"/>
  <c r="DC31" i="3"/>
  <c r="DW31" i="3"/>
  <c r="EM31" i="3"/>
  <c r="FG31" i="3"/>
  <c r="FW31" i="3"/>
  <c r="GQ31" i="3"/>
  <c r="Y32" i="3"/>
  <c r="AS32" i="3"/>
  <c r="BH32" i="3"/>
  <c r="BW32" i="3"/>
  <c r="CK32" i="3"/>
  <c r="CY32" i="3"/>
  <c r="DN32" i="3"/>
  <c r="EB32" i="3"/>
  <c r="EO32" i="3"/>
  <c r="FC32" i="3"/>
  <c r="FP32" i="3"/>
  <c r="GC32" i="3"/>
  <c r="GP32" i="3"/>
  <c r="T33" i="3"/>
  <c r="AF33" i="3"/>
  <c r="AR33" i="3"/>
  <c r="BD33" i="3"/>
  <c r="BP33" i="3"/>
  <c r="CB33" i="3"/>
  <c r="CN33" i="3"/>
  <c r="CZ33" i="3"/>
  <c r="DL33" i="3"/>
  <c r="DX33" i="3"/>
  <c r="EJ33" i="3"/>
  <c r="EV33" i="3"/>
  <c r="FH33" i="3"/>
  <c r="FT33" i="3"/>
  <c r="GF33" i="3"/>
  <c r="GR33" i="3"/>
  <c r="V34" i="3"/>
  <c r="AH34" i="3"/>
  <c r="AT34" i="3"/>
  <c r="BF34" i="3"/>
  <c r="BR34" i="3"/>
  <c r="CD34" i="3"/>
  <c r="CP34" i="3"/>
  <c r="DB34" i="3"/>
  <c r="DN34" i="3"/>
  <c r="DZ34" i="3"/>
  <c r="EL34" i="3"/>
  <c r="EX34" i="3"/>
  <c r="FJ34" i="3"/>
  <c r="FV34" i="3"/>
  <c r="GH34" i="3"/>
  <c r="EO21" i="3"/>
  <c r="GU24" i="3"/>
  <c r="GR25" i="3"/>
  <c r="EF26" i="3"/>
  <c r="GB26" i="3"/>
  <c r="AP27" i="3"/>
  <c r="CL27" i="3"/>
  <c r="EH27" i="3"/>
  <c r="GD27" i="3"/>
  <c r="AQ28" i="3"/>
  <c r="CE28" i="3"/>
  <c r="DV28" i="3"/>
  <c r="FE28" i="3"/>
  <c r="GG28" i="3"/>
  <c r="AA29" i="3"/>
  <c r="BE29" i="3"/>
  <c r="CF29" i="3"/>
  <c r="DD29" i="3"/>
  <c r="EB29" i="3"/>
  <c r="EZ29" i="3"/>
  <c r="FX29" i="3"/>
  <c r="GV29" i="3"/>
  <c r="AL30" i="3"/>
  <c r="BJ30" i="3"/>
  <c r="CF30" i="3"/>
  <c r="CX30" i="3"/>
  <c r="DP30" i="3"/>
  <c r="EH30" i="3"/>
  <c r="EZ30" i="3"/>
  <c r="FR30" i="3"/>
  <c r="GJ30" i="3"/>
  <c r="T31" i="3"/>
  <c r="AL31" i="3"/>
  <c r="BD31" i="3"/>
  <c r="BV31" i="3"/>
  <c r="CN31" i="3"/>
  <c r="DF31" i="3"/>
  <c r="DX31" i="3"/>
  <c r="EP31" i="3"/>
  <c r="FH31" i="3"/>
  <c r="FZ31" i="3"/>
  <c r="GR31" i="3"/>
  <c r="AB32" i="3"/>
  <c r="AT32" i="3"/>
  <c r="BI32" i="3"/>
  <c r="BX32" i="3"/>
  <c r="CL32" i="3"/>
  <c r="DA32" i="3"/>
  <c r="DO32" i="3"/>
  <c r="EC32" i="3"/>
  <c r="EQ32" i="3"/>
  <c r="FD32" i="3"/>
  <c r="FQ32" i="3"/>
  <c r="GD32" i="3"/>
  <c r="GQ32" i="3"/>
  <c r="U33" i="3"/>
  <c r="AG33" i="3"/>
  <c r="AS33" i="3"/>
  <c r="BE33" i="3"/>
  <c r="BQ33" i="3"/>
  <c r="CC33" i="3"/>
  <c r="CO33" i="3"/>
  <c r="DA33" i="3"/>
  <c r="DM33" i="3"/>
  <c r="DY33" i="3"/>
  <c r="EK33" i="3"/>
  <c r="EW33" i="3"/>
  <c r="FI33" i="3"/>
  <c r="FU33" i="3"/>
  <c r="GG33" i="3"/>
  <c r="GS33" i="3"/>
  <c r="W34" i="3"/>
  <c r="AI34" i="3"/>
  <c r="AU34" i="3"/>
  <c r="BG34" i="3"/>
  <c r="BS34" i="3"/>
  <c r="CE34" i="3"/>
  <c r="CQ34" i="3"/>
  <c r="DC34" i="3"/>
  <c r="DO34" i="3"/>
  <c r="EA34" i="3"/>
  <c r="EM34" i="3"/>
  <c r="EY34" i="3"/>
  <c r="FK34" i="3"/>
  <c r="FW34" i="3"/>
  <c r="GI34" i="3"/>
  <c r="GU34" i="3"/>
  <c r="Y35" i="3"/>
  <c r="AK35" i="3"/>
  <c r="AW35" i="3"/>
  <c r="BI35" i="3"/>
  <c r="BU35" i="3"/>
  <c r="CG35" i="3"/>
  <c r="CS35" i="3"/>
  <c r="DE35" i="3"/>
  <c r="DQ35" i="3"/>
  <c r="EC35" i="3"/>
  <c r="EO35" i="3"/>
  <c r="FA35" i="3"/>
  <c r="FM35" i="3"/>
  <c r="FY35" i="3"/>
  <c r="GK35" i="3"/>
  <c r="GW35" i="3"/>
  <c r="AA36" i="3"/>
  <c r="AM36" i="3"/>
  <c r="AY36" i="3"/>
  <c r="BK36" i="3"/>
  <c r="BW36" i="3"/>
  <c r="CI36" i="3"/>
  <c r="CU36" i="3"/>
  <c r="DG36" i="3"/>
  <c r="DS36" i="3"/>
  <c r="EE36" i="3"/>
  <c r="EQ36" i="3"/>
  <c r="FC36" i="3"/>
  <c r="FO36" i="3"/>
  <c r="GA36" i="3"/>
  <c r="GM36" i="3"/>
  <c r="GY36" i="3"/>
  <c r="AC37" i="3"/>
  <c r="AO37" i="3"/>
  <c r="BA37" i="3"/>
  <c r="BM37" i="3"/>
  <c r="BY37" i="3"/>
  <c r="CK37" i="3"/>
  <c r="CW37" i="3"/>
  <c r="DI37" i="3"/>
  <c r="DU37" i="3"/>
  <c r="EG37" i="3"/>
  <c r="ES37" i="3"/>
  <c r="FE37" i="3"/>
  <c r="FQ37" i="3"/>
  <c r="GC37" i="3"/>
  <c r="GO37" i="3"/>
  <c r="S38" i="3"/>
  <c r="AE38" i="3"/>
  <c r="AQ38" i="3"/>
  <c r="BC38" i="3"/>
  <c r="BO38" i="3"/>
  <c r="CA38" i="3"/>
  <c r="FH21" i="3"/>
  <c r="Y25" i="3"/>
  <c r="GY25" i="3"/>
  <c r="EL26" i="3"/>
  <c r="GH26" i="3"/>
  <c r="AV27" i="3"/>
  <c r="CR27" i="3"/>
  <c r="EN27" i="3"/>
  <c r="GJ27" i="3"/>
  <c r="AU28" i="3"/>
  <c r="CL28" i="3"/>
  <c r="DY28" i="3"/>
  <c r="FH28" i="3"/>
  <c r="GJ28" i="3"/>
  <c r="AF29" i="3"/>
  <c r="BH29" i="3"/>
  <c r="CI29" i="3"/>
  <c r="DG29" i="3"/>
  <c r="EE29" i="3"/>
  <c r="FC29" i="3"/>
  <c r="GA29" i="3"/>
  <c r="GY29" i="3"/>
  <c r="AO30" i="3"/>
  <c r="BM30" i="3"/>
  <c r="CG30" i="3"/>
  <c r="CY30" i="3"/>
  <c r="DQ30" i="3"/>
  <c r="EI30" i="3"/>
  <c r="FA30" i="3"/>
  <c r="FS30" i="3"/>
  <c r="GK30" i="3"/>
  <c r="U31" i="3"/>
  <c r="AM31" i="3"/>
  <c r="BE31" i="3"/>
  <c r="BW31" i="3"/>
  <c r="CO31" i="3"/>
  <c r="DG31" i="3"/>
  <c r="DY31" i="3"/>
  <c r="EQ31" i="3"/>
  <c r="FI31" i="3"/>
  <c r="GA31" i="3"/>
  <c r="GS31" i="3"/>
  <c r="AC32" i="3"/>
  <c r="AU32" i="3"/>
  <c r="BK32" i="3"/>
  <c r="BY32" i="3"/>
  <c r="CM32" i="3"/>
  <c r="DB32" i="3"/>
  <c r="DP32" i="3"/>
  <c r="EE32" i="3"/>
  <c r="ER32" i="3"/>
  <c r="FE32" i="3"/>
  <c r="FR32" i="3"/>
  <c r="GE32" i="3"/>
  <c r="GR32" i="3"/>
  <c r="V33" i="3"/>
  <c r="AH33" i="3"/>
  <c r="AT33" i="3"/>
  <c r="BF33" i="3"/>
  <c r="BR33" i="3"/>
  <c r="CD33" i="3"/>
  <c r="CP33" i="3"/>
  <c r="DB33" i="3"/>
  <c r="DN33" i="3"/>
  <c r="DZ33" i="3"/>
  <c r="EL33" i="3"/>
  <c r="EX33" i="3"/>
  <c r="FJ33" i="3"/>
  <c r="FV33" i="3"/>
  <c r="GH33" i="3"/>
  <c r="GT33" i="3"/>
  <c r="X34" i="3"/>
  <c r="AJ34" i="3"/>
  <c r="AV34" i="3"/>
  <c r="BH34" i="3"/>
  <c r="BT34" i="3"/>
  <c r="CF34" i="3"/>
  <c r="CR34" i="3"/>
  <c r="DD34" i="3"/>
  <c r="DP34" i="3"/>
  <c r="EB34" i="3"/>
  <c r="EN34" i="3"/>
  <c r="EZ34" i="3"/>
  <c r="FL34" i="3"/>
  <c r="FX34" i="3"/>
  <c r="GJ34" i="3"/>
  <c r="GV34" i="3"/>
  <c r="Z35" i="3"/>
  <c r="AL35" i="3"/>
  <c r="AX35" i="3"/>
  <c r="BJ35" i="3"/>
  <c r="BV35" i="3"/>
  <c r="CH35" i="3"/>
  <c r="CT35" i="3"/>
  <c r="DF35" i="3"/>
  <c r="DR35" i="3"/>
  <c r="EQ22" i="3"/>
  <c r="BD25" i="3"/>
  <c r="AO26" i="3"/>
  <c r="EP26" i="3"/>
  <c r="GL26" i="3"/>
  <c r="AZ27" i="3"/>
  <c r="CV27" i="3"/>
  <c r="ER27" i="3"/>
  <c r="GN27" i="3"/>
  <c r="AW28" i="3"/>
  <c r="CM28" i="3"/>
  <c r="EA28" i="3"/>
  <c r="FI28" i="3"/>
  <c r="GK28" i="3"/>
  <c r="AG29" i="3"/>
  <c r="BI29" i="3"/>
  <c r="CJ29" i="3"/>
  <c r="DH29" i="3"/>
  <c r="EF29" i="3"/>
  <c r="FD29" i="3"/>
  <c r="GB29" i="3"/>
  <c r="GZ29" i="3"/>
  <c r="AP30" i="3"/>
  <c r="BN30" i="3"/>
  <c r="CH30" i="3"/>
  <c r="CZ30" i="3"/>
  <c r="DR30" i="3"/>
  <c r="EJ30" i="3"/>
  <c r="FB30" i="3"/>
  <c r="FT30" i="3"/>
  <c r="GL30" i="3"/>
  <c r="V31" i="3"/>
  <c r="AN31" i="3"/>
  <c r="BF31" i="3"/>
  <c r="BX31" i="3"/>
  <c r="CP31" i="3"/>
  <c r="DH31" i="3"/>
  <c r="DZ31" i="3"/>
  <c r="ER31" i="3"/>
  <c r="FJ31" i="3"/>
  <c r="GB31" i="3"/>
  <c r="GT31" i="3"/>
  <c r="AD32" i="3"/>
  <c r="AV32" i="3"/>
  <c r="BL32" i="3"/>
  <c r="BZ32" i="3"/>
  <c r="CO32" i="3"/>
  <c r="DC32" i="3"/>
  <c r="DQ32" i="3"/>
  <c r="EF32" i="3"/>
  <c r="ES32" i="3"/>
  <c r="FF32" i="3"/>
  <c r="FS32" i="3"/>
  <c r="GF32" i="3"/>
  <c r="GS32" i="3"/>
  <c r="W33" i="3"/>
  <c r="AI33" i="3"/>
  <c r="AU33" i="3"/>
  <c r="BG33" i="3"/>
  <c r="BS33" i="3"/>
  <c r="CE33" i="3"/>
  <c r="CQ33" i="3"/>
  <c r="DC33" i="3"/>
  <c r="DO33" i="3"/>
  <c r="FD22" i="3"/>
  <c r="BI25" i="3"/>
  <c r="AT26" i="3"/>
  <c r="ER26" i="3"/>
  <c r="GN26" i="3"/>
  <c r="BB27" i="3"/>
  <c r="CX27" i="3"/>
  <c r="ET27" i="3"/>
  <c r="GP27" i="3"/>
  <c r="BB28" i="3"/>
  <c r="CO28" i="3"/>
  <c r="ED28" i="3"/>
  <c r="FK28" i="3"/>
  <c r="GO28" i="3"/>
  <c r="AI29" i="3"/>
  <c r="BK29" i="3"/>
  <c r="CL29" i="3"/>
  <c r="DJ29" i="3"/>
  <c r="EH29" i="3"/>
  <c r="FF29" i="3"/>
  <c r="GD29" i="3"/>
  <c r="T30" i="3"/>
  <c r="AR30" i="3"/>
  <c r="BP30" i="3"/>
  <c r="CK30" i="3"/>
  <c r="DA30" i="3"/>
  <c r="DU30" i="3"/>
  <c r="EK30" i="3"/>
  <c r="FE30" i="3"/>
  <c r="FU30" i="3"/>
  <c r="GO30" i="3"/>
  <c r="W31" i="3"/>
  <c r="AQ31" i="3"/>
  <c r="BG31" i="3"/>
  <c r="CA31" i="3"/>
  <c r="CQ31" i="3"/>
  <c r="DK31" i="3"/>
  <c r="EA31" i="3"/>
  <c r="EU31" i="3"/>
  <c r="FK31" i="3"/>
  <c r="GE31" i="3"/>
  <c r="GU31" i="3"/>
  <c r="AG32" i="3"/>
  <c r="AW32" i="3"/>
  <c r="BM32" i="3"/>
  <c r="CA32" i="3"/>
  <c r="CP32" i="3"/>
  <c r="DD32" i="3"/>
  <c r="DC23" i="3"/>
  <c r="BU25" i="3"/>
  <c r="BA26" i="3"/>
  <c r="ES26" i="3"/>
  <c r="GO26" i="3"/>
  <c r="BC27" i="3"/>
  <c r="CY27" i="3"/>
  <c r="EU27" i="3"/>
  <c r="GQ27" i="3"/>
  <c r="BC28" i="3"/>
  <c r="CQ28" i="3"/>
  <c r="EH28" i="3"/>
  <c r="FL28" i="3"/>
  <c r="GP28" i="3"/>
  <c r="AJ29" i="3"/>
  <c r="BL29" i="3"/>
  <c r="CM29" i="3"/>
  <c r="DK29" i="3"/>
  <c r="EI29" i="3"/>
  <c r="FG29" i="3"/>
  <c r="GE29" i="3"/>
  <c r="U30" i="3"/>
  <c r="AS30" i="3"/>
  <c r="BQ30" i="3"/>
  <c r="CL30" i="3"/>
  <c r="DD30" i="3"/>
  <c r="DV30" i="3"/>
  <c r="EN30" i="3"/>
  <c r="FF30" i="3"/>
  <c r="FX30" i="3"/>
  <c r="GP30" i="3"/>
  <c r="Z31" i="3"/>
  <c r="AR31" i="3"/>
  <c r="BJ31" i="3"/>
  <c r="CB31" i="3"/>
  <c r="CT31" i="3"/>
  <c r="DL31" i="3"/>
  <c r="ED31" i="3"/>
  <c r="EV31" i="3"/>
  <c r="FN31" i="3"/>
  <c r="GF31" i="3"/>
  <c r="GX31" i="3"/>
  <c r="AH32" i="3"/>
  <c r="AZ32" i="3"/>
  <c r="BN32" i="3"/>
  <c r="CC32" i="3"/>
  <c r="CQ32" i="3"/>
  <c r="DE32" i="3"/>
  <c r="DT32" i="3"/>
  <c r="EH32" i="3"/>
  <c r="EU32" i="3"/>
  <c r="FH32" i="3"/>
  <c r="FU32" i="3"/>
  <c r="GH32" i="3"/>
  <c r="GU32" i="3"/>
  <c r="Y33" i="3"/>
  <c r="AK33" i="3"/>
  <c r="AW33" i="3"/>
  <c r="BI33" i="3"/>
  <c r="BU33" i="3"/>
  <c r="CG33" i="3"/>
  <c r="CS33" i="3"/>
  <c r="DE33" i="3"/>
  <c r="DQ33" i="3"/>
  <c r="EC33" i="3"/>
  <c r="EO33" i="3"/>
  <c r="FA33" i="3"/>
  <c r="FM33" i="3"/>
  <c r="FY33" i="3"/>
  <c r="GK33" i="3"/>
  <c r="GW33" i="3"/>
  <c r="AA34" i="3"/>
  <c r="AM34" i="3"/>
  <c r="AY34" i="3"/>
  <c r="BK34" i="3"/>
  <c r="BW34" i="3"/>
  <c r="CI34" i="3"/>
  <c r="CU34" i="3"/>
  <c r="DG34" i="3"/>
  <c r="DS34" i="3"/>
  <c r="EE34" i="3"/>
  <c r="EQ34" i="3"/>
  <c r="FC34" i="3"/>
  <c r="FO34" i="3"/>
  <c r="GA34" i="3"/>
  <c r="DO23" i="3"/>
  <c r="CZ25" i="3"/>
  <c r="BY26" i="3"/>
  <c r="FC26" i="3"/>
  <c r="GY26" i="3"/>
  <c r="BM27" i="3"/>
  <c r="DI27" i="3"/>
  <c r="FE27" i="3"/>
  <c r="S28" i="3"/>
  <c r="BI28" i="3"/>
  <c r="CY28" i="3"/>
  <c r="EM28" i="3"/>
  <c r="FR28" i="3"/>
  <c r="GT28" i="3"/>
  <c r="AN29" i="3"/>
  <c r="BR29" i="3"/>
  <c r="CQ29" i="3"/>
  <c r="DO29" i="3"/>
  <c r="EM29" i="3"/>
  <c r="FK29" i="3"/>
  <c r="GI29" i="3"/>
  <c r="Y30" i="3"/>
  <c r="AW30" i="3"/>
  <c r="BU30" i="3"/>
  <c r="CM30" i="3"/>
  <c r="DE30" i="3"/>
  <c r="DW30" i="3"/>
  <c r="EO30" i="3"/>
  <c r="FG30" i="3"/>
  <c r="FY30" i="3"/>
  <c r="GQ30" i="3"/>
  <c r="AA31" i="3"/>
  <c r="AS31" i="3"/>
  <c r="BK31" i="3"/>
  <c r="CC31" i="3"/>
  <c r="CU31" i="3"/>
  <c r="DM31" i="3"/>
  <c r="EE31" i="3"/>
  <c r="EW31" i="3"/>
  <c r="FO31" i="3"/>
  <c r="GG31" i="3"/>
  <c r="GY31" i="3"/>
  <c r="AI32" i="3"/>
  <c r="BA32" i="3"/>
  <c r="BO32" i="3"/>
  <c r="CD32" i="3"/>
  <c r="CR32" i="3"/>
  <c r="DG32" i="3"/>
  <c r="DU32" i="3"/>
  <c r="EI32" i="3"/>
  <c r="EV32" i="3"/>
  <c r="FI32" i="3"/>
  <c r="FV32" i="3"/>
  <c r="GI32" i="3"/>
  <c r="GV32" i="3"/>
  <c r="Z33" i="3"/>
  <c r="AL33" i="3"/>
  <c r="AX33" i="3"/>
  <c r="BJ33" i="3"/>
  <c r="BV33" i="3"/>
  <c r="CH33" i="3"/>
  <c r="CT33" i="3"/>
  <c r="DF33" i="3"/>
  <c r="DR33" i="3"/>
  <c r="ED33" i="3"/>
  <c r="EP33" i="3"/>
  <c r="FB33" i="3"/>
  <c r="FN33" i="3"/>
  <c r="FZ33" i="3"/>
  <c r="GL33" i="3"/>
  <c r="GX33" i="3"/>
  <c r="AB34" i="3"/>
  <c r="AN34" i="3"/>
  <c r="AZ34" i="3"/>
  <c r="BL34" i="3"/>
  <c r="BX34" i="3"/>
  <c r="CJ34" i="3"/>
  <c r="CV34" i="3"/>
  <c r="DH34" i="3"/>
  <c r="DT34" i="3"/>
  <c r="EF34" i="3"/>
  <c r="BU24" i="3"/>
  <c r="DQ25" i="3"/>
  <c r="CK26" i="3"/>
  <c r="FJ26" i="3"/>
  <c r="X27" i="3"/>
  <c r="BT27" i="3"/>
  <c r="DP27" i="3"/>
  <c r="FL27" i="3"/>
  <c r="Z28" i="3"/>
  <c r="BP28" i="3"/>
  <c r="DE28" i="3"/>
  <c r="ET28" i="3"/>
  <c r="FV28" i="3"/>
  <c r="GX28" i="3"/>
  <c r="AT29" i="3"/>
  <c r="BV29" i="3"/>
  <c r="CU29" i="3"/>
  <c r="DS29" i="3"/>
  <c r="EQ29" i="3"/>
  <c r="FO29" i="3"/>
  <c r="GM29" i="3"/>
  <c r="AC30" i="3"/>
  <c r="BA30" i="3"/>
  <c r="BY30" i="3"/>
  <c r="CO30" i="3"/>
  <c r="DI30" i="3"/>
  <c r="DY30" i="3"/>
  <c r="ES30" i="3"/>
  <c r="FI30" i="3"/>
  <c r="GC30" i="3"/>
  <c r="GS30" i="3"/>
  <c r="AE31" i="3"/>
  <c r="AU31" i="3"/>
  <c r="BO31" i="3"/>
  <c r="CE31" i="3"/>
  <c r="CY31" i="3"/>
  <c r="DO31" i="3"/>
  <c r="EI31" i="3"/>
  <c r="EY31" i="3"/>
  <c r="FS31" i="3"/>
  <c r="GI31" i="3"/>
  <c r="U32" i="3"/>
  <c r="AK32" i="3"/>
  <c r="BC32" i="3"/>
  <c r="BR32" i="3"/>
  <c r="CF32" i="3"/>
  <c r="CU32" i="3"/>
  <c r="DI32" i="3"/>
  <c r="DW32" i="3"/>
  <c r="EK32" i="3"/>
  <c r="EX32" i="3"/>
  <c r="FK32" i="3"/>
  <c r="FX32" i="3"/>
  <c r="GK32" i="3"/>
  <c r="GX32" i="3"/>
  <c r="AB33" i="3"/>
  <c r="AN33" i="3"/>
  <c r="AZ33" i="3"/>
  <c r="BL33" i="3"/>
  <c r="BX33" i="3"/>
  <c r="CJ33" i="3"/>
  <c r="CV33" i="3"/>
  <c r="DH33" i="3"/>
  <c r="DT33" i="3"/>
  <c r="EF33" i="3"/>
  <c r="ER33" i="3"/>
  <c r="FD33" i="3"/>
  <c r="FP33" i="3"/>
  <c r="GB33" i="3"/>
  <c r="GN33" i="3"/>
  <c r="GZ33" i="3"/>
  <c r="AD34" i="3"/>
  <c r="AP34" i="3"/>
  <c r="BB34" i="3"/>
  <c r="BN34" i="3"/>
  <c r="BZ34" i="3"/>
  <c r="CL34" i="3"/>
  <c r="CX34" i="3"/>
  <c r="DJ34" i="3"/>
  <c r="DV34" i="3"/>
  <c r="EH34" i="3"/>
  <c r="ET34" i="3"/>
  <c r="FF34" i="3"/>
  <c r="FR34" i="3"/>
  <c r="GD34" i="3"/>
  <c r="GP34" i="3"/>
  <c r="T35" i="3"/>
  <c r="AF35" i="3"/>
  <c r="AR35" i="3"/>
  <c r="BD35" i="3"/>
  <c r="BP35" i="3"/>
  <c r="CB35" i="3"/>
  <c r="CN35" i="3"/>
  <c r="CZ35" i="3"/>
  <c r="DL35" i="3"/>
  <c r="DX35" i="3"/>
  <c r="EJ35" i="3"/>
  <c r="EV35" i="3"/>
  <c r="FH35" i="3"/>
  <c r="FT35" i="3"/>
  <c r="GF35" i="3"/>
  <c r="GR35" i="3"/>
  <c r="V36" i="3"/>
  <c r="AH36" i="3"/>
  <c r="AT36" i="3"/>
  <c r="BF36" i="3"/>
  <c r="BR36" i="3"/>
  <c r="CD36" i="3"/>
  <c r="CP36" i="3"/>
  <c r="DB36" i="3"/>
  <c r="DN36" i="3"/>
  <c r="DZ36" i="3"/>
  <c r="EL36" i="3"/>
  <c r="EX36" i="3"/>
  <c r="FJ36" i="3"/>
  <c r="FV36" i="3"/>
  <c r="GH36" i="3"/>
  <c r="GT36" i="3"/>
  <c r="X37" i="3"/>
  <c r="AJ37" i="3"/>
  <c r="AV37" i="3"/>
  <c r="BH37" i="3"/>
  <c r="ET24" i="3"/>
  <c r="EV25" i="3"/>
  <c r="DB26" i="3"/>
  <c r="FN26" i="3"/>
  <c r="AB27" i="3"/>
  <c r="BX27" i="3"/>
  <c r="DT27" i="3"/>
  <c r="FP27" i="3"/>
  <c r="AD28" i="3"/>
  <c r="BQ28" i="3"/>
  <c r="DF28" i="3"/>
  <c r="EU28" i="3"/>
  <c r="FW28" i="3"/>
  <c r="S29" i="3"/>
  <c r="AU29" i="3"/>
  <c r="BW29" i="3"/>
  <c r="CV29" i="3"/>
  <c r="DT29" i="3"/>
  <c r="ER29" i="3"/>
  <c r="FP29" i="3"/>
  <c r="GN29" i="3"/>
  <c r="AD30" i="3"/>
  <c r="BB30" i="3"/>
  <c r="BZ30" i="3"/>
  <c r="CR30" i="3"/>
  <c r="DJ30" i="3"/>
  <c r="EB30" i="3"/>
  <c r="ET30" i="3"/>
  <c r="FL30" i="3"/>
  <c r="GD30" i="3"/>
  <c r="GV30" i="3"/>
  <c r="AF31" i="3"/>
  <c r="AX31" i="3"/>
  <c r="BP31" i="3"/>
  <c r="CH31" i="3"/>
  <c r="CZ31" i="3"/>
  <c r="DR31" i="3"/>
  <c r="EJ31" i="3"/>
  <c r="FB31" i="3"/>
  <c r="FT31" i="3"/>
  <c r="GL31" i="3"/>
  <c r="V32" i="3"/>
  <c r="AN32" i="3"/>
  <c r="BE32" i="3"/>
  <c r="BS32" i="3"/>
  <c r="CG32" i="3"/>
  <c r="EY24" i="3"/>
  <c r="FA25" i="3"/>
  <c r="DI26" i="3"/>
  <c r="FP26" i="3"/>
  <c r="AD27" i="3"/>
  <c r="BZ27" i="3"/>
  <c r="DV27" i="3"/>
  <c r="FR27" i="3"/>
  <c r="AF28" i="3"/>
  <c r="BU28" i="3"/>
  <c r="DK28" i="3"/>
  <c r="EW28" i="3"/>
  <c r="FY28" i="3"/>
  <c r="U29" i="3"/>
  <c r="AW29" i="3"/>
  <c r="BZ29" i="3"/>
  <c r="CX29" i="3"/>
  <c r="DV29" i="3"/>
  <c r="ET29" i="3"/>
  <c r="FR29" i="3"/>
  <c r="GP29" i="3"/>
  <c r="AF30" i="3"/>
  <c r="BD30" i="3"/>
  <c r="CA30" i="3"/>
  <c r="CS30" i="3"/>
  <c r="DK30" i="3"/>
  <c r="EC30" i="3"/>
  <c r="EU30" i="3"/>
  <c r="FM30" i="3"/>
  <c r="GE30" i="3"/>
  <c r="GW30" i="3"/>
  <c r="AG31" i="3"/>
  <c r="AY31" i="3"/>
  <c r="BQ31" i="3"/>
  <c r="CI31" i="3"/>
  <c r="DA31" i="3"/>
  <c r="DS31" i="3"/>
  <c r="EK31" i="3"/>
  <c r="FC31" i="3"/>
  <c r="FU31" i="3"/>
  <c r="GM31" i="3"/>
  <c r="W32" i="3"/>
  <c r="AO32" i="3"/>
  <c r="BF32" i="3"/>
  <c r="BT32" i="3"/>
  <c r="CI32" i="3"/>
  <c r="CW32" i="3"/>
  <c r="DK32" i="3"/>
  <c r="DZ32" i="3"/>
  <c r="EM32" i="3"/>
  <c r="EZ32" i="3"/>
  <c r="FM32" i="3"/>
  <c r="GA32" i="3"/>
  <c r="GN32" i="3"/>
  <c r="GZ32" i="3"/>
  <c r="AD33" i="3"/>
  <c r="AP33" i="3"/>
  <c r="BB33" i="3"/>
  <c r="BN33" i="3"/>
  <c r="BZ33" i="3"/>
  <c r="CL33" i="3"/>
  <c r="CX33" i="3"/>
  <c r="DJ33" i="3"/>
  <c r="DV33" i="3"/>
  <c r="EH33" i="3"/>
  <c r="ET33" i="3"/>
  <c r="FF33" i="3"/>
  <c r="FR33" i="3"/>
  <c r="GD33" i="3"/>
  <c r="GP33" i="3"/>
  <c r="T34" i="3"/>
  <c r="AF34" i="3"/>
  <c r="AR34" i="3"/>
  <c r="BD34" i="3"/>
  <c r="BP34" i="3"/>
  <c r="CB34" i="3"/>
  <c r="CN34" i="3"/>
  <c r="CZ34" i="3"/>
  <c r="DL34" i="3"/>
  <c r="DX34" i="3"/>
  <c r="EJ34" i="3"/>
  <c r="EV34" i="3"/>
  <c r="FH34" i="3"/>
  <c r="FT34" i="3"/>
  <c r="GF34" i="3"/>
  <c r="GR34" i="3"/>
  <c r="V35" i="3"/>
  <c r="AH35" i="3"/>
  <c r="AT35" i="3"/>
  <c r="BF35" i="3"/>
  <c r="BR35" i="3"/>
  <c r="CD35" i="3"/>
  <c r="CP35" i="3"/>
  <c r="BI24" i="3"/>
  <c r="FS28" i="3"/>
  <c r="CN30" i="3"/>
  <c r="DN31" i="3"/>
  <c r="DH32" i="3"/>
  <c r="EW32" i="3"/>
  <c r="GJ32" i="3"/>
  <c r="AM33" i="3"/>
  <c r="BW33" i="3"/>
  <c r="DG33" i="3"/>
  <c r="EM33" i="3"/>
  <c r="FO33" i="3"/>
  <c r="GQ33" i="3"/>
  <c r="AL34" i="3"/>
  <c r="BO34" i="3"/>
  <c r="CS34" i="3"/>
  <c r="DU34" i="3"/>
  <c r="EU34" i="3"/>
  <c r="FS34" i="3"/>
  <c r="GO34" i="3"/>
  <c r="AA35" i="3"/>
  <c r="AQ35" i="3"/>
  <c r="BK35" i="3"/>
  <c r="CA35" i="3"/>
  <c r="CU35" i="3"/>
  <c r="DJ35" i="3"/>
  <c r="DZ35" i="3"/>
  <c r="EN35" i="3"/>
  <c r="FC35" i="3"/>
  <c r="FQ35" i="3"/>
  <c r="GE35" i="3"/>
  <c r="GT35" i="3"/>
  <c r="Z36" i="3"/>
  <c r="AO36" i="3"/>
  <c r="BC36" i="3"/>
  <c r="BQ36" i="3"/>
  <c r="CF36" i="3"/>
  <c r="CT36" i="3"/>
  <c r="DI36" i="3"/>
  <c r="DW36" i="3"/>
  <c r="EK36" i="3"/>
  <c r="EZ36" i="3"/>
  <c r="FN36" i="3"/>
  <c r="GC36" i="3"/>
  <c r="GQ36" i="3"/>
  <c r="W37" i="3"/>
  <c r="AL37" i="3"/>
  <c r="AZ37" i="3"/>
  <c r="BO37" i="3"/>
  <c r="CB37" i="3"/>
  <c r="CO37" i="3"/>
  <c r="DB37" i="3"/>
  <c r="DO37" i="3"/>
  <c r="EB37" i="3"/>
  <c r="EO37" i="3"/>
  <c r="FB37" i="3"/>
  <c r="FO37" i="3"/>
  <c r="GB37" i="3"/>
  <c r="GP37" i="3"/>
  <c r="U38" i="3"/>
  <c r="AH38" i="3"/>
  <c r="AU38" i="3"/>
  <c r="BH38" i="3"/>
  <c r="BU38" i="3"/>
  <c r="CH38" i="3"/>
  <c r="CT38" i="3"/>
  <c r="DF38" i="3"/>
  <c r="DR38" i="3"/>
  <c r="ED38" i="3"/>
  <c r="EP38" i="3"/>
  <c r="FB38" i="3"/>
  <c r="FN38" i="3"/>
  <c r="FZ38" i="3"/>
  <c r="GL38" i="3"/>
  <c r="GX38" i="3"/>
  <c r="AB39" i="3"/>
  <c r="AN39" i="3"/>
  <c r="AZ39" i="3"/>
  <c r="BL39" i="3"/>
  <c r="BX39" i="3"/>
  <c r="CJ39" i="3"/>
  <c r="CV39" i="3"/>
  <c r="DH39" i="3"/>
  <c r="DT39" i="3"/>
  <c r="EF39" i="3"/>
  <c r="ER39" i="3"/>
  <c r="FD39" i="3"/>
  <c r="FP39" i="3"/>
  <c r="GB39" i="3"/>
  <c r="GN39" i="3"/>
  <c r="GZ39" i="3"/>
  <c r="AD40" i="3"/>
  <c r="AP40" i="3"/>
  <c r="BB40" i="3"/>
  <c r="BN40" i="3"/>
  <c r="BZ40" i="3"/>
  <c r="CL40" i="3"/>
  <c r="CX40" i="3"/>
  <c r="DJ40" i="3"/>
  <c r="DV40" i="3"/>
  <c r="EH40" i="3"/>
  <c r="ET40" i="3"/>
  <c r="FF40" i="3"/>
  <c r="FR40" i="3"/>
  <c r="GD40" i="3"/>
  <c r="GP40" i="3"/>
  <c r="T41" i="3"/>
  <c r="AF41" i="3"/>
  <c r="AR41" i="3"/>
  <c r="BD41" i="3"/>
  <c r="BP41" i="3"/>
  <c r="CB41" i="3"/>
  <c r="CN41" i="3"/>
  <c r="CZ41" i="3"/>
  <c r="DL41" i="3"/>
  <c r="DX41" i="3"/>
  <c r="EJ41" i="3"/>
  <c r="EV41" i="3"/>
  <c r="FH41" i="3"/>
  <c r="FT41" i="3"/>
  <c r="DE25" i="3"/>
  <c r="GU28" i="3"/>
  <c r="DF30" i="3"/>
  <c r="EF31" i="3"/>
  <c r="DJ32" i="3"/>
  <c r="EY32" i="3"/>
  <c r="GM32" i="3"/>
  <c r="AO33" i="3"/>
  <c r="BY33" i="3"/>
  <c r="DI33" i="3"/>
  <c r="EN33" i="3"/>
  <c r="FQ33" i="3"/>
  <c r="GU33" i="3"/>
  <c r="AO34" i="3"/>
  <c r="BQ34" i="3"/>
  <c r="CT34" i="3"/>
  <c r="DW34" i="3"/>
  <c r="EW34" i="3"/>
  <c r="FU34" i="3"/>
  <c r="GQ34" i="3"/>
  <c r="AB35" i="3"/>
  <c r="AS35" i="3"/>
  <c r="BL35" i="3"/>
  <c r="CC35" i="3"/>
  <c r="CV35" i="3"/>
  <c r="DK35" i="3"/>
  <c r="EA35" i="3"/>
  <c r="EP35" i="3"/>
  <c r="FD35" i="3"/>
  <c r="FR35" i="3"/>
  <c r="GG35" i="3"/>
  <c r="GU35" i="3"/>
  <c r="AB36" i="3"/>
  <c r="AP36" i="3"/>
  <c r="BD36" i="3"/>
  <c r="BS36" i="3"/>
  <c r="CG36" i="3"/>
  <c r="CV36" i="3"/>
  <c r="DJ36" i="3"/>
  <c r="DX36" i="3"/>
  <c r="EM36" i="3"/>
  <c r="FA36" i="3"/>
  <c r="FP36" i="3"/>
  <c r="GD36" i="3"/>
  <c r="GR36" i="3"/>
  <c r="Y37" i="3"/>
  <c r="AM37" i="3"/>
  <c r="BB37" i="3"/>
  <c r="BP37" i="3"/>
  <c r="CC37" i="3"/>
  <c r="CP37" i="3"/>
  <c r="DC37" i="3"/>
  <c r="DP37" i="3"/>
  <c r="EC37" i="3"/>
  <c r="EP37" i="3"/>
  <c r="FC37" i="3"/>
  <c r="FP37" i="3"/>
  <c r="GD37" i="3"/>
  <c r="GQ37" i="3"/>
  <c r="V38" i="3"/>
  <c r="AI38" i="3"/>
  <c r="AV38" i="3"/>
  <c r="BI38" i="3"/>
  <c r="BV38" i="3"/>
  <c r="CI38" i="3"/>
  <c r="CU38" i="3"/>
  <c r="DG38" i="3"/>
  <c r="DS38" i="3"/>
  <c r="EE38" i="3"/>
  <c r="EQ38" i="3"/>
  <c r="FC38" i="3"/>
  <c r="FO38" i="3"/>
  <c r="GA38" i="3"/>
  <c r="GM38" i="3"/>
  <c r="GY38" i="3"/>
  <c r="AC39" i="3"/>
  <c r="AO39" i="3"/>
  <c r="BA39" i="3"/>
  <c r="BM39" i="3"/>
  <c r="BY39" i="3"/>
  <c r="CK39" i="3"/>
  <c r="CW39" i="3"/>
  <c r="DI39" i="3"/>
  <c r="DU39" i="3"/>
  <c r="EG39" i="3"/>
  <c r="ES39" i="3"/>
  <c r="FE39" i="3"/>
  <c r="FQ39" i="3"/>
  <c r="GC39" i="3"/>
  <c r="GO39" i="3"/>
  <c r="S40" i="3"/>
  <c r="AE40" i="3"/>
  <c r="AQ40" i="3"/>
  <c r="BC40" i="3"/>
  <c r="BO40" i="3"/>
  <c r="CA40" i="3"/>
  <c r="CM40" i="3"/>
  <c r="CY40" i="3"/>
  <c r="DK40" i="3"/>
  <c r="DW40" i="3"/>
  <c r="EI40" i="3"/>
  <c r="EU40" i="3"/>
  <c r="FG40" i="3"/>
  <c r="FS40" i="3"/>
  <c r="GE40" i="3"/>
  <c r="GQ40" i="3"/>
  <c r="U41" i="3"/>
  <c r="AG41" i="3"/>
  <c r="AS41" i="3"/>
  <c r="BE41" i="3"/>
  <c r="BQ41" i="3"/>
  <c r="CC41" i="3"/>
  <c r="CO41" i="3"/>
  <c r="DA41" i="3"/>
  <c r="DM41" i="3"/>
  <c r="DY41" i="3"/>
  <c r="EK41" i="3"/>
  <c r="EW41" i="3"/>
  <c r="FI41" i="3"/>
  <c r="FU41" i="3"/>
  <c r="GG41" i="3"/>
  <c r="GS41" i="3"/>
  <c r="W42" i="3"/>
  <c r="AI42" i="3"/>
  <c r="AU42" i="3"/>
  <c r="CD26" i="3"/>
  <c r="AQ29" i="3"/>
  <c r="DX30" i="3"/>
  <c r="EX31" i="3"/>
  <c r="DM32" i="3"/>
  <c r="FA32" i="3"/>
  <c r="GO32" i="3"/>
  <c r="AQ33" i="3"/>
  <c r="CA33" i="3"/>
  <c r="DK33" i="3"/>
  <c r="EQ33" i="3"/>
  <c r="FS33" i="3"/>
  <c r="GV33" i="3"/>
  <c r="AQ34" i="3"/>
  <c r="BU34" i="3"/>
  <c r="CW34" i="3"/>
  <c r="DY34" i="3"/>
  <c r="FA34" i="3"/>
  <c r="FY34" i="3"/>
  <c r="GS34" i="3"/>
  <c r="AC35" i="3"/>
  <c r="AU35" i="3"/>
  <c r="BM35" i="3"/>
  <c r="CE35" i="3"/>
  <c r="CW35" i="3"/>
  <c r="DM35" i="3"/>
  <c r="EB35" i="3"/>
  <c r="EQ35" i="3"/>
  <c r="FE35" i="3"/>
  <c r="FS35" i="3"/>
  <c r="GH35" i="3"/>
  <c r="GV35" i="3"/>
  <c r="AC36" i="3"/>
  <c r="AQ36" i="3"/>
  <c r="BE36" i="3"/>
  <c r="BT36" i="3"/>
  <c r="CH36" i="3"/>
  <c r="CW36" i="3"/>
  <c r="DK36" i="3"/>
  <c r="DY36" i="3"/>
  <c r="EN36" i="3"/>
  <c r="FB36" i="3"/>
  <c r="FQ36" i="3"/>
  <c r="GE36" i="3"/>
  <c r="GS36" i="3"/>
  <c r="Z37" i="3"/>
  <c r="AN37" i="3"/>
  <c r="BC37" i="3"/>
  <c r="BQ37" i="3"/>
  <c r="CD37" i="3"/>
  <c r="CQ37" i="3"/>
  <c r="DD37" i="3"/>
  <c r="DQ37" i="3"/>
  <c r="ED37" i="3"/>
  <c r="EQ37" i="3"/>
  <c r="FD37" i="3"/>
  <c r="FR37" i="3"/>
  <c r="GE37" i="3"/>
  <c r="GR37" i="3"/>
  <c r="W38" i="3"/>
  <c r="AJ38" i="3"/>
  <c r="AW38" i="3"/>
  <c r="BJ38" i="3"/>
  <c r="BW38" i="3"/>
  <c r="CJ38" i="3"/>
  <c r="CV38" i="3"/>
  <c r="DH38" i="3"/>
  <c r="DT38" i="3"/>
  <c r="EF38" i="3"/>
  <c r="ER38" i="3"/>
  <c r="FD38" i="3"/>
  <c r="FP38" i="3"/>
  <c r="GB38" i="3"/>
  <c r="GN38" i="3"/>
  <c r="GZ38" i="3"/>
  <c r="AD39" i="3"/>
  <c r="AP39" i="3"/>
  <c r="BB39" i="3"/>
  <c r="BN39" i="3"/>
  <c r="BZ39" i="3"/>
  <c r="CL39" i="3"/>
  <c r="CX39" i="3"/>
  <c r="DJ39" i="3"/>
  <c r="DV39" i="3"/>
  <c r="EH39" i="3"/>
  <c r="ET39" i="3"/>
  <c r="FF39" i="3"/>
  <c r="FR39" i="3"/>
  <c r="GD39" i="3"/>
  <c r="GP39" i="3"/>
  <c r="T40" i="3"/>
  <c r="AF40" i="3"/>
  <c r="AR40" i="3"/>
  <c r="FD26" i="3"/>
  <c r="BS29" i="3"/>
  <c r="EP30" i="3"/>
  <c r="FP31" i="3"/>
  <c r="DS32" i="3"/>
  <c r="FG32" i="3"/>
  <c r="GT32" i="3"/>
  <c r="AV33" i="3"/>
  <c r="CF33" i="3"/>
  <c r="DP33" i="3"/>
  <c r="ES33" i="3"/>
  <c r="FW33" i="3"/>
  <c r="GY33" i="3"/>
  <c r="AS34" i="3"/>
  <c r="BV34" i="3"/>
  <c r="CY34" i="3"/>
  <c r="EC34" i="3"/>
  <c r="FB34" i="3"/>
  <c r="FZ34" i="3"/>
  <c r="GT34" i="3"/>
  <c r="AD35" i="3"/>
  <c r="AV35" i="3"/>
  <c r="BN35" i="3"/>
  <c r="CF35" i="3"/>
  <c r="CX35" i="3"/>
  <c r="DN35" i="3"/>
  <c r="ED35" i="3"/>
  <c r="ER35" i="3"/>
  <c r="FF35" i="3"/>
  <c r="FU35" i="3"/>
  <c r="GI35" i="3"/>
  <c r="GX35" i="3"/>
  <c r="AD36" i="3"/>
  <c r="AR36" i="3"/>
  <c r="BG36" i="3"/>
  <c r="BU36" i="3"/>
  <c r="CJ36" i="3"/>
  <c r="CX36" i="3"/>
  <c r="DL36" i="3"/>
  <c r="EA36" i="3"/>
  <c r="EO36" i="3"/>
  <c r="FD36" i="3"/>
  <c r="FR36" i="3"/>
  <c r="GF36" i="3"/>
  <c r="GU36" i="3"/>
  <c r="AA37" i="3"/>
  <c r="AP37" i="3"/>
  <c r="BD37" i="3"/>
  <c r="BR37" i="3"/>
  <c r="CE37" i="3"/>
  <c r="CR37" i="3"/>
  <c r="DE37" i="3"/>
  <c r="DR37" i="3"/>
  <c r="EE37" i="3"/>
  <c r="ER37" i="3"/>
  <c r="FF37" i="3"/>
  <c r="FS37" i="3"/>
  <c r="GF37" i="3"/>
  <c r="GS37" i="3"/>
  <c r="X38" i="3"/>
  <c r="AK38" i="3"/>
  <c r="AX38" i="3"/>
  <c r="BK38" i="3"/>
  <c r="BX38" i="3"/>
  <c r="CK38" i="3"/>
  <c r="CW38" i="3"/>
  <c r="DI38" i="3"/>
  <c r="DU38" i="3"/>
  <c r="EG38" i="3"/>
  <c r="ES38" i="3"/>
  <c r="FE38" i="3"/>
  <c r="FQ38" i="3"/>
  <c r="GC38" i="3"/>
  <c r="GO38" i="3"/>
  <c r="S39" i="3"/>
  <c r="AE39" i="3"/>
  <c r="AQ39" i="3"/>
  <c r="BC39" i="3"/>
  <c r="BO39" i="3"/>
  <c r="CA39" i="3"/>
  <c r="CM39" i="3"/>
  <c r="CY39" i="3"/>
  <c r="DK39" i="3"/>
  <c r="DW39" i="3"/>
  <c r="EI39" i="3"/>
  <c r="EU39" i="3"/>
  <c r="FG39" i="3"/>
  <c r="FS39" i="3"/>
  <c r="GE39" i="3"/>
  <c r="GQ39" i="3"/>
  <c r="U40" i="3"/>
  <c r="AG40" i="3"/>
  <c r="AS40" i="3"/>
  <c r="BE40" i="3"/>
  <c r="BQ40" i="3"/>
  <c r="CC40" i="3"/>
  <c r="CO40" i="3"/>
  <c r="DA40" i="3"/>
  <c r="DM40" i="3"/>
  <c r="DY40" i="3"/>
  <c r="EK40" i="3"/>
  <c r="EW40" i="3"/>
  <c r="FI40" i="3"/>
  <c r="FU40" i="3"/>
  <c r="GG40" i="3"/>
  <c r="GS40" i="3"/>
  <c r="W41" i="3"/>
  <c r="AI41" i="3"/>
  <c r="AU41" i="3"/>
  <c r="BG41" i="3"/>
  <c r="BS41" i="3"/>
  <c r="CE41" i="3"/>
  <c r="CQ41" i="3"/>
  <c r="DC41" i="3"/>
  <c r="DO41" i="3"/>
  <c r="EA41" i="3"/>
  <c r="EM41" i="3"/>
  <c r="EY41" i="3"/>
  <c r="FK41" i="3"/>
  <c r="FW41" i="3"/>
  <c r="GI41" i="3"/>
  <c r="GU41" i="3"/>
  <c r="Y42" i="3"/>
  <c r="AK42" i="3"/>
  <c r="AW42" i="3"/>
  <c r="BI42" i="3"/>
  <c r="BU42" i="3"/>
  <c r="CG42" i="3"/>
  <c r="CS42" i="3"/>
  <c r="DE42" i="3"/>
  <c r="DQ42" i="3"/>
  <c r="EC42" i="3"/>
  <c r="EO42" i="3"/>
  <c r="FA42" i="3"/>
  <c r="FM42" i="3"/>
  <c r="FY42" i="3"/>
  <c r="GK42" i="3"/>
  <c r="GW42" i="3"/>
  <c r="AA43" i="3"/>
  <c r="AM43" i="3"/>
  <c r="AY43" i="3"/>
  <c r="BK43" i="3"/>
  <c r="BW43" i="3"/>
  <c r="CI43" i="3"/>
  <c r="CU43" i="3"/>
  <c r="DG43" i="3"/>
  <c r="DS43" i="3"/>
  <c r="EE43" i="3"/>
  <c r="EQ43" i="3"/>
  <c r="FC43" i="3"/>
  <c r="FO43" i="3"/>
  <c r="GA43" i="3"/>
  <c r="GM43" i="3"/>
  <c r="GY43" i="3"/>
  <c r="AC44" i="3"/>
  <c r="AO44" i="3"/>
  <c r="BA44" i="3"/>
  <c r="BM44" i="3"/>
  <c r="BY44" i="3"/>
  <c r="CK44" i="3"/>
  <c r="CW44" i="3"/>
  <c r="DI44" i="3"/>
  <c r="DU44" i="3"/>
  <c r="EG44" i="3"/>
  <c r="ES44" i="3"/>
  <c r="FE44" i="3"/>
  <c r="FQ44" i="3"/>
  <c r="GC44" i="3"/>
  <c r="GO44" i="3"/>
  <c r="S45" i="3"/>
  <c r="GZ26" i="3"/>
  <c r="CR29" i="3"/>
  <c r="FH30" i="3"/>
  <c r="GH31" i="3"/>
  <c r="DV32" i="3"/>
  <c r="FJ32" i="3"/>
  <c r="GW32" i="3"/>
  <c r="AY33" i="3"/>
  <c r="CI33" i="3"/>
  <c r="DS33" i="3"/>
  <c r="EU33" i="3"/>
  <c r="FX33" i="3"/>
  <c r="S34" i="3"/>
  <c r="AW34" i="3"/>
  <c r="BY34" i="3"/>
  <c r="DA34" i="3"/>
  <c r="ED34" i="3"/>
  <c r="FD34" i="3"/>
  <c r="GB34" i="3"/>
  <c r="GW34" i="3"/>
  <c r="AE35" i="3"/>
  <c r="AY35" i="3"/>
  <c r="BO35" i="3"/>
  <c r="CI35" i="3"/>
  <c r="CY35" i="3"/>
  <c r="DO35" i="3"/>
  <c r="EE35" i="3"/>
  <c r="ES35" i="3"/>
  <c r="FG35" i="3"/>
  <c r="FV35" i="3"/>
  <c r="GJ35" i="3"/>
  <c r="GY35" i="3"/>
  <c r="AE36" i="3"/>
  <c r="AS36" i="3"/>
  <c r="BH36" i="3"/>
  <c r="BV36" i="3"/>
  <c r="CK36" i="3"/>
  <c r="CY36" i="3"/>
  <c r="DM36" i="3"/>
  <c r="EB36" i="3"/>
  <c r="EP36" i="3"/>
  <c r="FE36" i="3"/>
  <c r="FS36" i="3"/>
  <c r="GG36" i="3"/>
  <c r="GV36" i="3"/>
  <c r="AB37" i="3"/>
  <c r="AQ37" i="3"/>
  <c r="BE37" i="3"/>
  <c r="BS37" i="3"/>
  <c r="CF37" i="3"/>
  <c r="CS37" i="3"/>
  <c r="DF37" i="3"/>
  <c r="DS37" i="3"/>
  <c r="EF37" i="3"/>
  <c r="ET37" i="3"/>
  <c r="FG37" i="3"/>
  <c r="FT37" i="3"/>
  <c r="GG37" i="3"/>
  <c r="GT37" i="3"/>
  <c r="Y38" i="3"/>
  <c r="AL38" i="3"/>
  <c r="AY38" i="3"/>
  <c r="BL38" i="3"/>
  <c r="BY38" i="3"/>
  <c r="CL38" i="3"/>
  <c r="CX38" i="3"/>
  <c r="DJ38" i="3"/>
  <c r="DV38" i="3"/>
  <c r="EH38" i="3"/>
  <c r="ET38" i="3"/>
  <c r="FF38" i="3"/>
  <c r="FR38" i="3"/>
  <c r="GD38" i="3"/>
  <c r="GP38" i="3"/>
  <c r="T39" i="3"/>
  <c r="AF39" i="3"/>
  <c r="AR39" i="3"/>
  <c r="BD39" i="3"/>
  <c r="BP39" i="3"/>
  <c r="CB39" i="3"/>
  <c r="CN39" i="3"/>
  <c r="CZ39" i="3"/>
  <c r="DL39" i="3"/>
  <c r="DX39" i="3"/>
  <c r="EJ39" i="3"/>
  <c r="EV39" i="3"/>
  <c r="FH39" i="3"/>
  <c r="FT39" i="3"/>
  <c r="GF39" i="3"/>
  <c r="GR39" i="3"/>
  <c r="V40" i="3"/>
  <c r="AH40" i="3"/>
  <c r="AT40" i="3"/>
  <c r="BF40" i="3"/>
  <c r="BR40" i="3"/>
  <c r="CD40" i="3"/>
  <c r="CP40" i="3"/>
  <c r="DB40" i="3"/>
  <c r="DN40" i="3"/>
  <c r="DZ40" i="3"/>
  <c r="EL40" i="3"/>
  <c r="EX40" i="3"/>
  <c r="FJ40" i="3"/>
  <c r="FV40" i="3"/>
  <c r="GH40" i="3"/>
  <c r="GT40" i="3"/>
  <c r="X41" i="3"/>
  <c r="AJ41" i="3"/>
  <c r="AV41" i="3"/>
  <c r="BH41" i="3"/>
  <c r="BT41" i="3"/>
  <c r="CF41" i="3"/>
  <c r="CR41" i="3"/>
  <c r="DD41" i="3"/>
  <c r="DP41" i="3"/>
  <c r="EB41" i="3"/>
  <c r="EN41" i="3"/>
  <c r="EZ41" i="3"/>
  <c r="FL41" i="3"/>
  <c r="FX41" i="3"/>
  <c r="GJ41" i="3"/>
  <c r="GV41" i="3"/>
  <c r="Z42" i="3"/>
  <c r="AL42" i="3"/>
  <c r="AX42" i="3"/>
  <c r="BJ42" i="3"/>
  <c r="BV42" i="3"/>
  <c r="CH42" i="3"/>
  <c r="CT42" i="3"/>
  <c r="DF42" i="3"/>
  <c r="DR42" i="3"/>
  <c r="ED42" i="3"/>
  <c r="EP42" i="3"/>
  <c r="FB42" i="3"/>
  <c r="FN42" i="3"/>
  <c r="FZ42" i="3"/>
  <c r="GL42" i="3"/>
  <c r="GX42" i="3"/>
  <c r="AB43" i="3"/>
  <c r="AN43" i="3"/>
  <c r="AZ43" i="3"/>
  <c r="BL43" i="3"/>
  <c r="BX43" i="3"/>
  <c r="CJ43" i="3"/>
  <c r="CV43" i="3"/>
  <c r="DH43" i="3"/>
  <c r="DT43" i="3"/>
  <c r="EF43" i="3"/>
  <c r="ER43" i="3"/>
  <c r="FD43" i="3"/>
  <c r="FP43" i="3"/>
  <c r="GB43" i="3"/>
  <c r="GN43" i="3"/>
  <c r="GZ43" i="3"/>
  <c r="AD44" i="3"/>
  <c r="AP44" i="3"/>
  <c r="BB44" i="3"/>
  <c r="BN44" i="3"/>
  <c r="BZ44" i="3"/>
  <c r="CL44" i="3"/>
  <c r="CX44" i="3"/>
  <c r="BN27" i="3"/>
  <c r="DP29" i="3"/>
  <c r="FZ30" i="3"/>
  <c r="GZ31" i="3"/>
  <c r="DY32" i="3"/>
  <c r="FL32" i="3"/>
  <c r="GY32" i="3"/>
  <c r="BA33" i="3"/>
  <c r="CK33" i="3"/>
  <c r="DU33" i="3"/>
  <c r="EY33" i="3"/>
  <c r="GA33" i="3"/>
  <c r="U34" i="3"/>
  <c r="AX34" i="3"/>
  <c r="CA34" i="3"/>
  <c r="DE34" i="3"/>
  <c r="EG34" i="3"/>
  <c r="FE34" i="3"/>
  <c r="GC34" i="3"/>
  <c r="GX34" i="3"/>
  <c r="AG35" i="3"/>
  <c r="AZ35" i="3"/>
  <c r="BQ35" i="3"/>
  <c r="CJ35" i="3"/>
  <c r="DA35" i="3"/>
  <c r="DP35" i="3"/>
  <c r="EF35" i="3"/>
  <c r="ET35" i="3"/>
  <c r="FI35" i="3"/>
  <c r="FW35" i="3"/>
  <c r="GL35" i="3"/>
  <c r="GZ35" i="3"/>
  <c r="AF36" i="3"/>
  <c r="AU36" i="3"/>
  <c r="BI36" i="3"/>
  <c r="BX36" i="3"/>
  <c r="CL36" i="3"/>
  <c r="CZ36" i="3"/>
  <c r="DO36" i="3"/>
  <c r="EC36" i="3"/>
  <c r="ER36" i="3"/>
  <c r="FF36" i="3"/>
  <c r="FT36" i="3"/>
  <c r="GI36" i="3"/>
  <c r="GW36" i="3"/>
  <c r="AD37" i="3"/>
  <c r="AR37" i="3"/>
  <c r="BF37" i="3"/>
  <c r="BT37" i="3"/>
  <c r="CG37" i="3"/>
  <c r="CT37" i="3"/>
  <c r="DG37" i="3"/>
  <c r="DT37" i="3"/>
  <c r="EH37" i="3"/>
  <c r="EU37" i="3"/>
  <c r="FH37" i="3"/>
  <c r="FU37" i="3"/>
  <c r="GH37" i="3"/>
  <c r="GU37" i="3"/>
  <c r="Z38" i="3"/>
  <c r="AM38" i="3"/>
  <c r="AZ38" i="3"/>
  <c r="BM38" i="3"/>
  <c r="BZ38" i="3"/>
  <c r="CM38" i="3"/>
  <c r="CY38" i="3"/>
  <c r="DK38" i="3"/>
  <c r="DW38" i="3"/>
  <c r="EI38" i="3"/>
  <c r="EU38" i="3"/>
  <c r="FG38" i="3"/>
  <c r="FS38" i="3"/>
  <c r="GE38" i="3"/>
  <c r="GQ38" i="3"/>
  <c r="U39" i="3"/>
  <c r="AG39" i="3"/>
  <c r="AS39" i="3"/>
  <c r="BE39" i="3"/>
  <c r="BQ39" i="3"/>
  <c r="CC39" i="3"/>
  <c r="CO39" i="3"/>
  <c r="DA39" i="3"/>
  <c r="DM39" i="3"/>
  <c r="DY39" i="3"/>
  <c r="EK39" i="3"/>
  <c r="EW39" i="3"/>
  <c r="FI39" i="3"/>
  <c r="FU39" i="3"/>
  <c r="GG39" i="3"/>
  <c r="GS39" i="3"/>
  <c r="W40" i="3"/>
  <c r="AI40" i="3"/>
  <c r="AU40" i="3"/>
  <c r="BG40" i="3"/>
  <c r="BS40" i="3"/>
  <c r="CE40" i="3"/>
  <c r="CQ40" i="3"/>
  <c r="DC40" i="3"/>
  <c r="DO40" i="3"/>
  <c r="EA40" i="3"/>
  <c r="EM40" i="3"/>
  <c r="EY40" i="3"/>
  <c r="FK40" i="3"/>
  <c r="FW40" i="3"/>
  <c r="GI40" i="3"/>
  <c r="GU40" i="3"/>
  <c r="Y41" i="3"/>
  <c r="AK41" i="3"/>
  <c r="AW41" i="3"/>
  <c r="BI41" i="3"/>
  <c r="BU41" i="3"/>
  <c r="CG41" i="3"/>
  <c r="CS41" i="3"/>
  <c r="DE41" i="3"/>
  <c r="DQ41" i="3"/>
  <c r="EC41" i="3"/>
  <c r="EO41" i="3"/>
  <c r="FA41" i="3"/>
  <c r="FM41" i="3"/>
  <c r="FY41" i="3"/>
  <c r="DJ27" i="3"/>
  <c r="EN29" i="3"/>
  <c r="GR30" i="3"/>
  <c r="AJ32" i="3"/>
  <c r="EA32" i="3"/>
  <c r="FO32" i="3"/>
  <c r="S33" i="3"/>
  <c r="BC33" i="3"/>
  <c r="CM33" i="3"/>
  <c r="DW33" i="3"/>
  <c r="EZ33" i="3"/>
  <c r="GC33" i="3"/>
  <c r="Y34" i="3"/>
  <c r="BA34" i="3"/>
  <c r="CC34" i="3"/>
  <c r="DF34" i="3"/>
  <c r="EI34" i="3"/>
  <c r="FG34" i="3"/>
  <c r="GE34" i="3"/>
  <c r="GY34" i="3"/>
  <c r="AI35" i="3"/>
  <c r="BA35" i="3"/>
  <c r="BS35" i="3"/>
  <c r="CK35" i="3"/>
  <c r="DB35" i="3"/>
  <c r="DS35" i="3"/>
  <c r="EG35" i="3"/>
  <c r="EU35" i="3"/>
  <c r="FJ35" i="3"/>
  <c r="FX35" i="3"/>
  <c r="GM35" i="3"/>
  <c r="S36" i="3"/>
  <c r="AG36" i="3"/>
  <c r="AV36" i="3"/>
  <c r="BJ36" i="3"/>
  <c r="BY36" i="3"/>
  <c r="CM36" i="3"/>
  <c r="DA36" i="3"/>
  <c r="DP36" i="3"/>
  <c r="ED36" i="3"/>
  <c r="ES36" i="3"/>
  <c r="FG36" i="3"/>
  <c r="FU36" i="3"/>
  <c r="GJ36" i="3"/>
  <c r="GX36" i="3"/>
  <c r="AE37" i="3"/>
  <c r="AS37" i="3"/>
  <c r="BG37" i="3"/>
  <c r="BU37" i="3"/>
  <c r="CH37" i="3"/>
  <c r="CU37" i="3"/>
  <c r="DH37" i="3"/>
  <c r="DV37" i="3"/>
  <c r="EI37" i="3"/>
  <c r="EV37" i="3"/>
  <c r="FI37" i="3"/>
  <c r="FV37" i="3"/>
  <c r="GI37" i="3"/>
  <c r="GV37" i="3"/>
  <c r="AA38" i="3"/>
  <c r="AN38" i="3"/>
  <c r="BA38" i="3"/>
  <c r="BN38" i="3"/>
  <c r="CB38" i="3"/>
  <c r="CN38" i="3"/>
  <c r="CZ38" i="3"/>
  <c r="DL38" i="3"/>
  <c r="DX38" i="3"/>
  <c r="EJ38" i="3"/>
  <c r="EV38" i="3"/>
  <c r="FH38" i="3"/>
  <c r="FT38" i="3"/>
  <c r="GF38" i="3"/>
  <c r="GR38" i="3"/>
  <c r="V39" i="3"/>
  <c r="AH39" i="3"/>
  <c r="AT39" i="3"/>
  <c r="BF39" i="3"/>
  <c r="BR39" i="3"/>
  <c r="CD39" i="3"/>
  <c r="CP39" i="3"/>
  <c r="DB39" i="3"/>
  <c r="DN39" i="3"/>
  <c r="DZ39" i="3"/>
  <c r="EL39" i="3"/>
  <c r="EX39" i="3"/>
  <c r="FJ39" i="3"/>
  <c r="FV39" i="3"/>
  <c r="GH39" i="3"/>
  <c r="GT39" i="3"/>
  <c r="X40" i="3"/>
  <c r="AJ40" i="3"/>
  <c r="AV40" i="3"/>
  <c r="BH40" i="3"/>
  <c r="BT40" i="3"/>
  <c r="CF40" i="3"/>
  <c r="CR40" i="3"/>
  <c r="DD40" i="3"/>
  <c r="DP40" i="3"/>
  <c r="EB40" i="3"/>
  <c r="EN40" i="3"/>
  <c r="EZ40" i="3"/>
  <c r="FL40" i="3"/>
  <c r="FX40" i="3"/>
  <c r="GJ40" i="3"/>
  <c r="GV40" i="3"/>
  <c r="Z41" i="3"/>
  <c r="AL41" i="3"/>
  <c r="AX41" i="3"/>
  <c r="BJ41" i="3"/>
  <c r="BV41" i="3"/>
  <c r="CH41" i="3"/>
  <c r="CT41" i="3"/>
  <c r="DF41" i="3"/>
  <c r="DR41" i="3"/>
  <c r="ED41" i="3"/>
  <c r="EP41" i="3"/>
  <c r="FB41" i="3"/>
  <c r="FN41" i="3"/>
  <c r="FZ41" i="3"/>
  <c r="GL41" i="3"/>
  <c r="GX41" i="3"/>
  <c r="AB42" i="3"/>
  <c r="AN42" i="3"/>
  <c r="AZ42" i="3"/>
  <c r="FF27" i="3"/>
  <c r="FL29" i="3"/>
  <c r="AB31" i="3"/>
  <c r="BB32" i="3"/>
  <c r="EG32" i="3"/>
  <c r="FT32" i="3"/>
  <c r="X33" i="3"/>
  <c r="BH33" i="3"/>
  <c r="CR33" i="3"/>
  <c r="EA33" i="3"/>
  <c r="FC33" i="3"/>
  <c r="GE33" i="3"/>
  <c r="Z34" i="3"/>
  <c r="BC34" i="3"/>
  <c r="CG34" i="3"/>
  <c r="DI34" i="3"/>
  <c r="EK34" i="3"/>
  <c r="FI34" i="3"/>
  <c r="GG34" i="3"/>
  <c r="GZ34" i="3"/>
  <c r="AJ35" i="3"/>
  <c r="BB35" i="3"/>
  <c r="BT35" i="3"/>
  <c r="CL35" i="3"/>
  <c r="DC35" i="3"/>
  <c r="DT35" i="3"/>
  <c r="EH35" i="3"/>
  <c r="EW35" i="3"/>
  <c r="FK35" i="3"/>
  <c r="FZ35" i="3"/>
  <c r="GN35" i="3"/>
  <c r="T36" i="3"/>
  <c r="AI36" i="3"/>
  <c r="AW36" i="3"/>
  <c r="BL36" i="3"/>
  <c r="BZ36" i="3"/>
  <c r="CN36" i="3"/>
  <c r="DC36" i="3"/>
  <c r="DQ36" i="3"/>
  <c r="EF36" i="3"/>
  <c r="ET36" i="3"/>
  <c r="FH36" i="3"/>
  <c r="FW36" i="3"/>
  <c r="GK36" i="3"/>
  <c r="GZ36" i="3"/>
  <c r="AF37" i="3"/>
  <c r="AT37" i="3"/>
  <c r="BI37" i="3"/>
  <c r="BV37" i="3"/>
  <c r="CI37" i="3"/>
  <c r="CV37" i="3"/>
  <c r="DJ37" i="3"/>
  <c r="DW37" i="3"/>
  <c r="EJ37" i="3"/>
  <c r="EW37" i="3"/>
  <c r="FJ37" i="3"/>
  <c r="FW37" i="3"/>
  <c r="GJ37" i="3"/>
  <c r="GW37" i="3"/>
  <c r="AB38" i="3"/>
  <c r="AO38" i="3"/>
  <c r="BB38" i="3"/>
  <c r="BP38" i="3"/>
  <c r="CC38" i="3"/>
  <c r="CO38" i="3"/>
  <c r="DA38" i="3"/>
  <c r="DM38" i="3"/>
  <c r="DY38" i="3"/>
  <c r="EK38" i="3"/>
  <c r="EW38" i="3"/>
  <c r="FI38" i="3"/>
  <c r="FU38" i="3"/>
  <c r="GG38" i="3"/>
  <c r="GS38" i="3"/>
  <c r="W39" i="3"/>
  <c r="AI39" i="3"/>
  <c r="AU39" i="3"/>
  <c r="BG39" i="3"/>
  <c r="BS39" i="3"/>
  <c r="CE39" i="3"/>
  <c r="CQ39" i="3"/>
  <c r="DC39" i="3"/>
  <c r="DO39" i="3"/>
  <c r="EA39" i="3"/>
  <c r="EM39" i="3"/>
  <c r="EY39" i="3"/>
  <c r="FK39" i="3"/>
  <c r="FW39" i="3"/>
  <c r="GI39" i="3"/>
  <c r="GU39" i="3"/>
  <c r="Y40" i="3"/>
  <c r="AK40" i="3"/>
  <c r="AW40" i="3"/>
  <c r="BI40" i="3"/>
  <c r="BU40" i="3"/>
  <c r="CG40" i="3"/>
  <c r="CS40" i="3"/>
  <c r="DE40" i="3"/>
  <c r="DQ40" i="3"/>
  <c r="EC40" i="3"/>
  <c r="EO40" i="3"/>
  <c r="FA40" i="3"/>
  <c r="FM40" i="3"/>
  <c r="FY40" i="3"/>
  <c r="GK40" i="3"/>
  <c r="GW40" i="3"/>
  <c r="AA41" i="3"/>
  <c r="AM41" i="3"/>
  <c r="T28" i="3"/>
  <c r="GJ29" i="3"/>
  <c r="AT31" i="3"/>
  <c r="BQ32" i="3"/>
  <c r="EJ32" i="3"/>
  <c r="FW32" i="3"/>
  <c r="AA33" i="3"/>
  <c r="BK33" i="3"/>
  <c r="CU33" i="3"/>
  <c r="EB33" i="3"/>
  <c r="FE33" i="3"/>
  <c r="GI33" i="3"/>
  <c r="AC34" i="3"/>
  <c r="BE34" i="3"/>
  <c r="CH34" i="3"/>
  <c r="DK34" i="3"/>
  <c r="EO34" i="3"/>
  <c r="FM34" i="3"/>
  <c r="GK34" i="3"/>
  <c r="S35" i="3"/>
  <c r="AM35" i="3"/>
  <c r="BC35" i="3"/>
  <c r="BW35" i="3"/>
  <c r="CM35" i="3"/>
  <c r="DD35" i="3"/>
  <c r="DU35" i="3"/>
  <c r="EI35" i="3"/>
  <c r="EX35" i="3"/>
  <c r="FL35" i="3"/>
  <c r="GA35" i="3"/>
  <c r="GO35" i="3"/>
  <c r="U36" i="3"/>
  <c r="AJ36" i="3"/>
  <c r="AX36" i="3"/>
  <c r="BM36" i="3"/>
  <c r="CA36" i="3"/>
  <c r="CO36" i="3"/>
  <c r="DD36" i="3"/>
  <c r="DR36" i="3"/>
  <c r="EG36" i="3"/>
  <c r="EU36" i="3"/>
  <c r="FI36" i="3"/>
  <c r="FX36" i="3"/>
  <c r="GL36" i="3"/>
  <c r="S37" i="3"/>
  <c r="AG37" i="3"/>
  <c r="AU37" i="3"/>
  <c r="BJ37" i="3"/>
  <c r="BW37" i="3"/>
  <c r="CJ37" i="3"/>
  <c r="CX37" i="3"/>
  <c r="DK37" i="3"/>
  <c r="DX37" i="3"/>
  <c r="EK37" i="3"/>
  <c r="EX37" i="3"/>
  <c r="FK37" i="3"/>
  <c r="FX37" i="3"/>
  <c r="GK37" i="3"/>
  <c r="GX37" i="3"/>
  <c r="AC38" i="3"/>
  <c r="AP38" i="3"/>
  <c r="BD38" i="3"/>
  <c r="BQ38" i="3"/>
  <c r="CD38" i="3"/>
  <c r="CP38" i="3"/>
  <c r="DB38" i="3"/>
  <c r="DN38" i="3"/>
  <c r="DZ38" i="3"/>
  <c r="EL38" i="3"/>
  <c r="EX38" i="3"/>
  <c r="FJ38" i="3"/>
  <c r="FV38" i="3"/>
  <c r="GH38" i="3"/>
  <c r="GT38" i="3"/>
  <c r="X39" i="3"/>
  <c r="AJ39" i="3"/>
  <c r="AV39" i="3"/>
  <c r="BH39" i="3"/>
  <c r="BT39" i="3"/>
  <c r="CF39" i="3"/>
  <c r="CR39" i="3"/>
  <c r="DD39" i="3"/>
  <c r="DP39" i="3"/>
  <c r="EB39" i="3"/>
  <c r="EN39" i="3"/>
  <c r="EZ39" i="3"/>
  <c r="FL39" i="3"/>
  <c r="FX39" i="3"/>
  <c r="GJ39" i="3"/>
  <c r="GV39" i="3"/>
  <c r="Z40" i="3"/>
  <c r="AL40" i="3"/>
  <c r="AX40" i="3"/>
  <c r="BJ28" i="3"/>
  <c r="Z30" i="3"/>
  <c r="BL31" i="3"/>
  <c r="CE32" i="3"/>
  <c r="EL32" i="3"/>
  <c r="FY32" i="3"/>
  <c r="AC33" i="3"/>
  <c r="BM33" i="3"/>
  <c r="CW33" i="3"/>
  <c r="EE33" i="3"/>
  <c r="FG33" i="3"/>
  <c r="GJ33" i="3"/>
  <c r="AE34" i="3"/>
  <c r="BI34" i="3"/>
  <c r="CK34" i="3"/>
  <c r="DM34" i="3"/>
  <c r="EP34" i="3"/>
  <c r="FN34" i="3"/>
  <c r="GL34" i="3"/>
  <c r="U35" i="3"/>
  <c r="AN35" i="3"/>
  <c r="BE35" i="3"/>
  <c r="BX35" i="3"/>
  <c r="CO35" i="3"/>
  <c r="DG35" i="3"/>
  <c r="DV35" i="3"/>
  <c r="EK35" i="3"/>
  <c r="EY35" i="3"/>
  <c r="FN35" i="3"/>
  <c r="GB35" i="3"/>
  <c r="GP35" i="3"/>
  <c r="W36" i="3"/>
  <c r="AK36" i="3"/>
  <c r="AZ36" i="3"/>
  <c r="BN36" i="3"/>
  <c r="CB36" i="3"/>
  <c r="CQ36" i="3"/>
  <c r="DE36" i="3"/>
  <c r="DT36" i="3"/>
  <c r="EH36" i="3"/>
  <c r="EV36" i="3"/>
  <c r="FK36" i="3"/>
  <c r="FY36" i="3"/>
  <c r="GN36" i="3"/>
  <c r="T37" i="3"/>
  <c r="AH37" i="3"/>
  <c r="AW37" i="3"/>
  <c r="BK37" i="3"/>
  <c r="BX37" i="3"/>
  <c r="CL37" i="3"/>
  <c r="CY37" i="3"/>
  <c r="DL37" i="3"/>
  <c r="DY37" i="3"/>
  <c r="EL37" i="3"/>
  <c r="EY37" i="3"/>
  <c r="FL37" i="3"/>
  <c r="FY37" i="3"/>
  <c r="GL37" i="3"/>
  <c r="GY37" i="3"/>
  <c r="AD38" i="3"/>
  <c r="AR38" i="3"/>
  <c r="BE38" i="3"/>
  <c r="BR38" i="3"/>
  <c r="CE38" i="3"/>
  <c r="CQ38" i="3"/>
  <c r="DC38" i="3"/>
  <c r="DO38" i="3"/>
  <c r="EA38" i="3"/>
  <c r="EM38" i="3"/>
  <c r="EY38" i="3"/>
  <c r="FK38" i="3"/>
  <c r="FW38" i="3"/>
  <c r="GI38" i="3"/>
  <c r="GU38" i="3"/>
  <c r="Y39" i="3"/>
  <c r="AK39" i="3"/>
  <c r="AW39" i="3"/>
  <c r="BI39" i="3"/>
  <c r="BU39" i="3"/>
  <c r="CG39" i="3"/>
  <c r="CS39" i="3"/>
  <c r="DE39" i="3"/>
  <c r="DQ39" i="3"/>
  <c r="EC39" i="3"/>
  <c r="EO39" i="3"/>
  <c r="FA39" i="3"/>
  <c r="FM39" i="3"/>
  <c r="FY39" i="3"/>
  <c r="GK39" i="3"/>
  <c r="GW39" i="3"/>
  <c r="AA40" i="3"/>
  <c r="AM40" i="3"/>
  <c r="AY40" i="3"/>
  <c r="BK40" i="3"/>
  <c r="BW40" i="3"/>
  <c r="CI40" i="3"/>
  <c r="CU40" i="3"/>
  <c r="DG40" i="3"/>
  <c r="DS40" i="3"/>
  <c r="EE40" i="3"/>
  <c r="EQ40" i="3"/>
  <c r="FC40" i="3"/>
  <c r="FO40" i="3"/>
  <c r="GA40" i="3"/>
  <c r="GM40" i="3"/>
  <c r="GY40" i="3"/>
  <c r="AC41" i="3"/>
  <c r="AO41" i="3"/>
  <c r="BA41" i="3"/>
  <c r="BM41" i="3"/>
  <c r="BY41" i="3"/>
  <c r="CK41" i="3"/>
  <c r="CW41" i="3"/>
  <c r="DI41" i="3"/>
  <c r="DU41" i="3"/>
  <c r="EG41" i="3"/>
  <c r="ES41" i="3"/>
  <c r="FE41" i="3"/>
  <c r="FQ41" i="3"/>
  <c r="GC41" i="3"/>
  <c r="GO41" i="3"/>
  <c r="S42" i="3"/>
  <c r="AE42" i="3"/>
  <c r="AQ42" i="3"/>
  <c r="BC42" i="3"/>
  <c r="BO42" i="3"/>
  <c r="CA42" i="3"/>
  <c r="CM42" i="3"/>
  <c r="CY42" i="3"/>
  <c r="DK42" i="3"/>
  <c r="DW42" i="3"/>
  <c r="EI42" i="3"/>
  <c r="EU42" i="3"/>
  <c r="FG42" i="3"/>
  <c r="FS42" i="3"/>
  <c r="GE42" i="3"/>
  <c r="GQ42" i="3"/>
  <c r="U43" i="3"/>
  <c r="AG43" i="3"/>
  <c r="AS43" i="3"/>
  <c r="BE43" i="3"/>
  <c r="BQ43" i="3"/>
  <c r="CC43" i="3"/>
  <c r="CO43" i="3"/>
  <c r="DA43" i="3"/>
  <c r="DM43" i="3"/>
  <c r="DY43" i="3"/>
  <c r="EK43" i="3"/>
  <c r="EW43" i="3"/>
  <c r="FI43" i="3"/>
  <c r="FU43" i="3"/>
  <c r="GG43" i="3"/>
  <c r="GS43" i="3"/>
  <c r="W44" i="3"/>
  <c r="AI44" i="3"/>
  <c r="AU44" i="3"/>
  <c r="EN28" i="3"/>
  <c r="BV30" i="3"/>
  <c r="CV31" i="3"/>
  <c r="CV32" i="3"/>
  <c r="ET32" i="3"/>
  <c r="GG32" i="3"/>
  <c r="AJ33" i="3"/>
  <c r="BT33" i="3"/>
  <c r="DD33" i="3"/>
  <c r="EI33" i="3"/>
  <c r="FL33" i="3"/>
  <c r="GO33" i="3"/>
  <c r="AK34" i="3"/>
  <c r="BM34" i="3"/>
  <c r="CO34" i="3"/>
  <c r="DR34" i="3"/>
  <c r="ES34" i="3"/>
  <c r="FQ34" i="3"/>
  <c r="GN34" i="3"/>
  <c r="X35" i="3"/>
  <c r="AP35" i="3"/>
  <c r="BH35" i="3"/>
  <c r="BZ35" i="3"/>
  <c r="CR35" i="3"/>
  <c r="DI35" i="3"/>
  <c r="DY35" i="3"/>
  <c r="EM35" i="3"/>
  <c r="FB35" i="3"/>
  <c r="FP35" i="3"/>
  <c r="GD35" i="3"/>
  <c r="GS35" i="3"/>
  <c r="Y36" i="3"/>
  <c r="AN36" i="3"/>
  <c r="BB36" i="3"/>
  <c r="BP36" i="3"/>
  <c r="CE36" i="3"/>
  <c r="CS36" i="3"/>
  <c r="DH36" i="3"/>
  <c r="DV36" i="3"/>
  <c r="EJ36" i="3"/>
  <c r="EY36" i="3"/>
  <c r="FM36" i="3"/>
  <c r="GB36" i="3"/>
  <c r="GP36" i="3"/>
  <c r="V37" i="3"/>
  <c r="AK37" i="3"/>
  <c r="AY37" i="3"/>
  <c r="BN37" i="3"/>
  <c r="CA37" i="3"/>
  <c r="CN37" i="3"/>
  <c r="DA37" i="3"/>
  <c r="DN37" i="3"/>
  <c r="EA37" i="3"/>
  <c r="EN37" i="3"/>
  <c r="FA37" i="3"/>
  <c r="FN37" i="3"/>
  <c r="GA37" i="3"/>
  <c r="GN37" i="3"/>
  <c r="T38" i="3"/>
  <c r="AG38" i="3"/>
  <c r="AT38" i="3"/>
  <c r="BG38" i="3"/>
  <c r="BT38" i="3"/>
  <c r="CG38" i="3"/>
  <c r="CS38" i="3"/>
  <c r="DE38" i="3"/>
  <c r="DQ38" i="3"/>
  <c r="EC38" i="3"/>
  <c r="EO38" i="3"/>
  <c r="FA38" i="3"/>
  <c r="FM38" i="3"/>
  <c r="FY38" i="3"/>
  <c r="GK38" i="3"/>
  <c r="GW38" i="3"/>
  <c r="AA39" i="3"/>
  <c r="AM39" i="3"/>
  <c r="AY39" i="3"/>
  <c r="BK39" i="3"/>
  <c r="BW39" i="3"/>
  <c r="CI39" i="3"/>
  <c r="CU39" i="3"/>
  <c r="DG39" i="3"/>
  <c r="DS39" i="3"/>
  <c r="EE39" i="3"/>
  <c r="EQ39" i="3"/>
  <c r="FC39" i="3"/>
  <c r="FO39" i="3"/>
  <c r="GA39" i="3"/>
  <c r="GM39" i="3"/>
  <c r="GY39" i="3"/>
  <c r="AC40" i="3"/>
  <c r="AO40" i="3"/>
  <c r="BA40" i="3"/>
  <c r="BM40" i="3"/>
  <c r="BY40" i="3"/>
  <c r="CK40" i="3"/>
  <c r="CW40" i="3"/>
  <c r="DI40" i="3"/>
  <c r="DU40" i="3"/>
  <c r="EG40" i="3"/>
  <c r="ES40" i="3"/>
  <c r="FE40" i="3"/>
  <c r="FQ40" i="3"/>
  <c r="GC40" i="3"/>
  <c r="GO40" i="3"/>
  <c r="S41" i="3"/>
  <c r="AE41" i="3"/>
  <c r="AQ41" i="3"/>
  <c r="BC41" i="3"/>
  <c r="BO41" i="3"/>
  <c r="CA41" i="3"/>
  <c r="CM41" i="3"/>
  <c r="CY41" i="3"/>
  <c r="DK41" i="3"/>
  <c r="DW41" i="3"/>
  <c r="EI41" i="3"/>
  <c r="EU41" i="3"/>
  <c r="FG41" i="3"/>
  <c r="FS41" i="3"/>
  <c r="GE41" i="3"/>
  <c r="GQ41" i="3"/>
  <c r="U42" i="3"/>
  <c r="AG42" i="3"/>
  <c r="AS42" i="3"/>
  <c r="BE42" i="3"/>
  <c r="BQ42" i="3"/>
  <c r="CC42" i="3"/>
  <c r="CO42" i="3"/>
  <c r="DA42" i="3"/>
  <c r="DM42" i="3"/>
  <c r="DY42" i="3"/>
  <c r="EK42" i="3"/>
  <c r="EW42" i="3"/>
  <c r="FI42" i="3"/>
  <c r="FU42" i="3"/>
  <c r="GG42" i="3"/>
  <c r="GS42" i="3"/>
  <c r="W43" i="3"/>
  <c r="AI43" i="3"/>
  <c r="AU43" i="3"/>
  <c r="BG43" i="3"/>
  <c r="BS43" i="3"/>
  <c r="CE43" i="3"/>
  <c r="CQ43" i="3"/>
  <c r="DC43" i="3"/>
  <c r="DO43" i="3"/>
  <c r="EA43" i="3"/>
  <c r="EM43" i="3"/>
  <c r="EY43" i="3"/>
  <c r="FK43" i="3"/>
  <c r="FW43" i="3"/>
  <c r="GI43" i="3"/>
  <c r="GU43" i="3"/>
  <c r="Y44" i="3"/>
  <c r="AK44" i="3"/>
  <c r="CZ28" i="3"/>
  <c r="AG34" i="3"/>
  <c r="DH35" i="3"/>
  <c r="CR36" i="3"/>
  <c r="BZ37" i="3"/>
  <c r="AS38" i="3"/>
  <c r="GJ38" i="3"/>
  <c r="EP39" i="3"/>
  <c r="BP40" i="3"/>
  <c r="DL40" i="3"/>
  <c r="FH40" i="3"/>
  <c r="V41" i="3"/>
  <c r="BL41" i="3"/>
  <c r="CV41" i="3"/>
  <c r="EF41" i="3"/>
  <c r="FP41" i="3"/>
  <c r="GR41" i="3"/>
  <c r="AH42" i="3"/>
  <c r="BF42" i="3"/>
  <c r="BX42" i="3"/>
  <c r="CP42" i="3"/>
  <c r="DH42" i="3"/>
  <c r="DZ42" i="3"/>
  <c r="ER42" i="3"/>
  <c r="FJ42" i="3"/>
  <c r="GB42" i="3"/>
  <c r="GT42" i="3"/>
  <c r="AD43" i="3"/>
  <c r="AV43" i="3"/>
  <c r="BN43" i="3"/>
  <c r="CF43" i="3"/>
  <c r="CX43" i="3"/>
  <c r="DP43" i="3"/>
  <c r="EH43" i="3"/>
  <c r="EZ43" i="3"/>
  <c r="FR43" i="3"/>
  <c r="GJ43" i="3"/>
  <c r="T44" i="3"/>
  <c r="AL44" i="3"/>
  <c r="BC44" i="3"/>
  <c r="BQ44" i="3"/>
  <c r="CE44" i="3"/>
  <c r="CS44" i="3"/>
  <c r="DG44" i="3"/>
  <c r="DT44" i="3"/>
  <c r="EH44" i="3"/>
  <c r="EU44" i="3"/>
  <c r="FH44" i="3"/>
  <c r="FU44" i="3"/>
  <c r="GH44" i="3"/>
  <c r="GU44" i="3"/>
  <c r="Z45" i="3"/>
  <c r="AL45" i="3"/>
  <c r="AX45" i="3"/>
  <c r="BJ45" i="3"/>
  <c r="BV45" i="3"/>
  <c r="CH45" i="3"/>
  <c r="CT45" i="3"/>
  <c r="DF45" i="3"/>
  <c r="DR45" i="3"/>
  <c r="ED45" i="3"/>
  <c r="EP45" i="3"/>
  <c r="FB45" i="3"/>
  <c r="FN45" i="3"/>
  <c r="FZ45" i="3"/>
  <c r="GL45" i="3"/>
  <c r="GX45" i="3"/>
  <c r="AB46" i="3"/>
  <c r="AN46" i="3"/>
  <c r="AZ46" i="3"/>
  <c r="BL46" i="3"/>
  <c r="BX46" i="3"/>
  <c r="CJ46" i="3"/>
  <c r="CV46" i="3"/>
  <c r="DH46" i="3"/>
  <c r="DT46" i="3"/>
  <c r="EF46" i="3"/>
  <c r="ER46" i="3"/>
  <c r="FD46" i="3"/>
  <c r="FP46" i="3"/>
  <c r="GB46" i="3"/>
  <c r="GN46" i="3"/>
  <c r="GZ46" i="3"/>
  <c r="AD47" i="3"/>
  <c r="AP47" i="3"/>
  <c r="BB47" i="3"/>
  <c r="BN47" i="3"/>
  <c r="BZ47" i="3"/>
  <c r="CL47" i="3"/>
  <c r="CX47" i="3"/>
  <c r="DJ47" i="3"/>
  <c r="DV47" i="3"/>
  <c r="EH47" i="3"/>
  <c r="ET47" i="3"/>
  <c r="FF47" i="3"/>
  <c r="FR47" i="3"/>
  <c r="GD47" i="3"/>
  <c r="GP47" i="3"/>
  <c r="T48" i="3"/>
  <c r="AF48" i="3"/>
  <c r="AR48" i="3"/>
  <c r="BD48" i="3"/>
  <c r="BP48" i="3"/>
  <c r="CB48" i="3"/>
  <c r="CN48" i="3"/>
  <c r="CZ48" i="3"/>
  <c r="DL48" i="3"/>
  <c r="DX48" i="3"/>
  <c r="EJ48" i="3"/>
  <c r="EV48" i="3"/>
  <c r="FH48" i="3"/>
  <c r="FT48" i="3"/>
  <c r="GF48" i="3"/>
  <c r="GR48" i="3"/>
  <c r="V49" i="3"/>
  <c r="AH49" i="3"/>
  <c r="AT49" i="3"/>
  <c r="BF49" i="3"/>
  <c r="BR49" i="3"/>
  <c r="CD49" i="3"/>
  <c r="CP49" i="3"/>
  <c r="DB49" i="3"/>
  <c r="DN49" i="3"/>
  <c r="DZ49" i="3"/>
  <c r="EL49" i="3"/>
  <c r="EX49" i="3"/>
  <c r="FJ49" i="3"/>
  <c r="AX30" i="3"/>
  <c r="BJ34" i="3"/>
  <c r="DW35" i="3"/>
  <c r="DF36" i="3"/>
  <c r="CM37" i="3"/>
  <c r="BF38" i="3"/>
  <c r="GV38" i="3"/>
  <c r="FB39" i="3"/>
  <c r="BV40" i="3"/>
  <c r="DR40" i="3"/>
  <c r="FN40" i="3"/>
  <c r="AB41" i="3"/>
  <c r="BN41" i="3"/>
  <c r="CX41" i="3"/>
  <c r="EH41" i="3"/>
  <c r="FR41" i="3"/>
  <c r="GT41" i="3"/>
  <c r="AJ42" i="3"/>
  <c r="BG42" i="3"/>
  <c r="BY42" i="3"/>
  <c r="CQ42" i="3"/>
  <c r="DI42" i="3"/>
  <c r="EA42" i="3"/>
  <c r="ES42" i="3"/>
  <c r="FK42" i="3"/>
  <c r="GC42" i="3"/>
  <c r="GU42" i="3"/>
  <c r="AE43" i="3"/>
  <c r="AW43" i="3"/>
  <c r="BO43" i="3"/>
  <c r="CG43" i="3"/>
  <c r="CY43" i="3"/>
  <c r="DQ43" i="3"/>
  <c r="EI43" i="3"/>
  <c r="FA43" i="3"/>
  <c r="FS43" i="3"/>
  <c r="GK43" i="3"/>
  <c r="U44" i="3"/>
  <c r="AM44" i="3"/>
  <c r="BD44" i="3"/>
  <c r="BR44" i="3"/>
  <c r="CF44" i="3"/>
  <c r="CT44" i="3"/>
  <c r="DH44" i="3"/>
  <c r="DV44" i="3"/>
  <c r="EI44" i="3"/>
  <c r="EV44" i="3"/>
  <c r="FI44" i="3"/>
  <c r="FV44" i="3"/>
  <c r="GI44" i="3"/>
  <c r="GV44" i="3"/>
  <c r="AA45" i="3"/>
  <c r="AM45" i="3"/>
  <c r="AY45" i="3"/>
  <c r="BK45" i="3"/>
  <c r="BW45" i="3"/>
  <c r="CI45" i="3"/>
  <c r="CU45" i="3"/>
  <c r="DG45" i="3"/>
  <c r="DS45" i="3"/>
  <c r="EE45" i="3"/>
  <c r="EQ45" i="3"/>
  <c r="FC45" i="3"/>
  <c r="FO45" i="3"/>
  <c r="GA45" i="3"/>
  <c r="GM45" i="3"/>
  <c r="GY45" i="3"/>
  <c r="AC46" i="3"/>
  <c r="AO46" i="3"/>
  <c r="BA46" i="3"/>
  <c r="BM46" i="3"/>
  <c r="BY46" i="3"/>
  <c r="CK46" i="3"/>
  <c r="CW46" i="3"/>
  <c r="DI46" i="3"/>
  <c r="DU46" i="3"/>
  <c r="EG46" i="3"/>
  <c r="ES46" i="3"/>
  <c r="CD31" i="3"/>
  <c r="CM34" i="3"/>
  <c r="EL35" i="3"/>
  <c r="DU36" i="3"/>
  <c r="CZ37" i="3"/>
  <c r="BS38" i="3"/>
  <c r="Z39" i="3"/>
  <c r="FN39" i="3"/>
  <c r="BX40" i="3"/>
  <c r="DT40" i="3"/>
  <c r="FP40" i="3"/>
  <c r="AD41" i="3"/>
  <c r="BR41" i="3"/>
  <c r="DB41" i="3"/>
  <c r="EL41" i="3"/>
  <c r="FV41" i="3"/>
  <c r="GW41" i="3"/>
  <c r="AM42" i="3"/>
  <c r="BH42" i="3"/>
  <c r="BZ42" i="3"/>
  <c r="CR42" i="3"/>
  <c r="DJ42" i="3"/>
  <c r="EB42" i="3"/>
  <c r="ET42" i="3"/>
  <c r="FL42" i="3"/>
  <c r="GD42" i="3"/>
  <c r="GV42" i="3"/>
  <c r="AF43" i="3"/>
  <c r="AX43" i="3"/>
  <c r="BP43" i="3"/>
  <c r="CH43" i="3"/>
  <c r="CZ43" i="3"/>
  <c r="DR43" i="3"/>
  <c r="EJ43" i="3"/>
  <c r="FB43" i="3"/>
  <c r="FT43" i="3"/>
  <c r="GL43" i="3"/>
  <c r="V44" i="3"/>
  <c r="AN44" i="3"/>
  <c r="BE44" i="3"/>
  <c r="BS44" i="3"/>
  <c r="CG44" i="3"/>
  <c r="CU44" i="3"/>
  <c r="DJ44" i="3"/>
  <c r="DW44" i="3"/>
  <c r="EJ44" i="3"/>
  <c r="EW44" i="3"/>
  <c r="FJ44" i="3"/>
  <c r="FW44" i="3"/>
  <c r="GJ44" i="3"/>
  <c r="GW44" i="3"/>
  <c r="AB45" i="3"/>
  <c r="AN45" i="3"/>
  <c r="AZ45" i="3"/>
  <c r="BL45" i="3"/>
  <c r="BX45" i="3"/>
  <c r="CJ45" i="3"/>
  <c r="CV45" i="3"/>
  <c r="DH45" i="3"/>
  <c r="DT45" i="3"/>
  <c r="EF45" i="3"/>
  <c r="ER45" i="3"/>
  <c r="FD45" i="3"/>
  <c r="FP45" i="3"/>
  <c r="GB45" i="3"/>
  <c r="GN45" i="3"/>
  <c r="GZ45" i="3"/>
  <c r="AD46" i="3"/>
  <c r="AP46" i="3"/>
  <c r="CS32" i="3"/>
  <c r="DQ34" i="3"/>
  <c r="EZ35" i="3"/>
  <c r="EI36" i="3"/>
  <c r="DM37" i="3"/>
  <c r="CF38" i="3"/>
  <c r="AL39" i="3"/>
  <c r="FZ39" i="3"/>
  <c r="CB40" i="3"/>
  <c r="DX40" i="3"/>
  <c r="FT40" i="3"/>
  <c r="AH41" i="3"/>
  <c r="BW41" i="3"/>
  <c r="DG41" i="3"/>
  <c r="EQ41" i="3"/>
  <c r="GA41" i="3"/>
  <c r="GY41" i="3"/>
  <c r="AO42" i="3"/>
  <c r="BK42" i="3"/>
  <c r="CB42" i="3"/>
  <c r="CU42" i="3"/>
  <c r="DL42" i="3"/>
  <c r="EE42" i="3"/>
  <c r="EV42" i="3"/>
  <c r="FO42" i="3"/>
  <c r="GF42" i="3"/>
  <c r="GY42" i="3"/>
  <c r="AH43" i="3"/>
  <c r="BA43" i="3"/>
  <c r="BR43" i="3"/>
  <c r="CK43" i="3"/>
  <c r="DB43" i="3"/>
  <c r="DU43" i="3"/>
  <c r="EL43" i="3"/>
  <c r="FE43" i="3"/>
  <c r="FV43" i="3"/>
  <c r="GO43" i="3"/>
  <c r="X44" i="3"/>
  <c r="AQ44" i="3"/>
  <c r="BF44" i="3"/>
  <c r="BT44" i="3"/>
  <c r="CH44" i="3"/>
  <c r="CV44" i="3"/>
  <c r="DK44" i="3"/>
  <c r="DX44" i="3"/>
  <c r="EK44" i="3"/>
  <c r="EX44" i="3"/>
  <c r="FK44" i="3"/>
  <c r="FX44" i="3"/>
  <c r="GK44" i="3"/>
  <c r="GX44" i="3"/>
  <c r="AC45" i="3"/>
  <c r="AO45" i="3"/>
  <c r="BA45" i="3"/>
  <c r="BM45" i="3"/>
  <c r="BY45" i="3"/>
  <c r="CK45" i="3"/>
  <c r="CW45" i="3"/>
  <c r="DI45" i="3"/>
  <c r="DU45" i="3"/>
  <c r="EG45" i="3"/>
  <c r="ES45" i="3"/>
  <c r="FE45" i="3"/>
  <c r="FQ45" i="3"/>
  <c r="GC45" i="3"/>
  <c r="GO45" i="3"/>
  <c r="S46" i="3"/>
  <c r="AE46" i="3"/>
  <c r="EN32" i="3"/>
  <c r="ER34" i="3"/>
  <c r="FO35" i="3"/>
  <c r="EW36" i="3"/>
  <c r="DZ37" i="3"/>
  <c r="CR38" i="3"/>
  <c r="AX39" i="3"/>
  <c r="GL39" i="3"/>
  <c r="CH40" i="3"/>
  <c r="ED40" i="3"/>
  <c r="FZ40" i="3"/>
  <c r="AN41" i="3"/>
  <c r="BX41" i="3"/>
  <c r="DH41" i="3"/>
  <c r="ER41" i="3"/>
  <c r="GB41" i="3"/>
  <c r="GZ41" i="3"/>
  <c r="AP42" i="3"/>
  <c r="BL42" i="3"/>
  <c r="CD42" i="3"/>
  <c r="CV42" i="3"/>
  <c r="DN42" i="3"/>
  <c r="EF42" i="3"/>
  <c r="EX42" i="3"/>
  <c r="FP42" i="3"/>
  <c r="GH42" i="3"/>
  <c r="GZ42" i="3"/>
  <c r="AJ43" i="3"/>
  <c r="BB43" i="3"/>
  <c r="BT43" i="3"/>
  <c r="CL43" i="3"/>
  <c r="DD43" i="3"/>
  <c r="DV43" i="3"/>
  <c r="EN43" i="3"/>
  <c r="FF43" i="3"/>
  <c r="FX43" i="3"/>
  <c r="GP43" i="3"/>
  <c r="Z44" i="3"/>
  <c r="AR44" i="3"/>
  <c r="BG44" i="3"/>
  <c r="BU44" i="3"/>
  <c r="CI44" i="3"/>
  <c r="CY44" i="3"/>
  <c r="DL44" i="3"/>
  <c r="DY44" i="3"/>
  <c r="EL44" i="3"/>
  <c r="EY44" i="3"/>
  <c r="FL44" i="3"/>
  <c r="FY44" i="3"/>
  <c r="GL44" i="3"/>
  <c r="GY44" i="3"/>
  <c r="AD45" i="3"/>
  <c r="AP45" i="3"/>
  <c r="BB45" i="3"/>
  <c r="BN45" i="3"/>
  <c r="BZ45" i="3"/>
  <c r="CL45" i="3"/>
  <c r="CX45" i="3"/>
  <c r="DJ45" i="3"/>
  <c r="DV45" i="3"/>
  <c r="EH45" i="3"/>
  <c r="ET45" i="3"/>
  <c r="FF45" i="3"/>
  <c r="FR45" i="3"/>
  <c r="GD45" i="3"/>
  <c r="GP45" i="3"/>
  <c r="T46" i="3"/>
  <c r="AF46" i="3"/>
  <c r="AR46" i="3"/>
  <c r="BD46" i="3"/>
  <c r="BP46" i="3"/>
  <c r="CB46" i="3"/>
  <c r="CN46" i="3"/>
  <c r="CZ46" i="3"/>
  <c r="DL46" i="3"/>
  <c r="DX46" i="3"/>
  <c r="EJ46" i="3"/>
  <c r="EV46" i="3"/>
  <c r="FH46" i="3"/>
  <c r="FT46" i="3"/>
  <c r="GF46" i="3"/>
  <c r="GR46" i="3"/>
  <c r="V47" i="3"/>
  <c r="AH47" i="3"/>
  <c r="AT47" i="3"/>
  <c r="BF47" i="3"/>
  <c r="BR47" i="3"/>
  <c r="CD47" i="3"/>
  <c r="CP47" i="3"/>
  <c r="DB47" i="3"/>
  <c r="DN47" i="3"/>
  <c r="DZ47" i="3"/>
  <c r="EL47" i="3"/>
  <c r="EX47" i="3"/>
  <c r="FJ47" i="3"/>
  <c r="FV47" i="3"/>
  <c r="GH47" i="3"/>
  <c r="GT47" i="3"/>
  <c r="X48" i="3"/>
  <c r="AJ48" i="3"/>
  <c r="AV48" i="3"/>
  <c r="BH48" i="3"/>
  <c r="BT48" i="3"/>
  <c r="CF48" i="3"/>
  <c r="CR48" i="3"/>
  <c r="DD48" i="3"/>
  <c r="DP48" i="3"/>
  <c r="EB48" i="3"/>
  <c r="EN48" i="3"/>
  <c r="EZ48" i="3"/>
  <c r="FL48" i="3"/>
  <c r="FX48" i="3"/>
  <c r="GJ48" i="3"/>
  <c r="GV48" i="3"/>
  <c r="Z49" i="3"/>
  <c r="AL49" i="3"/>
  <c r="AX49" i="3"/>
  <c r="BJ49" i="3"/>
  <c r="BV49" i="3"/>
  <c r="CH49" i="3"/>
  <c r="CT49" i="3"/>
  <c r="DF49" i="3"/>
  <c r="DR49" i="3"/>
  <c r="ED49" i="3"/>
  <c r="EP49" i="3"/>
  <c r="FB49" i="3"/>
  <c r="FN49" i="3"/>
  <c r="FZ49" i="3"/>
  <c r="GL49" i="3"/>
  <c r="GX49" i="3"/>
  <c r="AB50" i="3"/>
  <c r="AN50" i="3"/>
  <c r="AZ50" i="3"/>
  <c r="BL50" i="3"/>
  <c r="BX50" i="3"/>
  <c r="CJ50" i="3"/>
  <c r="CV50" i="3"/>
  <c r="DH50" i="3"/>
  <c r="DT50" i="3"/>
  <c r="EF50" i="3"/>
  <c r="ER50" i="3"/>
  <c r="FD50" i="3"/>
  <c r="FP50" i="3"/>
  <c r="GB50" i="3"/>
  <c r="GN50" i="3"/>
  <c r="GZ50" i="3"/>
  <c r="AD51" i="3"/>
  <c r="AP51" i="3"/>
  <c r="BB51" i="3"/>
  <c r="BN51" i="3"/>
  <c r="BZ51" i="3"/>
  <c r="CL51" i="3"/>
  <c r="CX51" i="3"/>
  <c r="DJ51" i="3"/>
  <c r="DV51" i="3"/>
  <c r="EH51" i="3"/>
  <c r="ET51" i="3"/>
  <c r="FF51" i="3"/>
  <c r="FR51" i="3"/>
  <c r="GD51" i="3"/>
  <c r="GP51" i="3"/>
  <c r="T52" i="3"/>
  <c r="AF52" i="3"/>
  <c r="AR52" i="3"/>
  <c r="BD52" i="3"/>
  <c r="BP52" i="3"/>
  <c r="CB52" i="3"/>
  <c r="CN52" i="3"/>
  <c r="CZ52" i="3"/>
  <c r="DL52" i="3"/>
  <c r="GB32" i="3"/>
  <c r="FP34" i="3"/>
  <c r="GC35" i="3"/>
  <c r="FL36" i="3"/>
  <c r="EM37" i="3"/>
  <c r="DD38" i="3"/>
  <c r="BJ39" i="3"/>
  <c r="GX39" i="3"/>
  <c r="CJ40" i="3"/>
  <c r="EF40" i="3"/>
  <c r="GB40" i="3"/>
  <c r="AP41" i="3"/>
  <c r="BZ41" i="3"/>
  <c r="DJ41" i="3"/>
  <c r="ET41" i="3"/>
  <c r="GD41" i="3"/>
  <c r="T42" i="3"/>
  <c r="AR42" i="3"/>
  <c r="BM42" i="3"/>
  <c r="CE42" i="3"/>
  <c r="CW42" i="3"/>
  <c r="DO42" i="3"/>
  <c r="EG42" i="3"/>
  <c r="EY42" i="3"/>
  <c r="FQ42" i="3"/>
  <c r="GI42" i="3"/>
  <c r="S43" i="3"/>
  <c r="AK43" i="3"/>
  <c r="BC43" i="3"/>
  <c r="BU43" i="3"/>
  <c r="CM43" i="3"/>
  <c r="DE43" i="3"/>
  <c r="DW43" i="3"/>
  <c r="EO43" i="3"/>
  <c r="FG43" i="3"/>
  <c r="FY43" i="3"/>
  <c r="GQ43" i="3"/>
  <c r="AA44" i="3"/>
  <c r="AS44" i="3"/>
  <c r="BH44" i="3"/>
  <c r="BV44" i="3"/>
  <c r="CJ44" i="3"/>
  <c r="CZ44" i="3"/>
  <c r="DM44" i="3"/>
  <c r="DZ44" i="3"/>
  <c r="EM44" i="3"/>
  <c r="EZ44" i="3"/>
  <c r="FM44" i="3"/>
  <c r="FZ44" i="3"/>
  <c r="GM44" i="3"/>
  <c r="GZ44" i="3"/>
  <c r="AE45" i="3"/>
  <c r="AQ45" i="3"/>
  <c r="BC45" i="3"/>
  <c r="BO45" i="3"/>
  <c r="CA45" i="3"/>
  <c r="CM45" i="3"/>
  <c r="CY45" i="3"/>
  <c r="DK45" i="3"/>
  <c r="DW45" i="3"/>
  <c r="EI45" i="3"/>
  <c r="EU45" i="3"/>
  <c r="FG45" i="3"/>
  <c r="FS45" i="3"/>
  <c r="GE45" i="3"/>
  <c r="GQ45" i="3"/>
  <c r="U46" i="3"/>
  <c r="AG46" i="3"/>
  <c r="AE33" i="3"/>
  <c r="GM34" i="3"/>
  <c r="GQ35" i="3"/>
  <c r="FZ36" i="3"/>
  <c r="EZ37" i="3"/>
  <c r="DP38" i="3"/>
  <c r="BV39" i="3"/>
  <c r="AB40" i="3"/>
  <c r="CN40" i="3"/>
  <c r="EJ40" i="3"/>
  <c r="GF40" i="3"/>
  <c r="AT41" i="3"/>
  <c r="CD41" i="3"/>
  <c r="DN41" i="3"/>
  <c r="EX41" i="3"/>
  <c r="GF41" i="3"/>
  <c r="V42" i="3"/>
  <c r="AT42" i="3"/>
  <c r="BN42" i="3"/>
  <c r="CF42" i="3"/>
  <c r="CX42" i="3"/>
  <c r="DP42" i="3"/>
  <c r="EH42" i="3"/>
  <c r="EZ42" i="3"/>
  <c r="FR42" i="3"/>
  <c r="GJ42" i="3"/>
  <c r="T43" i="3"/>
  <c r="AL43" i="3"/>
  <c r="BD43" i="3"/>
  <c r="BV43" i="3"/>
  <c r="CN43" i="3"/>
  <c r="DF43" i="3"/>
  <c r="DX43" i="3"/>
  <c r="EP43" i="3"/>
  <c r="FH43" i="3"/>
  <c r="FZ43" i="3"/>
  <c r="GR43" i="3"/>
  <c r="AB44" i="3"/>
  <c r="AT44" i="3"/>
  <c r="BI44" i="3"/>
  <c r="BW44" i="3"/>
  <c r="CM44" i="3"/>
  <c r="DA44" i="3"/>
  <c r="DN44" i="3"/>
  <c r="EA44" i="3"/>
  <c r="EN44" i="3"/>
  <c r="FA44" i="3"/>
  <c r="FN44" i="3"/>
  <c r="GA44" i="3"/>
  <c r="GN44" i="3"/>
  <c r="T45" i="3"/>
  <c r="AF45" i="3"/>
  <c r="AR45" i="3"/>
  <c r="BD45" i="3"/>
  <c r="BP45" i="3"/>
  <c r="CB45" i="3"/>
  <c r="CN45" i="3"/>
  <c r="CZ45" i="3"/>
  <c r="DL45" i="3"/>
  <c r="DX45" i="3"/>
  <c r="EJ45" i="3"/>
  <c r="EV45" i="3"/>
  <c r="FH45" i="3"/>
  <c r="FT45" i="3"/>
  <c r="GF45" i="3"/>
  <c r="GR45" i="3"/>
  <c r="V46" i="3"/>
  <c r="AH46" i="3"/>
  <c r="AT46" i="3"/>
  <c r="BF46" i="3"/>
  <c r="BR46" i="3"/>
  <c r="CD46" i="3"/>
  <c r="CP46" i="3"/>
  <c r="DB46" i="3"/>
  <c r="DN46" i="3"/>
  <c r="DZ46" i="3"/>
  <c r="EL46" i="3"/>
  <c r="EX46" i="3"/>
  <c r="FJ46" i="3"/>
  <c r="FV46" i="3"/>
  <c r="GH46" i="3"/>
  <c r="GT46" i="3"/>
  <c r="X47" i="3"/>
  <c r="AJ47" i="3"/>
  <c r="AV47" i="3"/>
  <c r="BH47" i="3"/>
  <c r="BT47" i="3"/>
  <c r="CF47" i="3"/>
  <c r="CR47" i="3"/>
  <c r="DD47" i="3"/>
  <c r="DP47" i="3"/>
  <c r="EB47" i="3"/>
  <c r="EN47" i="3"/>
  <c r="EZ47" i="3"/>
  <c r="FL47" i="3"/>
  <c r="FX47" i="3"/>
  <c r="GJ47" i="3"/>
  <c r="GV47" i="3"/>
  <c r="Z48" i="3"/>
  <c r="AL48" i="3"/>
  <c r="AX48" i="3"/>
  <c r="BJ48" i="3"/>
  <c r="BV48" i="3"/>
  <c r="CH48" i="3"/>
  <c r="CT48" i="3"/>
  <c r="DF48" i="3"/>
  <c r="DR48" i="3"/>
  <c r="ED48" i="3"/>
  <c r="EP48" i="3"/>
  <c r="FB48" i="3"/>
  <c r="FN48" i="3"/>
  <c r="FZ48" i="3"/>
  <c r="GL48" i="3"/>
  <c r="GX48" i="3"/>
  <c r="AB49" i="3"/>
  <c r="AN49" i="3"/>
  <c r="AZ49" i="3"/>
  <c r="BL49" i="3"/>
  <c r="BX49" i="3"/>
  <c r="CJ49" i="3"/>
  <c r="CV49" i="3"/>
  <c r="DH49" i="3"/>
  <c r="DT49" i="3"/>
  <c r="EF49" i="3"/>
  <c r="ER49" i="3"/>
  <c r="FD49" i="3"/>
  <c r="BO33" i="3"/>
  <c r="W35" i="3"/>
  <c r="X36" i="3"/>
  <c r="GO36" i="3"/>
  <c r="FM37" i="3"/>
  <c r="EB38" i="3"/>
  <c r="CH39" i="3"/>
  <c r="AN40" i="3"/>
  <c r="CT40" i="3"/>
  <c r="EP40" i="3"/>
  <c r="GL40" i="3"/>
  <c r="AY41" i="3"/>
  <c r="CI41" i="3"/>
  <c r="DS41" i="3"/>
  <c r="FC41" i="3"/>
  <c r="GH41" i="3"/>
  <c r="X42" i="3"/>
  <c r="AV42" i="3"/>
  <c r="BP42" i="3"/>
  <c r="CI42" i="3"/>
  <c r="CZ42" i="3"/>
  <c r="DS42" i="3"/>
  <c r="EJ42" i="3"/>
  <c r="FC42" i="3"/>
  <c r="FT42" i="3"/>
  <c r="GM42" i="3"/>
  <c r="V43" i="3"/>
  <c r="AO43" i="3"/>
  <c r="BF43" i="3"/>
  <c r="BY43" i="3"/>
  <c r="CP43" i="3"/>
  <c r="DI43" i="3"/>
  <c r="DZ43" i="3"/>
  <c r="ES43" i="3"/>
  <c r="FJ43" i="3"/>
  <c r="GC43" i="3"/>
  <c r="GT43" i="3"/>
  <c r="AE44" i="3"/>
  <c r="AV44" i="3"/>
  <c r="BJ44" i="3"/>
  <c r="BX44" i="3"/>
  <c r="CN44" i="3"/>
  <c r="DB44" i="3"/>
  <c r="DO44" i="3"/>
  <c r="EB44" i="3"/>
  <c r="EO44" i="3"/>
  <c r="FB44" i="3"/>
  <c r="FO44" i="3"/>
  <c r="GB44" i="3"/>
  <c r="GP44" i="3"/>
  <c r="U45" i="3"/>
  <c r="AG45" i="3"/>
  <c r="AS45" i="3"/>
  <c r="BE45" i="3"/>
  <c r="BQ45" i="3"/>
  <c r="CC45" i="3"/>
  <c r="CO45" i="3"/>
  <c r="DA45" i="3"/>
  <c r="DM45" i="3"/>
  <c r="DY45" i="3"/>
  <c r="EK45" i="3"/>
  <c r="EW45" i="3"/>
  <c r="FI45" i="3"/>
  <c r="FU45" i="3"/>
  <c r="GG45" i="3"/>
  <c r="GS45" i="3"/>
  <c r="W46" i="3"/>
  <c r="AI46" i="3"/>
  <c r="AU46" i="3"/>
  <c r="BG46" i="3"/>
  <c r="BS46" i="3"/>
  <c r="CE46" i="3"/>
  <c r="CQ46" i="3"/>
  <c r="DC46" i="3"/>
  <c r="DO46" i="3"/>
  <c r="EA46" i="3"/>
  <c r="EM46" i="3"/>
  <c r="EY46" i="3"/>
  <c r="FK46" i="3"/>
  <c r="FW46" i="3"/>
  <c r="GI46" i="3"/>
  <c r="GU46" i="3"/>
  <c r="Y47" i="3"/>
  <c r="AK47" i="3"/>
  <c r="AW47" i="3"/>
  <c r="BI47" i="3"/>
  <c r="BU47" i="3"/>
  <c r="CG47" i="3"/>
  <c r="CS47" i="3"/>
  <c r="DE47" i="3"/>
  <c r="DQ47" i="3"/>
  <c r="EC47" i="3"/>
  <c r="EO47" i="3"/>
  <c r="FA47" i="3"/>
  <c r="FM47" i="3"/>
  <c r="FY47" i="3"/>
  <c r="GK47" i="3"/>
  <c r="GW47" i="3"/>
  <c r="AA48" i="3"/>
  <c r="AM48" i="3"/>
  <c r="AY48" i="3"/>
  <c r="BK48" i="3"/>
  <c r="BW48" i="3"/>
  <c r="CI48" i="3"/>
  <c r="CU48" i="3"/>
  <c r="DG48" i="3"/>
  <c r="DS48" i="3"/>
  <c r="CY33" i="3"/>
  <c r="AO35" i="3"/>
  <c r="AL36" i="3"/>
  <c r="U37" i="3"/>
  <c r="FZ37" i="3"/>
  <c r="EN38" i="3"/>
  <c r="CT39" i="3"/>
  <c r="AZ40" i="3"/>
  <c r="CV40" i="3"/>
  <c r="ER40" i="3"/>
  <c r="GN40" i="3"/>
  <c r="AZ41" i="3"/>
  <c r="CJ41" i="3"/>
  <c r="DT41" i="3"/>
  <c r="FD41" i="3"/>
  <c r="GK41" i="3"/>
  <c r="AA42" i="3"/>
  <c r="AY42" i="3"/>
  <c r="BR42" i="3"/>
  <c r="CJ42" i="3"/>
  <c r="DB42" i="3"/>
  <c r="DT42" i="3"/>
  <c r="EL42" i="3"/>
  <c r="FD42" i="3"/>
  <c r="FV42" i="3"/>
  <c r="GN42" i="3"/>
  <c r="X43" i="3"/>
  <c r="AP43" i="3"/>
  <c r="BH43" i="3"/>
  <c r="BZ43" i="3"/>
  <c r="CR43" i="3"/>
  <c r="DJ43" i="3"/>
  <c r="EB43" i="3"/>
  <c r="ET43" i="3"/>
  <c r="FL43" i="3"/>
  <c r="GD43" i="3"/>
  <c r="GV43" i="3"/>
  <c r="AF44" i="3"/>
  <c r="AW44" i="3"/>
  <c r="BK44" i="3"/>
  <c r="CA44" i="3"/>
  <c r="CO44" i="3"/>
  <c r="DC44" i="3"/>
  <c r="DP44" i="3"/>
  <c r="EC44" i="3"/>
  <c r="EP44" i="3"/>
  <c r="FC44" i="3"/>
  <c r="FP44" i="3"/>
  <c r="GD44" i="3"/>
  <c r="GQ44" i="3"/>
  <c r="V45" i="3"/>
  <c r="AH45" i="3"/>
  <c r="AT45" i="3"/>
  <c r="BF45" i="3"/>
  <c r="BR45" i="3"/>
  <c r="CD45" i="3"/>
  <c r="CP45" i="3"/>
  <c r="DB45" i="3"/>
  <c r="DN45" i="3"/>
  <c r="DZ45" i="3"/>
  <c r="EL45" i="3"/>
  <c r="EX45" i="3"/>
  <c r="FJ45" i="3"/>
  <c r="FV45" i="3"/>
  <c r="GH45" i="3"/>
  <c r="GT45" i="3"/>
  <c r="X46" i="3"/>
  <c r="AJ46" i="3"/>
  <c r="EG33" i="3"/>
  <c r="BG35" i="3"/>
  <c r="BA36" i="3"/>
  <c r="AI37" i="3"/>
  <c r="GM37" i="3"/>
  <c r="EZ38" i="3"/>
  <c r="DF39" i="3"/>
  <c r="BD40" i="3"/>
  <c r="CZ40" i="3"/>
  <c r="EV40" i="3"/>
  <c r="GR40" i="3"/>
  <c r="BB41" i="3"/>
  <c r="CL41" i="3"/>
  <c r="DV41" i="3"/>
  <c r="FF41" i="3"/>
  <c r="GM41" i="3"/>
  <c r="AC42" i="3"/>
  <c r="BA42" i="3"/>
  <c r="BS42" i="3"/>
  <c r="CK42" i="3"/>
  <c r="DC42" i="3"/>
  <c r="DU42" i="3"/>
  <c r="EM42" i="3"/>
  <c r="FE42" i="3"/>
  <c r="FW42" i="3"/>
  <c r="GO42" i="3"/>
  <c r="Y43" i="3"/>
  <c r="AQ43" i="3"/>
  <c r="BI43" i="3"/>
  <c r="CA43" i="3"/>
  <c r="CS43" i="3"/>
  <c r="DK43" i="3"/>
  <c r="EC43" i="3"/>
  <c r="EU43" i="3"/>
  <c r="FM43" i="3"/>
  <c r="GE43" i="3"/>
  <c r="GW43" i="3"/>
  <c r="AG44" i="3"/>
  <c r="AX44" i="3"/>
  <c r="BL44" i="3"/>
  <c r="CB44" i="3"/>
  <c r="CP44" i="3"/>
  <c r="DD44" i="3"/>
  <c r="DQ44" i="3"/>
  <c r="ED44" i="3"/>
  <c r="EQ44" i="3"/>
  <c r="FD44" i="3"/>
  <c r="FR44" i="3"/>
  <c r="GE44" i="3"/>
  <c r="GR44" i="3"/>
  <c r="W45" i="3"/>
  <c r="AI45" i="3"/>
  <c r="AU45" i="3"/>
  <c r="BG45" i="3"/>
  <c r="BS45" i="3"/>
  <c r="CE45" i="3"/>
  <c r="CQ45" i="3"/>
  <c r="DC45" i="3"/>
  <c r="DO45" i="3"/>
  <c r="EA45" i="3"/>
  <c r="EM45" i="3"/>
  <c r="EY45" i="3"/>
  <c r="FK45" i="3"/>
  <c r="FW45" i="3"/>
  <c r="GI45" i="3"/>
  <c r="GU45" i="3"/>
  <c r="Y46" i="3"/>
  <c r="AK46" i="3"/>
  <c r="AW46" i="3"/>
  <c r="BI46" i="3"/>
  <c r="BU46" i="3"/>
  <c r="CG46" i="3"/>
  <c r="CS46" i="3"/>
  <c r="DE46" i="3"/>
  <c r="DQ46" i="3"/>
  <c r="EC46" i="3"/>
  <c r="EO46" i="3"/>
  <c r="FK33" i="3"/>
  <c r="BY35" i="3"/>
  <c r="BO36" i="3"/>
  <c r="AX37" i="3"/>
  <c r="GZ37" i="3"/>
  <c r="FL38" i="3"/>
  <c r="DR39" i="3"/>
  <c r="BJ40" i="3"/>
  <c r="DF40" i="3"/>
  <c r="FB40" i="3"/>
  <c r="GX40" i="3"/>
  <c r="BF41" i="3"/>
  <c r="CP41" i="3"/>
  <c r="DZ41" i="3"/>
  <c r="FJ41" i="3"/>
  <c r="GN41" i="3"/>
  <c r="AD42" i="3"/>
  <c r="BB42" i="3"/>
  <c r="BT42" i="3"/>
  <c r="CL42" i="3"/>
  <c r="DD42" i="3"/>
  <c r="DV42" i="3"/>
  <c r="EN42" i="3"/>
  <c r="FF42" i="3"/>
  <c r="FX42" i="3"/>
  <c r="GP42" i="3"/>
  <c r="Z43" i="3"/>
  <c r="AR43" i="3"/>
  <c r="BJ43" i="3"/>
  <c r="CB43" i="3"/>
  <c r="CT43" i="3"/>
  <c r="DL43" i="3"/>
  <c r="ED43" i="3"/>
  <c r="EV43" i="3"/>
  <c r="FN43" i="3"/>
  <c r="GF43" i="3"/>
  <c r="GX43" i="3"/>
  <c r="AH44" i="3"/>
  <c r="AY44" i="3"/>
  <c r="BO44" i="3"/>
  <c r="CC44" i="3"/>
  <c r="CQ44" i="3"/>
  <c r="DE44" i="3"/>
  <c r="DR44" i="3"/>
  <c r="EE44" i="3"/>
  <c r="ER44" i="3"/>
  <c r="FF44" i="3"/>
  <c r="FS44" i="3"/>
  <c r="GF44" i="3"/>
  <c r="GS44" i="3"/>
  <c r="X45" i="3"/>
  <c r="AJ45" i="3"/>
  <c r="AV45" i="3"/>
  <c r="BH45" i="3"/>
  <c r="BT45" i="3"/>
  <c r="CF45" i="3"/>
  <c r="CR45" i="3"/>
  <c r="DD45" i="3"/>
  <c r="DP45" i="3"/>
  <c r="EB45" i="3"/>
  <c r="EN45" i="3"/>
  <c r="EZ45" i="3"/>
  <c r="FL45" i="3"/>
  <c r="FX45" i="3"/>
  <c r="GJ45" i="3"/>
  <c r="GV45" i="3"/>
  <c r="Z46" i="3"/>
  <c r="AL46" i="3"/>
  <c r="AX46" i="3"/>
  <c r="BJ46" i="3"/>
  <c r="BV46" i="3"/>
  <c r="CH46" i="3"/>
  <c r="CT46" i="3"/>
  <c r="DF46" i="3"/>
  <c r="DR46" i="3"/>
  <c r="ED46" i="3"/>
  <c r="EP46" i="3"/>
  <c r="FB46" i="3"/>
  <c r="FN46" i="3"/>
  <c r="FZ46" i="3"/>
  <c r="GL46" i="3"/>
  <c r="GX46" i="3"/>
  <c r="AB47" i="3"/>
  <c r="AN47" i="3"/>
  <c r="AZ47" i="3"/>
  <c r="BL47" i="3"/>
  <c r="BX47" i="3"/>
  <c r="CJ47" i="3"/>
  <c r="CV47" i="3"/>
  <c r="DH47" i="3"/>
  <c r="DT47" i="3"/>
  <c r="EF47" i="3"/>
  <c r="ER47" i="3"/>
  <c r="FD47" i="3"/>
  <c r="FP47" i="3"/>
  <c r="GB47" i="3"/>
  <c r="GN47" i="3"/>
  <c r="GZ47" i="3"/>
  <c r="AD48" i="3"/>
  <c r="AP48" i="3"/>
  <c r="BB48" i="3"/>
  <c r="BN48" i="3"/>
  <c r="BZ48" i="3"/>
  <c r="CL48" i="3"/>
  <c r="CX48" i="3"/>
  <c r="DJ48" i="3"/>
  <c r="DV48" i="3"/>
  <c r="EH48" i="3"/>
  <c r="ET48" i="3"/>
  <c r="FF48" i="3"/>
  <c r="FR48" i="3"/>
  <c r="GD48" i="3"/>
  <c r="GP48" i="3"/>
  <c r="T49" i="3"/>
  <c r="AF49" i="3"/>
  <c r="AR49" i="3"/>
  <c r="BD49" i="3"/>
  <c r="BP49" i="3"/>
  <c r="CB49" i="3"/>
  <c r="CN49" i="3"/>
  <c r="CZ49" i="3"/>
  <c r="DL49" i="3"/>
  <c r="DX49" i="3"/>
  <c r="EJ49" i="3"/>
  <c r="EV49" i="3"/>
  <c r="FH49" i="3"/>
  <c r="FT49" i="3"/>
  <c r="GF49" i="3"/>
  <c r="GR49" i="3"/>
  <c r="V50" i="3"/>
  <c r="AH50" i="3"/>
  <c r="AT50" i="3"/>
  <c r="BF50" i="3"/>
  <c r="BR50" i="3"/>
  <c r="CD50" i="3"/>
  <c r="CP50" i="3"/>
  <c r="DB50" i="3"/>
  <c r="DN50" i="3"/>
  <c r="DZ50" i="3"/>
  <c r="EL50" i="3"/>
  <c r="EX50" i="3"/>
  <c r="FJ50" i="3"/>
  <c r="FV50" i="3"/>
  <c r="GH50" i="3"/>
  <c r="GT50" i="3"/>
  <c r="X51" i="3"/>
  <c r="AJ51" i="3"/>
  <c r="AV51" i="3"/>
  <c r="BH51" i="3"/>
  <c r="BT51" i="3"/>
  <c r="CF51" i="3"/>
  <c r="CR51" i="3"/>
  <c r="DD51" i="3"/>
  <c r="DP51" i="3"/>
  <c r="EB51" i="3"/>
  <c r="EN51" i="3"/>
  <c r="EZ51" i="3"/>
  <c r="FL51" i="3"/>
  <c r="FX51" i="3"/>
  <c r="GJ51" i="3"/>
  <c r="GV51" i="3"/>
  <c r="Z52" i="3"/>
  <c r="AL52" i="3"/>
  <c r="AX52" i="3"/>
  <c r="BJ52" i="3"/>
  <c r="BV52" i="3"/>
  <c r="CH52" i="3"/>
  <c r="CT52" i="3"/>
  <c r="DF52" i="3"/>
  <c r="DR52" i="3"/>
  <c r="GM33" i="3"/>
  <c r="CU41" i="3"/>
  <c r="GA42" i="3"/>
  <c r="S44" i="3"/>
  <c r="GG44" i="3"/>
  <c r="EO45" i="3"/>
  <c r="BB46" i="3"/>
  <c r="CC46" i="3"/>
  <c r="DG46" i="3"/>
  <c r="EI46" i="3"/>
  <c r="FG46" i="3"/>
  <c r="GC46" i="3"/>
  <c r="GW46" i="3"/>
  <c r="AI47" i="3"/>
  <c r="BD47" i="3"/>
  <c r="BY47" i="3"/>
  <c r="CT47" i="3"/>
  <c r="DM47" i="3"/>
  <c r="EI47" i="3"/>
  <c r="FC47" i="3"/>
  <c r="FW47" i="3"/>
  <c r="GR47" i="3"/>
  <c r="AE48" i="3"/>
  <c r="AZ48" i="3"/>
  <c r="BS48" i="3"/>
  <c r="CO48" i="3"/>
  <c r="DI48" i="3"/>
  <c r="EC48" i="3"/>
  <c r="EU48" i="3"/>
  <c r="FM48" i="3"/>
  <c r="GE48" i="3"/>
  <c r="GW48" i="3"/>
  <c r="AG49" i="3"/>
  <c r="AY49" i="3"/>
  <c r="BQ49" i="3"/>
  <c r="CI49" i="3"/>
  <c r="DA49" i="3"/>
  <c r="DS49" i="3"/>
  <c r="EK49" i="3"/>
  <c r="FC49" i="3"/>
  <c r="FS49" i="3"/>
  <c r="GH49" i="3"/>
  <c r="GV49" i="3"/>
  <c r="AC50" i="3"/>
  <c r="AQ50" i="3"/>
  <c r="BE50" i="3"/>
  <c r="BT50" i="3"/>
  <c r="CH50" i="3"/>
  <c r="CW50" i="3"/>
  <c r="DK50" i="3"/>
  <c r="DY50" i="3"/>
  <c r="EN50" i="3"/>
  <c r="FB50" i="3"/>
  <c r="FQ50" i="3"/>
  <c r="GE50" i="3"/>
  <c r="GS50" i="3"/>
  <c r="Z51" i="3"/>
  <c r="AN51" i="3"/>
  <c r="BC51" i="3"/>
  <c r="BQ51" i="3"/>
  <c r="CE51" i="3"/>
  <c r="CT51" i="3"/>
  <c r="DH51" i="3"/>
  <c r="DW51" i="3"/>
  <c r="EK51" i="3"/>
  <c r="EY51" i="3"/>
  <c r="FN51" i="3"/>
  <c r="GB51" i="3"/>
  <c r="GQ51" i="3"/>
  <c r="W52" i="3"/>
  <c r="AK52" i="3"/>
  <c r="AZ52" i="3"/>
  <c r="BN52" i="3"/>
  <c r="CC52" i="3"/>
  <c r="CQ52" i="3"/>
  <c r="DE52" i="3"/>
  <c r="DT52" i="3"/>
  <c r="EF52" i="3"/>
  <c r="ER52" i="3"/>
  <c r="FD52" i="3"/>
  <c r="FP52" i="3"/>
  <c r="GB52" i="3"/>
  <c r="GN52" i="3"/>
  <c r="GZ52" i="3"/>
  <c r="AD53" i="3"/>
  <c r="AP53" i="3"/>
  <c r="BB53" i="3"/>
  <c r="BN53" i="3"/>
  <c r="BZ53" i="3"/>
  <c r="CL53" i="3"/>
  <c r="CX53" i="3"/>
  <c r="DJ53" i="3"/>
  <c r="DV53" i="3"/>
  <c r="EH53" i="3"/>
  <c r="ET53" i="3"/>
  <c r="FF53" i="3"/>
  <c r="FR53" i="3"/>
  <c r="GD53" i="3"/>
  <c r="GP53" i="3"/>
  <c r="T54" i="3"/>
  <c r="AF54" i="3"/>
  <c r="AR54" i="3"/>
  <c r="BD54" i="3"/>
  <c r="BP54" i="3"/>
  <c r="CB54" i="3"/>
  <c r="CN54" i="3"/>
  <c r="CZ54" i="3"/>
  <c r="DL54" i="3"/>
  <c r="DX54" i="3"/>
  <c r="EJ54" i="3"/>
  <c r="EV54" i="3"/>
  <c r="FH54" i="3"/>
  <c r="FT54" i="3"/>
  <c r="GF54" i="3"/>
  <c r="GR54" i="3"/>
  <c r="V55" i="3"/>
  <c r="AH55" i="3"/>
  <c r="AT55" i="3"/>
  <c r="BF55" i="3"/>
  <c r="BR55" i="3"/>
  <c r="CD55" i="3"/>
  <c r="CP55" i="3"/>
  <c r="DB55" i="3"/>
  <c r="DN55" i="3"/>
  <c r="DZ55" i="3"/>
  <c r="EL55" i="3"/>
  <c r="EX55" i="3"/>
  <c r="FJ55" i="3"/>
  <c r="FV55" i="3"/>
  <c r="GH55" i="3"/>
  <c r="GT55" i="3"/>
  <c r="X56" i="3"/>
  <c r="AJ56" i="3"/>
  <c r="AV56" i="3"/>
  <c r="BH56" i="3"/>
  <c r="BT56" i="3"/>
  <c r="CF56" i="3"/>
  <c r="CR56" i="3"/>
  <c r="DD56" i="3"/>
  <c r="DP56" i="3"/>
  <c r="EB56" i="3"/>
  <c r="EN56" i="3"/>
  <c r="CQ35" i="3"/>
  <c r="EE41" i="3"/>
  <c r="GR42" i="3"/>
  <c r="AJ44" i="3"/>
  <c r="GT44" i="3"/>
  <c r="FA45" i="3"/>
  <c r="BC46" i="3"/>
  <c r="CF46" i="3"/>
  <c r="DJ46" i="3"/>
  <c r="EK46" i="3"/>
  <c r="FI46" i="3"/>
  <c r="GD46" i="3"/>
  <c r="GY46" i="3"/>
  <c r="AL47" i="3"/>
  <c r="BE47" i="3"/>
  <c r="CA47" i="3"/>
  <c r="CU47" i="3"/>
  <c r="DO47" i="3"/>
  <c r="EJ47" i="3"/>
  <c r="FE47" i="3"/>
  <c r="FZ47" i="3"/>
  <c r="GS47" i="3"/>
  <c r="AG48" i="3"/>
  <c r="BA48" i="3"/>
  <c r="BU48" i="3"/>
  <c r="CP48" i="3"/>
  <c r="DK48" i="3"/>
  <c r="EE48" i="3"/>
  <c r="EW48" i="3"/>
  <c r="FO48" i="3"/>
  <c r="GG48" i="3"/>
  <c r="GY48" i="3"/>
  <c r="AI49" i="3"/>
  <c r="BA49" i="3"/>
  <c r="BS49" i="3"/>
  <c r="CK49" i="3"/>
  <c r="DC49" i="3"/>
  <c r="DU49" i="3"/>
  <c r="EM49" i="3"/>
  <c r="FE49" i="3"/>
  <c r="FU49" i="3"/>
  <c r="GI49" i="3"/>
  <c r="GW49" i="3"/>
  <c r="AD50" i="3"/>
  <c r="AR50" i="3"/>
  <c r="BG50" i="3"/>
  <c r="BU50" i="3"/>
  <c r="CI50" i="3"/>
  <c r="CX50" i="3"/>
  <c r="DL50" i="3"/>
  <c r="EA50" i="3"/>
  <c r="EO50" i="3"/>
  <c r="FC50" i="3"/>
  <c r="FR50" i="3"/>
  <c r="GF50" i="3"/>
  <c r="GU50" i="3"/>
  <c r="AA51" i="3"/>
  <c r="AO51" i="3"/>
  <c r="BD51" i="3"/>
  <c r="BR51" i="3"/>
  <c r="CG51" i="3"/>
  <c r="CU51" i="3"/>
  <c r="DI51" i="3"/>
  <c r="DX51" i="3"/>
  <c r="EL51" i="3"/>
  <c r="FA51" i="3"/>
  <c r="FO51" i="3"/>
  <c r="GC51" i="3"/>
  <c r="GR51" i="3"/>
  <c r="X52" i="3"/>
  <c r="AM52" i="3"/>
  <c r="BA52" i="3"/>
  <c r="BO52" i="3"/>
  <c r="CD52" i="3"/>
  <c r="CR52" i="3"/>
  <c r="DG52" i="3"/>
  <c r="DU52" i="3"/>
  <c r="EG52" i="3"/>
  <c r="ES52" i="3"/>
  <c r="FE52" i="3"/>
  <c r="FQ52" i="3"/>
  <c r="GC52" i="3"/>
  <c r="GO52" i="3"/>
  <c r="S53" i="3"/>
  <c r="AE53" i="3"/>
  <c r="AQ53" i="3"/>
  <c r="BC53" i="3"/>
  <c r="BO53" i="3"/>
  <c r="CA53" i="3"/>
  <c r="CM53" i="3"/>
  <c r="CY53" i="3"/>
  <c r="DK53" i="3"/>
  <c r="DW53" i="3"/>
  <c r="EI53" i="3"/>
  <c r="EU53" i="3"/>
  <c r="FG53" i="3"/>
  <c r="FS53" i="3"/>
  <c r="CC36" i="3"/>
  <c r="FO41" i="3"/>
  <c r="AC43" i="3"/>
  <c r="AZ44" i="3"/>
  <c r="Y45" i="3"/>
  <c r="FM45" i="3"/>
  <c r="BE46" i="3"/>
  <c r="CI46" i="3"/>
  <c r="DK46" i="3"/>
  <c r="EN46" i="3"/>
  <c r="FL46" i="3"/>
  <c r="GE46" i="3"/>
  <c r="S47" i="3"/>
  <c r="AM47" i="3"/>
  <c r="BG47" i="3"/>
  <c r="CB47" i="3"/>
  <c r="CW47" i="3"/>
  <c r="DR47" i="3"/>
  <c r="EK47" i="3"/>
  <c r="FG47" i="3"/>
  <c r="GA47" i="3"/>
  <c r="GU47" i="3"/>
  <c r="AH48" i="3"/>
  <c r="BC48" i="3"/>
  <c r="BX48" i="3"/>
  <c r="CQ48" i="3"/>
  <c r="DM48" i="3"/>
  <c r="EF48" i="3"/>
  <c r="EX48" i="3"/>
  <c r="FP48" i="3"/>
  <c r="GH48" i="3"/>
  <c r="GZ48" i="3"/>
  <c r="AJ49" i="3"/>
  <c r="BB49" i="3"/>
  <c r="BT49" i="3"/>
  <c r="CL49" i="3"/>
  <c r="DD49" i="3"/>
  <c r="DV49" i="3"/>
  <c r="EN49" i="3"/>
  <c r="FF49" i="3"/>
  <c r="FV49" i="3"/>
  <c r="GJ49" i="3"/>
  <c r="GY49" i="3"/>
  <c r="AE50" i="3"/>
  <c r="AS50" i="3"/>
  <c r="BH50" i="3"/>
  <c r="BV50" i="3"/>
  <c r="CK50" i="3"/>
  <c r="CY50" i="3"/>
  <c r="DM50" i="3"/>
  <c r="EB50" i="3"/>
  <c r="EP50" i="3"/>
  <c r="FE50" i="3"/>
  <c r="FS50" i="3"/>
  <c r="GG50" i="3"/>
  <c r="GV50" i="3"/>
  <c r="AB51" i="3"/>
  <c r="AQ51" i="3"/>
  <c r="BE51" i="3"/>
  <c r="BS51" i="3"/>
  <c r="CH51" i="3"/>
  <c r="CV51" i="3"/>
  <c r="DK51" i="3"/>
  <c r="DY51" i="3"/>
  <c r="EM51" i="3"/>
  <c r="FB51" i="3"/>
  <c r="FP51" i="3"/>
  <c r="GE51" i="3"/>
  <c r="GS51" i="3"/>
  <c r="Y52" i="3"/>
  <c r="AN52" i="3"/>
  <c r="BB52" i="3"/>
  <c r="BQ52" i="3"/>
  <c r="CE52" i="3"/>
  <c r="CS52" i="3"/>
  <c r="DH52" i="3"/>
  <c r="DV52" i="3"/>
  <c r="EH52" i="3"/>
  <c r="ET52" i="3"/>
  <c r="FF52" i="3"/>
  <c r="FR52" i="3"/>
  <c r="GD52" i="3"/>
  <c r="GP52" i="3"/>
  <c r="T53" i="3"/>
  <c r="AF53" i="3"/>
  <c r="AR53" i="3"/>
  <c r="BD53" i="3"/>
  <c r="BP53" i="3"/>
  <c r="CB53" i="3"/>
  <c r="CN53" i="3"/>
  <c r="CZ53" i="3"/>
  <c r="DL53" i="3"/>
  <c r="DX53" i="3"/>
  <c r="EJ53" i="3"/>
  <c r="EV53" i="3"/>
  <c r="FH53" i="3"/>
  <c r="FT53" i="3"/>
  <c r="GF53" i="3"/>
  <c r="GR53" i="3"/>
  <c r="V54" i="3"/>
  <c r="AH54" i="3"/>
  <c r="BL37" i="3"/>
  <c r="GP41" i="3"/>
  <c r="AT43" i="3"/>
  <c r="BP44" i="3"/>
  <c r="AK45" i="3"/>
  <c r="FY45" i="3"/>
  <c r="BH46" i="3"/>
  <c r="CL46" i="3"/>
  <c r="DM46" i="3"/>
  <c r="EQ46" i="3"/>
  <c r="FM46" i="3"/>
  <c r="GG46" i="3"/>
  <c r="T47" i="3"/>
  <c r="AO47" i="3"/>
  <c r="BJ47" i="3"/>
  <c r="CC47" i="3"/>
  <c r="CY47" i="3"/>
  <c r="DS47" i="3"/>
  <c r="EM47" i="3"/>
  <c r="FH47" i="3"/>
  <c r="GC47" i="3"/>
  <c r="GX47" i="3"/>
  <c r="AI48" i="3"/>
  <c r="BE48" i="3"/>
  <c r="BY48" i="3"/>
  <c r="CS48" i="3"/>
  <c r="DN48" i="3"/>
  <c r="EG48" i="3"/>
  <c r="EY48" i="3"/>
  <c r="FQ48" i="3"/>
  <c r="GI48" i="3"/>
  <c r="S49" i="3"/>
  <c r="AK49" i="3"/>
  <c r="BC49" i="3"/>
  <c r="BU49" i="3"/>
  <c r="CM49" i="3"/>
  <c r="DE49" i="3"/>
  <c r="DW49" i="3"/>
  <c r="EO49" i="3"/>
  <c r="FG49" i="3"/>
  <c r="FW49" i="3"/>
  <c r="GK49" i="3"/>
  <c r="GZ49" i="3"/>
  <c r="AF50" i="3"/>
  <c r="AU50" i="3"/>
  <c r="BI50" i="3"/>
  <c r="BW50" i="3"/>
  <c r="CL50" i="3"/>
  <c r="CZ50" i="3"/>
  <c r="DO50" i="3"/>
  <c r="EC50" i="3"/>
  <c r="EQ50" i="3"/>
  <c r="FF50" i="3"/>
  <c r="FT50" i="3"/>
  <c r="GI50" i="3"/>
  <c r="GW50" i="3"/>
  <c r="AC51" i="3"/>
  <c r="AR51" i="3"/>
  <c r="BF51" i="3"/>
  <c r="BU51" i="3"/>
  <c r="CI51" i="3"/>
  <c r="CW51" i="3"/>
  <c r="DL51" i="3"/>
  <c r="DZ51" i="3"/>
  <c r="EO51" i="3"/>
  <c r="FC51" i="3"/>
  <c r="FQ51" i="3"/>
  <c r="GF51" i="3"/>
  <c r="GT51" i="3"/>
  <c r="AA52" i="3"/>
  <c r="AO52" i="3"/>
  <c r="BC52" i="3"/>
  <c r="BR52" i="3"/>
  <c r="CF52" i="3"/>
  <c r="CU52" i="3"/>
  <c r="AF38" i="3"/>
  <c r="AF42" i="3"/>
  <c r="BM43" i="3"/>
  <c r="CD44" i="3"/>
  <c r="AW45" i="3"/>
  <c r="GK45" i="3"/>
  <c r="BK46" i="3"/>
  <c r="CM46" i="3"/>
  <c r="DP46" i="3"/>
  <c r="ET46" i="3"/>
  <c r="FO46" i="3"/>
  <c r="GJ46" i="3"/>
  <c r="U47" i="3"/>
  <c r="AQ47" i="3"/>
  <c r="BK47" i="3"/>
  <c r="CE47" i="3"/>
  <c r="CZ47" i="3"/>
  <c r="DU47" i="3"/>
  <c r="EP47" i="3"/>
  <c r="FI47" i="3"/>
  <c r="GE47" i="3"/>
  <c r="GY47" i="3"/>
  <c r="AK48" i="3"/>
  <c r="BF48" i="3"/>
  <c r="CA48" i="3"/>
  <c r="CV48" i="3"/>
  <c r="DO48" i="3"/>
  <c r="EI48" i="3"/>
  <c r="FA48" i="3"/>
  <c r="FS48" i="3"/>
  <c r="GK48" i="3"/>
  <c r="U49" i="3"/>
  <c r="AM49" i="3"/>
  <c r="BE49" i="3"/>
  <c r="BW49" i="3"/>
  <c r="CO49" i="3"/>
  <c r="DG49" i="3"/>
  <c r="DY49" i="3"/>
  <c r="EQ49" i="3"/>
  <c r="FI49" i="3"/>
  <c r="FX49" i="3"/>
  <c r="GM49" i="3"/>
  <c r="S50" i="3"/>
  <c r="AG50" i="3"/>
  <c r="AV50" i="3"/>
  <c r="BJ50" i="3"/>
  <c r="BY50" i="3"/>
  <c r="CM50" i="3"/>
  <c r="DA50" i="3"/>
  <c r="DP50" i="3"/>
  <c r="ED50" i="3"/>
  <c r="ES50" i="3"/>
  <c r="FG50" i="3"/>
  <c r="FU50" i="3"/>
  <c r="GJ50" i="3"/>
  <c r="GX50" i="3"/>
  <c r="AE51" i="3"/>
  <c r="AS51" i="3"/>
  <c r="BG51" i="3"/>
  <c r="BV51" i="3"/>
  <c r="CJ51" i="3"/>
  <c r="CY51" i="3"/>
  <c r="DM51" i="3"/>
  <c r="EA51" i="3"/>
  <c r="EP51" i="3"/>
  <c r="FD51" i="3"/>
  <c r="FS51" i="3"/>
  <c r="GG51" i="3"/>
  <c r="GU51" i="3"/>
  <c r="AB52" i="3"/>
  <c r="AP52" i="3"/>
  <c r="BE52" i="3"/>
  <c r="BS52" i="3"/>
  <c r="CG52" i="3"/>
  <c r="CV52" i="3"/>
  <c r="DJ52" i="3"/>
  <c r="DX52" i="3"/>
  <c r="EJ52" i="3"/>
  <c r="EV52" i="3"/>
  <c r="FH52" i="3"/>
  <c r="FT52" i="3"/>
  <c r="GF52" i="3"/>
  <c r="GR52" i="3"/>
  <c r="V53" i="3"/>
  <c r="AH53" i="3"/>
  <c r="AT53" i="3"/>
  <c r="BF53" i="3"/>
  <c r="BR53" i="3"/>
  <c r="CD53" i="3"/>
  <c r="CP53" i="3"/>
  <c r="DB53" i="3"/>
  <c r="DN53" i="3"/>
  <c r="DZ53" i="3"/>
  <c r="EL53" i="3"/>
  <c r="EX53" i="3"/>
  <c r="FJ53" i="3"/>
  <c r="FV53" i="3"/>
  <c r="GH53" i="3"/>
  <c r="GT53" i="3"/>
  <c r="X54" i="3"/>
  <c r="AJ54" i="3"/>
  <c r="AV54" i="3"/>
  <c r="BH54" i="3"/>
  <c r="BT54" i="3"/>
  <c r="CF54" i="3"/>
  <c r="CR54" i="3"/>
  <c r="DD54" i="3"/>
  <c r="DP54" i="3"/>
  <c r="EB54" i="3"/>
  <c r="EN54" i="3"/>
  <c r="EZ54" i="3"/>
  <c r="FL54" i="3"/>
  <c r="FX54" i="3"/>
  <c r="GJ54" i="3"/>
  <c r="GV54" i="3"/>
  <c r="Z55" i="3"/>
  <c r="AL55" i="3"/>
  <c r="AX55" i="3"/>
  <c r="BJ55" i="3"/>
  <c r="BV55" i="3"/>
  <c r="CH55" i="3"/>
  <c r="CT55" i="3"/>
  <c r="DF55" i="3"/>
  <c r="DR55" i="3"/>
  <c r="ED55" i="3"/>
  <c r="EP55" i="3"/>
  <c r="FB55" i="3"/>
  <c r="FN55" i="3"/>
  <c r="FZ55" i="3"/>
  <c r="GL55" i="3"/>
  <c r="GX55" i="3"/>
  <c r="AB56" i="3"/>
  <c r="AN56" i="3"/>
  <c r="AZ56" i="3"/>
  <c r="BL56" i="3"/>
  <c r="BX56" i="3"/>
  <c r="CJ56" i="3"/>
  <c r="CV56" i="3"/>
  <c r="DH56" i="3"/>
  <c r="DT56" i="3"/>
  <c r="EF56" i="3"/>
  <c r="ER56" i="3"/>
  <c r="FD56" i="3"/>
  <c r="FP56" i="3"/>
  <c r="GB56" i="3"/>
  <c r="GN56" i="3"/>
  <c r="GZ56" i="3"/>
  <c r="AD57" i="3"/>
  <c r="AP57" i="3"/>
  <c r="BB57" i="3"/>
  <c r="BN57" i="3"/>
  <c r="BZ57" i="3"/>
  <c r="CL57" i="3"/>
  <c r="CX57" i="3"/>
  <c r="DJ57" i="3"/>
  <c r="DV57" i="3"/>
  <c r="EH57" i="3"/>
  <c r="ET57" i="3"/>
  <c r="FF57" i="3"/>
  <c r="FR57" i="3"/>
  <c r="GD57" i="3"/>
  <c r="GP57" i="3"/>
  <c r="T58" i="3"/>
  <c r="AF58" i="3"/>
  <c r="AR58" i="3"/>
  <c r="BD58" i="3"/>
  <c r="BP58" i="3"/>
  <c r="CB58" i="3"/>
  <c r="CN58" i="3"/>
  <c r="CZ58" i="3"/>
  <c r="DL58" i="3"/>
  <c r="DX58" i="3"/>
  <c r="EJ58" i="3"/>
  <c r="EV58" i="3"/>
  <c r="FH58" i="3"/>
  <c r="FT58" i="3"/>
  <c r="GF58" i="3"/>
  <c r="GR58" i="3"/>
  <c r="FX38" i="3"/>
  <c r="BD42" i="3"/>
  <c r="CD43" i="3"/>
  <c r="CR44" i="3"/>
  <c r="BI45" i="3"/>
  <c r="GW45" i="3"/>
  <c r="BN46" i="3"/>
  <c r="CO46" i="3"/>
  <c r="DS46" i="3"/>
  <c r="EU46" i="3"/>
  <c r="FQ46" i="3"/>
  <c r="GK46" i="3"/>
  <c r="W47" i="3"/>
  <c r="AR47" i="3"/>
  <c r="BM47" i="3"/>
  <c r="CH47" i="3"/>
  <c r="DA47" i="3"/>
  <c r="DW47" i="3"/>
  <c r="EQ47" i="3"/>
  <c r="FK47" i="3"/>
  <c r="GF47" i="3"/>
  <c r="S48" i="3"/>
  <c r="AN48" i="3"/>
  <c r="BG48" i="3"/>
  <c r="CC48" i="3"/>
  <c r="CW48" i="3"/>
  <c r="DQ48" i="3"/>
  <c r="EK48" i="3"/>
  <c r="FC48" i="3"/>
  <c r="FU48" i="3"/>
  <c r="GM48" i="3"/>
  <c r="W49" i="3"/>
  <c r="AO49" i="3"/>
  <c r="BG49" i="3"/>
  <c r="BY49" i="3"/>
  <c r="CQ49" i="3"/>
  <c r="DI49" i="3"/>
  <c r="EA49" i="3"/>
  <c r="ES49" i="3"/>
  <c r="FK49" i="3"/>
  <c r="FY49" i="3"/>
  <c r="GN49" i="3"/>
  <c r="T50" i="3"/>
  <c r="AI50" i="3"/>
  <c r="AW50" i="3"/>
  <c r="BK50" i="3"/>
  <c r="BZ50" i="3"/>
  <c r="CN50" i="3"/>
  <c r="DC50" i="3"/>
  <c r="DQ50" i="3"/>
  <c r="EE50" i="3"/>
  <c r="ET50" i="3"/>
  <c r="FH50" i="3"/>
  <c r="FW50" i="3"/>
  <c r="GK50" i="3"/>
  <c r="GY50" i="3"/>
  <c r="AF51" i="3"/>
  <c r="AT51" i="3"/>
  <c r="BI51" i="3"/>
  <c r="BW51" i="3"/>
  <c r="CK51" i="3"/>
  <c r="CZ51" i="3"/>
  <c r="DN51" i="3"/>
  <c r="EC51" i="3"/>
  <c r="EQ51" i="3"/>
  <c r="FE51" i="3"/>
  <c r="FT51" i="3"/>
  <c r="GH51" i="3"/>
  <c r="GW51" i="3"/>
  <c r="AC52" i="3"/>
  <c r="AQ52" i="3"/>
  <c r="BF52" i="3"/>
  <c r="BT52" i="3"/>
  <c r="CI52" i="3"/>
  <c r="CW52" i="3"/>
  <c r="DK52" i="3"/>
  <c r="DY52" i="3"/>
  <c r="EK52" i="3"/>
  <c r="EW52" i="3"/>
  <c r="FI52" i="3"/>
  <c r="FU52" i="3"/>
  <c r="GG52" i="3"/>
  <c r="GS52" i="3"/>
  <c r="W53" i="3"/>
  <c r="AI53" i="3"/>
  <c r="AU53" i="3"/>
  <c r="BG53" i="3"/>
  <c r="BS53" i="3"/>
  <c r="CE53" i="3"/>
  <c r="CQ53" i="3"/>
  <c r="DC53" i="3"/>
  <c r="DO53" i="3"/>
  <c r="EA53" i="3"/>
  <c r="EM53" i="3"/>
  <c r="EY53" i="3"/>
  <c r="FK53" i="3"/>
  <c r="FW53" i="3"/>
  <c r="GI53" i="3"/>
  <c r="GU53" i="3"/>
  <c r="Y54" i="3"/>
  <c r="AK54" i="3"/>
  <c r="AW54" i="3"/>
  <c r="BI54" i="3"/>
  <c r="BU54" i="3"/>
  <c r="CG54" i="3"/>
  <c r="CS54" i="3"/>
  <c r="DE54" i="3"/>
  <c r="DQ54" i="3"/>
  <c r="EC54" i="3"/>
  <c r="EO54" i="3"/>
  <c r="FA54" i="3"/>
  <c r="FM54" i="3"/>
  <c r="FY54" i="3"/>
  <c r="GK54" i="3"/>
  <c r="GW54" i="3"/>
  <c r="AA55" i="3"/>
  <c r="AM55" i="3"/>
  <c r="AY55" i="3"/>
  <c r="BK55" i="3"/>
  <c r="BW55" i="3"/>
  <c r="CI55" i="3"/>
  <c r="CU55" i="3"/>
  <c r="DG55" i="3"/>
  <c r="DS55" i="3"/>
  <c r="EE55" i="3"/>
  <c r="EQ55" i="3"/>
  <c r="FC55" i="3"/>
  <c r="FO55" i="3"/>
  <c r="GA55" i="3"/>
  <c r="GM55" i="3"/>
  <c r="GY55" i="3"/>
  <c r="AC56" i="3"/>
  <c r="AO56" i="3"/>
  <c r="BA56" i="3"/>
  <c r="BM56" i="3"/>
  <c r="BY56" i="3"/>
  <c r="CK56" i="3"/>
  <c r="CW56" i="3"/>
  <c r="DI56" i="3"/>
  <c r="DU56" i="3"/>
  <c r="EG56" i="3"/>
  <c r="ES56" i="3"/>
  <c r="ED39" i="3"/>
  <c r="BW42" i="3"/>
  <c r="CW43" i="3"/>
  <c r="DF44" i="3"/>
  <c r="BU45" i="3"/>
  <c r="AA46" i="3"/>
  <c r="BO46" i="3"/>
  <c r="CR46" i="3"/>
  <c r="DV46" i="3"/>
  <c r="EW46" i="3"/>
  <c r="FR46" i="3"/>
  <c r="GM46" i="3"/>
  <c r="Z47" i="3"/>
  <c r="AS47" i="3"/>
  <c r="BO47" i="3"/>
  <c r="CI47" i="3"/>
  <c r="DC47" i="3"/>
  <c r="DX47" i="3"/>
  <c r="ES47" i="3"/>
  <c r="FN47" i="3"/>
  <c r="GG47" i="3"/>
  <c r="U48" i="3"/>
  <c r="AO48" i="3"/>
  <c r="BI48" i="3"/>
  <c r="CD48" i="3"/>
  <c r="CY48" i="3"/>
  <c r="DT48" i="3"/>
  <c r="EL48" i="3"/>
  <c r="FD48" i="3"/>
  <c r="FV48" i="3"/>
  <c r="GN48" i="3"/>
  <c r="X49" i="3"/>
  <c r="AP49" i="3"/>
  <c r="BH49" i="3"/>
  <c r="BZ49" i="3"/>
  <c r="CR49" i="3"/>
  <c r="DJ49" i="3"/>
  <c r="EB49" i="3"/>
  <c r="ET49" i="3"/>
  <c r="FL49" i="3"/>
  <c r="GA49" i="3"/>
  <c r="GO49" i="3"/>
  <c r="U50" i="3"/>
  <c r="AJ50" i="3"/>
  <c r="AX50" i="3"/>
  <c r="BM50" i="3"/>
  <c r="CA50" i="3"/>
  <c r="CO50" i="3"/>
  <c r="DD50" i="3"/>
  <c r="DR50" i="3"/>
  <c r="EG50" i="3"/>
  <c r="EU50" i="3"/>
  <c r="FI50" i="3"/>
  <c r="FX50" i="3"/>
  <c r="GL50" i="3"/>
  <c r="S51" i="3"/>
  <c r="AG51" i="3"/>
  <c r="AU51" i="3"/>
  <c r="BJ51" i="3"/>
  <c r="BX51" i="3"/>
  <c r="CM51" i="3"/>
  <c r="DA51" i="3"/>
  <c r="DO51" i="3"/>
  <c r="ED51" i="3"/>
  <c r="ER51" i="3"/>
  <c r="FG51" i="3"/>
  <c r="FU51" i="3"/>
  <c r="GI51" i="3"/>
  <c r="GX51" i="3"/>
  <c r="AD52" i="3"/>
  <c r="AS52" i="3"/>
  <c r="BG52" i="3"/>
  <c r="BU52" i="3"/>
  <c r="CJ52" i="3"/>
  <c r="CX52" i="3"/>
  <c r="DM52" i="3"/>
  <c r="DZ52" i="3"/>
  <c r="EL52" i="3"/>
  <c r="EX52" i="3"/>
  <c r="FJ52" i="3"/>
  <c r="FV52" i="3"/>
  <c r="GH52" i="3"/>
  <c r="GT52" i="3"/>
  <c r="X53" i="3"/>
  <c r="AJ53" i="3"/>
  <c r="AV53" i="3"/>
  <c r="BH53" i="3"/>
  <c r="BT53" i="3"/>
  <c r="CF53" i="3"/>
  <c r="CR53" i="3"/>
  <c r="DD53" i="3"/>
  <c r="DP53" i="3"/>
  <c r="EB53" i="3"/>
  <c r="EN53" i="3"/>
  <c r="EZ53" i="3"/>
  <c r="FL53" i="3"/>
  <c r="FX53" i="3"/>
  <c r="GJ53" i="3"/>
  <c r="GV53" i="3"/>
  <c r="Z54" i="3"/>
  <c r="AL54" i="3"/>
  <c r="AX54" i="3"/>
  <c r="BJ54" i="3"/>
  <c r="BV54" i="3"/>
  <c r="CH54" i="3"/>
  <c r="CT54" i="3"/>
  <c r="DF54" i="3"/>
  <c r="DR54" i="3"/>
  <c r="ED54" i="3"/>
  <c r="EP54" i="3"/>
  <c r="BL40" i="3"/>
  <c r="CN42" i="3"/>
  <c r="DN43" i="3"/>
  <c r="DS44" i="3"/>
  <c r="CG45" i="3"/>
  <c r="AM46" i="3"/>
  <c r="BQ46" i="3"/>
  <c r="CU46" i="3"/>
  <c r="DW46" i="3"/>
  <c r="EZ46" i="3"/>
  <c r="FS46" i="3"/>
  <c r="GO46" i="3"/>
  <c r="AA47" i="3"/>
  <c r="AU47" i="3"/>
  <c r="BP47" i="3"/>
  <c r="CK47" i="3"/>
  <c r="DF47" i="3"/>
  <c r="DY47" i="3"/>
  <c r="EU47" i="3"/>
  <c r="FO47" i="3"/>
  <c r="GI47" i="3"/>
  <c r="V48" i="3"/>
  <c r="AQ48" i="3"/>
  <c r="BL48" i="3"/>
  <c r="CE48" i="3"/>
  <c r="DA48" i="3"/>
  <c r="DU48" i="3"/>
  <c r="EM48" i="3"/>
  <c r="FE48" i="3"/>
  <c r="FW48" i="3"/>
  <c r="GO48" i="3"/>
  <c r="Y49" i="3"/>
  <c r="AQ49" i="3"/>
  <c r="BI49" i="3"/>
  <c r="CA49" i="3"/>
  <c r="CS49" i="3"/>
  <c r="DK49" i="3"/>
  <c r="EC49" i="3"/>
  <c r="EU49" i="3"/>
  <c r="FM49" i="3"/>
  <c r="GB49" i="3"/>
  <c r="GP49" i="3"/>
  <c r="W50" i="3"/>
  <c r="AK50" i="3"/>
  <c r="AY50" i="3"/>
  <c r="BN50" i="3"/>
  <c r="CB50" i="3"/>
  <c r="CQ50" i="3"/>
  <c r="DE50" i="3"/>
  <c r="DS50" i="3"/>
  <c r="EH50" i="3"/>
  <c r="EV50" i="3"/>
  <c r="FK50" i="3"/>
  <c r="FY50" i="3"/>
  <c r="GM50" i="3"/>
  <c r="T51" i="3"/>
  <c r="AH51" i="3"/>
  <c r="AW51" i="3"/>
  <c r="BK51" i="3"/>
  <c r="BY51" i="3"/>
  <c r="CN51" i="3"/>
  <c r="DB51" i="3"/>
  <c r="DQ51" i="3"/>
  <c r="EE51" i="3"/>
  <c r="ES51" i="3"/>
  <c r="FH51" i="3"/>
  <c r="FV51" i="3"/>
  <c r="GK51" i="3"/>
  <c r="GY51" i="3"/>
  <c r="AE52" i="3"/>
  <c r="AT52" i="3"/>
  <c r="BH52" i="3"/>
  <c r="BW52" i="3"/>
  <c r="CK52" i="3"/>
  <c r="CY52" i="3"/>
  <c r="DN52" i="3"/>
  <c r="EA52" i="3"/>
  <c r="EM52" i="3"/>
  <c r="EY52" i="3"/>
  <c r="FK52" i="3"/>
  <c r="FW52" i="3"/>
  <c r="GI52" i="3"/>
  <c r="GU52" i="3"/>
  <c r="Y53" i="3"/>
  <c r="AK53" i="3"/>
  <c r="AW53" i="3"/>
  <c r="BI53" i="3"/>
  <c r="BU53" i="3"/>
  <c r="CG53" i="3"/>
  <c r="CS53" i="3"/>
  <c r="DE53" i="3"/>
  <c r="DQ53" i="3"/>
  <c r="EC53" i="3"/>
  <c r="EO53" i="3"/>
  <c r="FA53" i="3"/>
  <c r="FM53" i="3"/>
  <c r="FY53" i="3"/>
  <c r="DH40" i="3"/>
  <c r="DG42" i="3"/>
  <c r="EG43" i="3"/>
  <c r="EF44" i="3"/>
  <c r="CS45" i="3"/>
  <c r="AQ46" i="3"/>
  <c r="BT46" i="3"/>
  <c r="CX46" i="3"/>
  <c r="DY46" i="3"/>
  <c r="FA46" i="3"/>
  <c r="FU46" i="3"/>
  <c r="GP46" i="3"/>
  <c r="AC47" i="3"/>
  <c r="AX47" i="3"/>
  <c r="BQ47" i="3"/>
  <c r="CM47" i="3"/>
  <c r="DG47" i="3"/>
  <c r="EA47" i="3"/>
  <c r="EV47" i="3"/>
  <c r="FQ47" i="3"/>
  <c r="GL47" i="3"/>
  <c r="W48" i="3"/>
  <c r="AS48" i="3"/>
  <c r="BM48" i="3"/>
  <c r="CG48" i="3"/>
  <c r="DB48" i="3"/>
  <c r="DW48" i="3"/>
  <c r="EO48" i="3"/>
  <c r="FG48" i="3"/>
  <c r="FY48" i="3"/>
  <c r="GQ48" i="3"/>
  <c r="AA49" i="3"/>
  <c r="AS49" i="3"/>
  <c r="BK49" i="3"/>
  <c r="CC49" i="3"/>
  <c r="CU49" i="3"/>
  <c r="DM49" i="3"/>
  <c r="EE49" i="3"/>
  <c r="EW49" i="3"/>
  <c r="FO49" i="3"/>
  <c r="GC49" i="3"/>
  <c r="GQ49" i="3"/>
  <c r="X50" i="3"/>
  <c r="AL50" i="3"/>
  <c r="BA50" i="3"/>
  <c r="BO50" i="3"/>
  <c r="CC50" i="3"/>
  <c r="CR50" i="3"/>
  <c r="DF50" i="3"/>
  <c r="DU50" i="3"/>
  <c r="EI50" i="3"/>
  <c r="EW50" i="3"/>
  <c r="FL50" i="3"/>
  <c r="FZ50" i="3"/>
  <c r="GO50" i="3"/>
  <c r="U51" i="3"/>
  <c r="AI51" i="3"/>
  <c r="AX51" i="3"/>
  <c r="BL51" i="3"/>
  <c r="CA51" i="3"/>
  <c r="CO51" i="3"/>
  <c r="DC51" i="3"/>
  <c r="DR51" i="3"/>
  <c r="EF51" i="3"/>
  <c r="EU51" i="3"/>
  <c r="FI51" i="3"/>
  <c r="FW51" i="3"/>
  <c r="GL51" i="3"/>
  <c r="GZ51" i="3"/>
  <c r="AG52" i="3"/>
  <c r="AU52" i="3"/>
  <c r="BI52" i="3"/>
  <c r="BX52" i="3"/>
  <c r="CL52" i="3"/>
  <c r="DA52" i="3"/>
  <c r="DO52" i="3"/>
  <c r="EB52" i="3"/>
  <c r="EN52" i="3"/>
  <c r="EZ52" i="3"/>
  <c r="FL52" i="3"/>
  <c r="FX52" i="3"/>
  <c r="GJ52" i="3"/>
  <c r="GV52" i="3"/>
  <c r="Z53" i="3"/>
  <c r="AL53" i="3"/>
  <c r="AX53" i="3"/>
  <c r="BJ53" i="3"/>
  <c r="BV53" i="3"/>
  <c r="CH53" i="3"/>
  <c r="CT53" i="3"/>
  <c r="DF53" i="3"/>
  <c r="DR53" i="3"/>
  <c r="ED53" i="3"/>
  <c r="EP53" i="3"/>
  <c r="FB53" i="3"/>
  <c r="FN53" i="3"/>
  <c r="FZ53" i="3"/>
  <c r="GL53" i="3"/>
  <c r="GX53" i="3"/>
  <c r="AB54" i="3"/>
  <c r="AN54" i="3"/>
  <c r="AZ54" i="3"/>
  <c r="FD40" i="3"/>
  <c r="DX42" i="3"/>
  <c r="EX43" i="3"/>
  <c r="ET44" i="3"/>
  <c r="DE45" i="3"/>
  <c r="AS46" i="3"/>
  <c r="BW46" i="3"/>
  <c r="CY46" i="3"/>
  <c r="EB46" i="3"/>
  <c r="FC46" i="3"/>
  <c r="FX46" i="3"/>
  <c r="GQ46" i="3"/>
  <c r="AE47" i="3"/>
  <c r="AY47" i="3"/>
  <c r="BS47" i="3"/>
  <c r="CN47" i="3"/>
  <c r="DI47" i="3"/>
  <c r="ED47" i="3"/>
  <c r="EW47" i="3"/>
  <c r="FS47" i="3"/>
  <c r="GM47" i="3"/>
  <c r="Y48" i="3"/>
  <c r="AT48" i="3"/>
  <c r="BO48" i="3"/>
  <c r="CJ48" i="3"/>
  <c r="DC48" i="3"/>
  <c r="DY48" i="3"/>
  <c r="EQ48" i="3"/>
  <c r="FI48" i="3"/>
  <c r="GA48" i="3"/>
  <c r="GS48" i="3"/>
  <c r="AC49" i="3"/>
  <c r="AU49" i="3"/>
  <c r="BM49" i="3"/>
  <c r="CE49" i="3"/>
  <c r="CW49" i="3"/>
  <c r="DO49" i="3"/>
  <c r="EG49" i="3"/>
  <c r="EY49" i="3"/>
  <c r="FP49" i="3"/>
  <c r="GD49" i="3"/>
  <c r="GS49" i="3"/>
  <c r="Y50" i="3"/>
  <c r="AM50" i="3"/>
  <c r="BB50" i="3"/>
  <c r="BP50" i="3"/>
  <c r="CE50" i="3"/>
  <c r="CS50" i="3"/>
  <c r="DG50" i="3"/>
  <c r="DV50" i="3"/>
  <c r="EJ50" i="3"/>
  <c r="EY50" i="3"/>
  <c r="FM50" i="3"/>
  <c r="GA50" i="3"/>
  <c r="GP50" i="3"/>
  <c r="V51" i="3"/>
  <c r="AK51" i="3"/>
  <c r="AY51" i="3"/>
  <c r="BM51" i="3"/>
  <c r="CB51" i="3"/>
  <c r="CP51" i="3"/>
  <c r="DE51" i="3"/>
  <c r="DS51" i="3"/>
  <c r="EG51" i="3"/>
  <c r="EV51" i="3"/>
  <c r="FJ51" i="3"/>
  <c r="FY51" i="3"/>
  <c r="GM51" i="3"/>
  <c r="S52" i="3"/>
  <c r="AH52" i="3"/>
  <c r="AV52" i="3"/>
  <c r="BK52" i="3"/>
  <c r="BY52" i="3"/>
  <c r="CM52" i="3"/>
  <c r="BK41" i="3"/>
  <c r="FH42" i="3"/>
  <c r="GH43" i="3"/>
  <c r="FT44" i="3"/>
  <c r="EC45" i="3"/>
  <c r="AY46" i="3"/>
  <c r="CA46" i="3"/>
  <c r="DD46" i="3"/>
  <c r="EH46" i="3"/>
  <c r="FF46" i="3"/>
  <c r="GA46" i="3"/>
  <c r="GV46" i="3"/>
  <c r="AG47" i="3"/>
  <c r="BC47" i="3"/>
  <c r="BW47" i="3"/>
  <c r="CQ47" i="3"/>
  <c r="DL47" i="3"/>
  <c r="EG47" i="3"/>
  <c r="FB47" i="3"/>
  <c r="FU47" i="3"/>
  <c r="GQ47" i="3"/>
  <c r="AC48" i="3"/>
  <c r="AW48" i="3"/>
  <c r="BR48" i="3"/>
  <c r="CM48" i="3"/>
  <c r="DH48" i="3"/>
  <c r="EA48" i="3"/>
  <c r="ES48" i="3"/>
  <c r="FK48" i="3"/>
  <c r="GC48" i="3"/>
  <c r="GU48" i="3"/>
  <c r="AE49" i="3"/>
  <c r="AW49" i="3"/>
  <c r="BO49" i="3"/>
  <c r="CG49" i="3"/>
  <c r="CY49" i="3"/>
  <c r="DQ49" i="3"/>
  <c r="EI49" i="3"/>
  <c r="FA49" i="3"/>
  <c r="FR49" i="3"/>
  <c r="GG49" i="3"/>
  <c r="GU49" i="3"/>
  <c r="AA50" i="3"/>
  <c r="AP50" i="3"/>
  <c r="BD50" i="3"/>
  <c r="BS50" i="3"/>
  <c r="CG50" i="3"/>
  <c r="CU50" i="3"/>
  <c r="DJ50" i="3"/>
  <c r="DX50" i="3"/>
  <c r="EM50" i="3"/>
  <c r="FA50" i="3"/>
  <c r="FO50" i="3"/>
  <c r="GD50" i="3"/>
  <c r="GR50" i="3"/>
  <c r="Y51" i="3"/>
  <c r="AM51" i="3"/>
  <c r="BA51" i="3"/>
  <c r="BP51" i="3"/>
  <c r="CD51" i="3"/>
  <c r="CS51" i="3"/>
  <c r="DG51" i="3"/>
  <c r="DU51" i="3"/>
  <c r="EJ51" i="3"/>
  <c r="EX51" i="3"/>
  <c r="FM51" i="3"/>
  <c r="GA51" i="3"/>
  <c r="GO51" i="3"/>
  <c r="V52" i="3"/>
  <c r="AJ52" i="3"/>
  <c r="AY52" i="3"/>
  <c r="BM52" i="3"/>
  <c r="CA52" i="3"/>
  <c r="CP52" i="3"/>
  <c r="DD52" i="3"/>
  <c r="DS52" i="3"/>
  <c r="EE52" i="3"/>
  <c r="EQ52" i="3"/>
  <c r="FC52" i="3"/>
  <c r="FO52" i="3"/>
  <c r="GA52" i="3"/>
  <c r="GM52" i="3"/>
  <c r="GY52" i="3"/>
  <c r="AC53" i="3"/>
  <c r="AO53" i="3"/>
  <c r="BA53" i="3"/>
  <c r="BM53" i="3"/>
  <c r="BY53" i="3"/>
  <c r="CK53" i="3"/>
  <c r="CW53" i="3"/>
  <c r="DI53" i="3"/>
  <c r="DU53" i="3"/>
  <c r="EG53" i="3"/>
  <c r="ES53" i="3"/>
  <c r="FE53" i="3"/>
  <c r="FQ53" i="3"/>
  <c r="GC53" i="3"/>
  <c r="GO53" i="3"/>
  <c r="S54" i="3"/>
  <c r="AE54" i="3"/>
  <c r="AQ54" i="3"/>
  <c r="BC54" i="3"/>
  <c r="BO54" i="3"/>
  <c r="CA54" i="3"/>
  <c r="CM54" i="3"/>
  <c r="CY54" i="3"/>
  <c r="DK54" i="3"/>
  <c r="DW54" i="3"/>
  <c r="EI54" i="3"/>
  <c r="EU54" i="3"/>
  <c r="FG54" i="3"/>
  <c r="FS54" i="3"/>
  <c r="GE54" i="3"/>
  <c r="GQ54" i="3"/>
  <c r="U55" i="3"/>
  <c r="AG55" i="3"/>
  <c r="AS55" i="3"/>
  <c r="BE55" i="3"/>
  <c r="BQ55" i="3"/>
  <c r="CC55" i="3"/>
  <c r="CO55" i="3"/>
  <c r="DA55" i="3"/>
  <c r="DM55" i="3"/>
  <c r="DY55" i="3"/>
  <c r="EK55" i="3"/>
  <c r="EW55" i="3"/>
  <c r="FI55" i="3"/>
  <c r="FU55" i="3"/>
  <c r="GG55" i="3"/>
  <c r="GS55" i="3"/>
  <c r="W56" i="3"/>
  <c r="AI56" i="3"/>
  <c r="AU56" i="3"/>
  <c r="BG56" i="3"/>
  <c r="BS56" i="3"/>
  <c r="CE56" i="3"/>
  <c r="CQ56" i="3"/>
  <c r="DC56" i="3"/>
  <c r="DO56" i="3"/>
  <c r="EA56" i="3"/>
  <c r="EM56" i="3"/>
  <c r="EY56" i="3"/>
  <c r="FK56" i="3"/>
  <c r="FW56" i="3"/>
  <c r="GI56" i="3"/>
  <c r="GU56" i="3"/>
  <c r="Y57" i="3"/>
  <c r="AK57" i="3"/>
  <c r="AW57" i="3"/>
  <c r="BI57" i="3"/>
  <c r="BU57" i="3"/>
  <c r="CG57" i="3"/>
  <c r="CS57" i="3"/>
  <c r="DE57" i="3"/>
  <c r="DQ57" i="3"/>
  <c r="EC57" i="3"/>
  <c r="EO57" i="3"/>
  <c r="FA57" i="3"/>
  <c r="FM57" i="3"/>
  <c r="FY57" i="3"/>
  <c r="GK57" i="3"/>
  <c r="GW57" i="3"/>
  <c r="AA58" i="3"/>
  <c r="AM58" i="3"/>
  <c r="AY58" i="3"/>
  <c r="BK58" i="3"/>
  <c r="BW58" i="3"/>
  <c r="CI58" i="3"/>
  <c r="CU58" i="3"/>
  <c r="DG58" i="3"/>
  <c r="R51" i="3"/>
  <c r="R39" i="3"/>
  <c r="R27" i="3"/>
  <c r="R15" i="3"/>
  <c r="R3" i="3"/>
  <c r="GO60" i="3"/>
  <c r="GC60" i="3"/>
  <c r="FQ60" i="3"/>
  <c r="FE60" i="3"/>
  <c r="ES60" i="3"/>
  <c r="EG60" i="3"/>
  <c r="DU60" i="3"/>
  <c r="DI60" i="3"/>
  <c r="CW60" i="3"/>
  <c r="CK60" i="3"/>
  <c r="BY60" i="3"/>
  <c r="BM60" i="3"/>
  <c r="BA60" i="3"/>
  <c r="AO60" i="3"/>
  <c r="AC60" i="3"/>
  <c r="GY59" i="3"/>
  <c r="GM59" i="3"/>
  <c r="GA59" i="3"/>
  <c r="FO59" i="3"/>
  <c r="FC59" i="3"/>
  <c r="EQ59" i="3"/>
  <c r="EE59" i="3"/>
  <c r="DS59" i="3"/>
  <c r="DG59" i="3"/>
  <c r="CU59" i="3"/>
  <c r="CI59" i="3"/>
  <c r="BW59" i="3"/>
  <c r="BK59" i="3"/>
  <c r="AY59" i="3"/>
  <c r="AM59" i="3"/>
  <c r="AA59" i="3"/>
  <c r="GW58" i="3"/>
  <c r="GJ58" i="3"/>
  <c r="FW58" i="3"/>
  <c r="FJ58" i="3"/>
  <c r="EW58" i="3"/>
  <c r="EI58" i="3"/>
  <c r="DV58" i="3"/>
  <c r="DI58" i="3"/>
  <c r="CT58" i="3"/>
  <c r="CF58" i="3"/>
  <c r="BR58" i="3"/>
  <c r="BC58" i="3"/>
  <c r="AO58" i="3"/>
  <c r="Z58" i="3"/>
  <c r="GT57" i="3"/>
  <c r="GF57" i="3"/>
  <c r="FQ57" i="3"/>
  <c r="FC57" i="3"/>
  <c r="EN57" i="3"/>
  <c r="DZ57" i="3"/>
  <c r="DL57" i="3"/>
  <c r="CW57" i="3"/>
  <c r="CI57" i="3"/>
  <c r="BT57" i="3"/>
  <c r="BF57" i="3"/>
  <c r="AR57" i="3"/>
  <c r="AC57" i="3"/>
  <c r="GW56" i="3"/>
  <c r="GH56" i="3"/>
  <c r="FT56" i="3"/>
  <c r="FF56" i="3"/>
  <c r="EP56" i="3"/>
  <c r="DX56" i="3"/>
  <c r="DF56" i="3"/>
  <c r="CN56" i="3"/>
  <c r="BV56" i="3"/>
  <c r="BD56" i="3"/>
  <c r="AL56" i="3"/>
  <c r="T56" i="3"/>
  <c r="GJ55" i="3"/>
  <c r="FR55" i="3"/>
  <c r="EZ55" i="3"/>
  <c r="EH55" i="3"/>
  <c r="DP55" i="3"/>
  <c r="CX55" i="3"/>
  <c r="CF55" i="3"/>
  <c r="BN55" i="3"/>
  <c r="AV55" i="3"/>
  <c r="AD55" i="3"/>
  <c r="GT54" i="3"/>
  <c r="GB54" i="3"/>
  <c r="FJ54" i="3"/>
  <c r="ER54" i="3"/>
  <c r="DV54" i="3"/>
  <c r="DB54" i="3"/>
  <c r="CI54" i="3"/>
  <c r="BM54" i="3"/>
  <c r="AP54" i="3"/>
  <c r="GW53" i="3"/>
  <c r="FO53" i="3"/>
  <c r="DS53" i="3"/>
  <c r="BW53" i="3"/>
  <c r="AA53" i="3"/>
  <c r="FM52" i="3"/>
  <c r="DP52" i="3"/>
  <c r="FK51" i="3"/>
  <c r="GC50" i="3"/>
  <c r="GT49" i="3"/>
  <c r="GB48" i="3"/>
  <c r="EE47" i="3"/>
  <c r="AV46" i="3"/>
  <c r="R50" i="3"/>
  <c r="R38" i="3"/>
  <c r="R26" i="3"/>
  <c r="R14" i="3"/>
  <c r="GZ60" i="3"/>
  <c r="GN60" i="3"/>
  <c r="GB60" i="3"/>
  <c r="FP60" i="3"/>
  <c r="FD60" i="3"/>
  <c r="ER60" i="3"/>
  <c r="EF60" i="3"/>
  <c r="DT60" i="3"/>
  <c r="DH60" i="3"/>
  <c r="CV60" i="3"/>
  <c r="CJ60" i="3"/>
  <c r="BX60" i="3"/>
  <c r="BL60" i="3"/>
  <c r="AZ60" i="3"/>
  <c r="AN60" i="3"/>
  <c r="AB60" i="3"/>
  <c r="GX59" i="3"/>
  <c r="GL59" i="3"/>
  <c r="FZ59" i="3"/>
  <c r="FN59" i="3"/>
  <c r="FB59" i="3"/>
  <c r="EP59" i="3"/>
  <c r="ED59" i="3"/>
  <c r="DR59" i="3"/>
  <c r="DF59" i="3"/>
  <c r="CT59" i="3"/>
  <c r="CH59" i="3"/>
  <c r="BV59" i="3"/>
  <c r="BJ59" i="3"/>
  <c r="AX59" i="3"/>
  <c r="AL59" i="3"/>
  <c r="Z59" i="3"/>
  <c r="GV58" i="3"/>
  <c r="GI58" i="3"/>
  <c r="FV58" i="3"/>
  <c r="FI58" i="3"/>
  <c r="EU58" i="3"/>
  <c r="EH58" i="3"/>
  <c r="DU58" i="3"/>
  <c r="DH58" i="3"/>
  <c r="CS58" i="3"/>
  <c r="CE58" i="3"/>
  <c r="BQ58" i="3"/>
  <c r="BB58" i="3"/>
  <c r="AN58" i="3"/>
  <c r="Y58" i="3"/>
  <c r="GS57" i="3"/>
  <c r="GE57" i="3"/>
  <c r="FP57" i="3"/>
  <c r="FB57" i="3"/>
  <c r="EM57" i="3"/>
  <c r="DY57" i="3"/>
  <c r="DK57" i="3"/>
  <c r="CV57" i="3"/>
  <c r="CH57" i="3"/>
  <c r="BS57" i="3"/>
  <c r="BE57" i="3"/>
  <c r="AQ57" i="3"/>
  <c r="AB57" i="3"/>
  <c r="GV56" i="3"/>
  <c r="GG56" i="3"/>
  <c r="FS56" i="3"/>
  <c r="FE56" i="3"/>
  <c r="EO56" i="3"/>
  <c r="DW56" i="3"/>
  <c r="DE56" i="3"/>
  <c r="CM56" i="3"/>
  <c r="BU56" i="3"/>
  <c r="BC56" i="3"/>
  <c r="AK56" i="3"/>
  <c r="S56" i="3"/>
  <c r="GI55" i="3"/>
  <c r="FQ55" i="3"/>
  <c r="EY55" i="3"/>
  <c r="EG55" i="3"/>
  <c r="DO55" i="3"/>
  <c r="CW55" i="3"/>
  <c r="CE55" i="3"/>
  <c r="BM55" i="3"/>
  <c r="AU55" i="3"/>
  <c r="AC55" i="3"/>
  <c r="GS54" i="3"/>
  <c r="GA54" i="3"/>
  <c r="FI54" i="3"/>
  <c r="EQ54" i="3"/>
  <c r="DU54" i="3"/>
  <c r="DA54" i="3"/>
  <c r="CE54" i="3"/>
  <c r="BL54" i="3"/>
  <c r="AO54" i="3"/>
  <c r="GS53" i="3"/>
  <c r="FI53" i="3"/>
  <c r="DM53" i="3"/>
  <c r="BQ53" i="3"/>
  <c r="U53" i="3"/>
  <c r="FG52" i="3"/>
  <c r="DI52" i="3"/>
  <c r="EW51" i="3"/>
  <c r="FN50" i="3"/>
  <c r="GE49" i="3"/>
  <c r="FJ48" i="3"/>
  <c r="DK47" i="3"/>
  <c r="DQ45" i="3"/>
  <c r="R49" i="3"/>
  <c r="R37" i="3"/>
  <c r="R25" i="3"/>
  <c r="R13" i="3"/>
  <c r="GY60" i="3"/>
  <c r="GM60" i="3"/>
  <c r="GA60" i="3"/>
  <c r="FO60" i="3"/>
  <c r="FC60" i="3"/>
  <c r="EQ60" i="3"/>
  <c r="EE60" i="3"/>
  <c r="DS60" i="3"/>
  <c r="DG60" i="3"/>
  <c r="CU60" i="3"/>
  <c r="CI60" i="3"/>
  <c r="BW60" i="3"/>
  <c r="BK60" i="3"/>
  <c r="AY60" i="3"/>
  <c r="AM60" i="3"/>
  <c r="AA60" i="3"/>
  <c r="GW59" i="3"/>
  <c r="GK59" i="3"/>
  <c r="FY59" i="3"/>
  <c r="FM59" i="3"/>
  <c r="FA59" i="3"/>
  <c r="EO59" i="3"/>
  <c r="EC59" i="3"/>
  <c r="DQ59" i="3"/>
  <c r="DE59" i="3"/>
  <c r="CS59" i="3"/>
  <c r="CG59" i="3"/>
  <c r="BU59" i="3"/>
  <c r="BI59" i="3"/>
  <c r="AW59" i="3"/>
  <c r="AK59" i="3"/>
  <c r="Y59" i="3"/>
  <c r="GU58" i="3"/>
  <c r="GH58" i="3"/>
  <c r="FU58" i="3"/>
  <c r="FG58" i="3"/>
  <c r="ET58" i="3"/>
  <c r="EG58" i="3"/>
  <c r="DT58" i="3"/>
  <c r="DF58" i="3"/>
  <c r="CR58" i="3"/>
  <c r="CD58" i="3"/>
  <c r="BO58" i="3"/>
  <c r="BA58" i="3"/>
  <c r="AL58" i="3"/>
  <c r="X58" i="3"/>
  <c r="GR57" i="3"/>
  <c r="GC57" i="3"/>
  <c r="FO57" i="3"/>
  <c r="EZ57" i="3"/>
  <c r="EL57" i="3"/>
  <c r="DX57" i="3"/>
  <c r="DI57" i="3"/>
  <c r="CU57" i="3"/>
  <c r="CF57" i="3"/>
  <c r="BR57" i="3"/>
  <c r="BD57" i="3"/>
  <c r="AO57" i="3"/>
  <c r="AA57" i="3"/>
  <c r="GT56" i="3"/>
  <c r="GF56" i="3"/>
  <c r="FR56" i="3"/>
  <c r="FC56" i="3"/>
  <c r="EL56" i="3"/>
  <c r="DV56" i="3"/>
  <c r="DB56" i="3"/>
  <c r="CL56" i="3"/>
  <c r="BR56" i="3"/>
  <c r="BB56" i="3"/>
  <c r="AH56" i="3"/>
  <c r="GZ55" i="3"/>
  <c r="GF55" i="3"/>
  <c r="FP55" i="3"/>
  <c r="EV55" i="3"/>
  <c r="EF55" i="3"/>
  <c r="DL55" i="3"/>
  <c r="CV55" i="3"/>
  <c r="CB55" i="3"/>
  <c r="BL55" i="3"/>
  <c r="AR55" i="3"/>
  <c r="AB55" i="3"/>
  <c r="GP54" i="3"/>
  <c r="FZ54" i="3"/>
  <c r="FF54" i="3"/>
  <c r="EM54" i="3"/>
  <c r="DT54" i="3"/>
  <c r="CX54" i="3"/>
  <c r="CD54" i="3"/>
  <c r="BK54" i="3"/>
  <c r="AM54" i="3"/>
  <c r="GQ53" i="3"/>
  <c r="FD53" i="3"/>
  <c r="DH53" i="3"/>
  <c r="BL53" i="3"/>
  <c r="GX52" i="3"/>
  <c r="FB52" i="3"/>
  <c r="DC52" i="3"/>
  <c r="EI51" i="3"/>
  <c r="EZ50" i="3"/>
  <c r="FQ49" i="3"/>
  <c r="ER48" i="3"/>
  <c r="CO47" i="3"/>
  <c r="FG44" i="3"/>
  <c r="R60" i="3"/>
  <c r="R48" i="3"/>
  <c r="R36" i="3"/>
  <c r="R24" i="3"/>
  <c r="R12" i="3"/>
  <c r="GX60" i="3"/>
  <c r="GL60" i="3"/>
  <c r="FZ60" i="3"/>
  <c r="FN60" i="3"/>
  <c r="FB60" i="3"/>
  <c r="EP60" i="3"/>
  <c r="ED60" i="3"/>
  <c r="DR60" i="3"/>
  <c r="DF60" i="3"/>
  <c r="CT60" i="3"/>
  <c r="CH60" i="3"/>
  <c r="BV60" i="3"/>
  <c r="BJ60" i="3"/>
  <c r="AX60" i="3"/>
  <c r="AL60" i="3"/>
  <c r="Z60" i="3"/>
  <c r="GV59" i="3"/>
  <c r="GJ59" i="3"/>
  <c r="FX59" i="3"/>
  <c r="FL59" i="3"/>
  <c r="EZ59" i="3"/>
  <c r="EN59" i="3"/>
  <c r="EB59" i="3"/>
  <c r="DP59" i="3"/>
  <c r="DD59" i="3"/>
  <c r="CR59" i="3"/>
  <c r="CF59" i="3"/>
  <c r="BT59" i="3"/>
  <c r="BH59" i="3"/>
  <c r="AV59" i="3"/>
  <c r="AJ59" i="3"/>
  <c r="X59" i="3"/>
  <c r="GT58" i="3"/>
  <c r="GG58" i="3"/>
  <c r="FS58" i="3"/>
  <c r="FF58" i="3"/>
  <c r="ES58" i="3"/>
  <c r="EF58" i="3"/>
  <c r="DS58" i="3"/>
  <c r="DE58" i="3"/>
  <c r="CQ58" i="3"/>
  <c r="CC58" i="3"/>
  <c r="BN58" i="3"/>
  <c r="AZ58" i="3"/>
  <c r="AK58" i="3"/>
  <c r="W58" i="3"/>
  <c r="GQ57" i="3"/>
  <c r="GB57" i="3"/>
  <c r="FN57" i="3"/>
  <c r="EY57" i="3"/>
  <c r="EK57" i="3"/>
  <c r="DW57" i="3"/>
  <c r="DH57" i="3"/>
  <c r="CT57" i="3"/>
  <c r="CE57" i="3"/>
  <c r="BQ57" i="3"/>
  <c r="BC57" i="3"/>
  <c r="AN57" i="3"/>
  <c r="Z57" i="3"/>
  <c r="GS56" i="3"/>
  <c r="GE56" i="3"/>
  <c r="FQ56" i="3"/>
  <c r="FB56" i="3"/>
  <c r="EK56" i="3"/>
  <c r="DS56" i="3"/>
  <c r="DA56" i="3"/>
  <c r="CI56" i="3"/>
  <c r="BQ56" i="3"/>
  <c r="AY56" i="3"/>
  <c r="AG56" i="3"/>
  <c r="GW55" i="3"/>
  <c r="GE55" i="3"/>
  <c r="FM55" i="3"/>
  <c r="EU55" i="3"/>
  <c r="EC55" i="3"/>
  <c r="DK55" i="3"/>
  <c r="CS55" i="3"/>
  <c r="CA55" i="3"/>
  <c r="BI55" i="3"/>
  <c r="AQ55" i="3"/>
  <c r="Y55" i="3"/>
  <c r="GO54" i="3"/>
  <c r="FW54" i="3"/>
  <c r="FE54" i="3"/>
  <c r="EL54" i="3"/>
  <c r="DS54" i="3"/>
  <c r="CW54" i="3"/>
  <c r="CC54" i="3"/>
  <c r="BG54" i="3"/>
  <c r="AI54" i="3"/>
  <c r="GN53" i="3"/>
  <c r="FC53" i="3"/>
  <c r="DG53" i="3"/>
  <c r="BK53" i="3"/>
  <c r="GW52" i="3"/>
  <c r="FA52" i="3"/>
  <c r="DB52" i="3"/>
  <c r="DT51" i="3"/>
  <c r="EK50" i="3"/>
  <c r="EZ49" i="3"/>
  <c r="DZ48" i="3"/>
  <c r="BV47" i="3"/>
  <c r="FQ43" i="3"/>
  <c r="R59" i="3"/>
  <c r="R47" i="3"/>
  <c r="R35" i="3"/>
  <c r="R23" i="3"/>
  <c r="R11" i="3"/>
  <c r="GW60" i="3"/>
  <c r="GK60" i="3"/>
  <c r="FY60" i="3"/>
  <c r="FM60" i="3"/>
  <c r="FA60" i="3"/>
  <c r="EO60" i="3"/>
  <c r="EC60" i="3"/>
  <c r="DQ60" i="3"/>
  <c r="DE60" i="3"/>
  <c r="CS60" i="3"/>
  <c r="CG60" i="3"/>
  <c r="BU60" i="3"/>
  <c r="BI60" i="3"/>
  <c r="AW60" i="3"/>
  <c r="AK60" i="3"/>
  <c r="Y60" i="3"/>
  <c r="GU59" i="3"/>
  <c r="GI59" i="3"/>
  <c r="FW59" i="3"/>
  <c r="FK59" i="3"/>
  <c r="EY59" i="3"/>
  <c r="EM59" i="3"/>
  <c r="EA59" i="3"/>
  <c r="DO59" i="3"/>
  <c r="DC59" i="3"/>
  <c r="CQ59" i="3"/>
  <c r="CE59" i="3"/>
  <c r="BS59" i="3"/>
  <c r="BG59" i="3"/>
  <c r="AU59" i="3"/>
  <c r="AI59" i="3"/>
  <c r="W59" i="3"/>
  <c r="GS58" i="3"/>
  <c r="GE58" i="3"/>
  <c r="FR58" i="3"/>
  <c r="FE58" i="3"/>
  <c r="ER58" i="3"/>
  <c r="EE58" i="3"/>
  <c r="DR58" i="3"/>
  <c r="DD58" i="3"/>
  <c r="CP58" i="3"/>
  <c r="CA58" i="3"/>
  <c r="BM58" i="3"/>
  <c r="AX58" i="3"/>
  <c r="AJ58" i="3"/>
  <c r="V58" i="3"/>
  <c r="GO57" i="3"/>
  <c r="GA57" i="3"/>
  <c r="FL57" i="3"/>
  <c r="EX57" i="3"/>
  <c r="EJ57" i="3"/>
  <c r="DU57" i="3"/>
  <c r="DG57" i="3"/>
  <c r="CR57" i="3"/>
  <c r="CD57" i="3"/>
  <c r="BP57" i="3"/>
  <c r="BA57" i="3"/>
  <c r="AM57" i="3"/>
  <c r="X57" i="3"/>
  <c r="GR56" i="3"/>
  <c r="GD56" i="3"/>
  <c r="FO56" i="3"/>
  <c r="FA56" i="3"/>
  <c r="EJ56" i="3"/>
  <c r="DR56" i="3"/>
  <c r="CZ56" i="3"/>
  <c r="CH56" i="3"/>
  <c r="BP56" i="3"/>
  <c r="AX56" i="3"/>
  <c r="AF56" i="3"/>
  <c r="GV55" i="3"/>
  <c r="GD55" i="3"/>
  <c r="FL55" i="3"/>
  <c r="ET55" i="3"/>
  <c r="EB55" i="3"/>
  <c r="DJ55" i="3"/>
  <c r="CR55" i="3"/>
  <c r="BZ55" i="3"/>
  <c r="BH55" i="3"/>
  <c r="AP55" i="3"/>
  <c r="X55" i="3"/>
  <c r="GN54" i="3"/>
  <c r="FV54" i="3"/>
  <c r="FD54" i="3"/>
  <c r="EK54" i="3"/>
  <c r="DO54" i="3"/>
  <c r="CV54" i="3"/>
  <c r="BZ54" i="3"/>
  <c r="BF54" i="3"/>
  <c r="AG54" i="3"/>
  <c r="GM53" i="3"/>
  <c r="EW53" i="3"/>
  <c r="DA53" i="3"/>
  <c r="BE53" i="3"/>
  <c r="GQ52" i="3"/>
  <c r="EU52" i="3"/>
  <c r="CO52" i="3"/>
  <c r="DF51" i="3"/>
  <c r="DW50" i="3"/>
  <c r="EH49" i="3"/>
  <c r="DE48" i="3"/>
  <c r="BA47" i="3"/>
  <c r="EQ42" i="3"/>
  <c r="R58" i="3"/>
  <c r="R46" i="3"/>
  <c r="R34" i="3"/>
  <c r="R22" i="3"/>
  <c r="R10" i="3"/>
  <c r="GV60" i="3"/>
  <c r="GJ60" i="3"/>
  <c r="FX60" i="3"/>
  <c r="FL60" i="3"/>
  <c r="EZ60" i="3"/>
  <c r="EN60" i="3"/>
  <c r="EB60" i="3"/>
  <c r="DP60" i="3"/>
  <c r="DD60" i="3"/>
  <c r="CR60" i="3"/>
  <c r="CF60" i="3"/>
  <c r="BT60" i="3"/>
  <c r="BH60" i="3"/>
  <c r="AV60" i="3"/>
  <c r="AJ60" i="3"/>
  <c r="X60" i="3"/>
  <c r="GT59" i="3"/>
  <c r="GH59" i="3"/>
  <c r="FV59" i="3"/>
  <c r="FJ59" i="3"/>
  <c r="EX59" i="3"/>
  <c r="EL59" i="3"/>
  <c r="DZ59" i="3"/>
  <c r="DN59" i="3"/>
  <c r="DB59" i="3"/>
  <c r="CP59" i="3"/>
  <c r="CD59" i="3"/>
  <c r="BR59" i="3"/>
  <c r="BF59" i="3"/>
  <c r="AT59" i="3"/>
  <c r="AH59" i="3"/>
  <c r="V59" i="3"/>
  <c r="GQ58" i="3"/>
  <c r="GD58" i="3"/>
  <c r="FQ58" i="3"/>
  <c r="FD58" i="3"/>
  <c r="EQ58" i="3"/>
  <c r="ED58" i="3"/>
  <c r="DQ58" i="3"/>
  <c r="DC58" i="3"/>
  <c r="CO58" i="3"/>
  <c r="BZ58" i="3"/>
  <c r="BL58" i="3"/>
  <c r="AW58" i="3"/>
  <c r="AI58" i="3"/>
  <c r="U58" i="3"/>
  <c r="GN57" i="3"/>
  <c r="FZ57" i="3"/>
  <c r="FK57" i="3"/>
  <c r="EW57" i="3"/>
  <c r="EI57" i="3"/>
  <c r="DT57" i="3"/>
  <c r="DF57" i="3"/>
  <c r="CQ57" i="3"/>
  <c r="CC57" i="3"/>
  <c r="BO57" i="3"/>
  <c r="AZ57" i="3"/>
  <c r="AL57" i="3"/>
  <c r="W57" i="3"/>
  <c r="GQ56" i="3"/>
  <c r="GC56" i="3"/>
  <c r="FN56" i="3"/>
  <c r="EZ56" i="3"/>
  <c r="EI56" i="3"/>
  <c r="DQ56" i="3"/>
  <c r="CY56" i="3"/>
  <c r="CG56" i="3"/>
  <c r="BO56" i="3"/>
  <c r="AW56" i="3"/>
  <c r="AE56" i="3"/>
  <c r="GU55" i="3"/>
  <c r="GC55" i="3"/>
  <c r="FK55" i="3"/>
  <c r="ES55" i="3"/>
  <c r="EA55" i="3"/>
  <c r="DI55" i="3"/>
  <c r="CQ55" i="3"/>
  <c r="BY55" i="3"/>
  <c r="BG55" i="3"/>
  <c r="AO55" i="3"/>
  <c r="W55" i="3"/>
  <c r="GM54" i="3"/>
  <c r="FU54" i="3"/>
  <c r="FC54" i="3"/>
  <c r="EH54" i="3"/>
  <c r="DN54" i="3"/>
  <c r="CU54" i="3"/>
  <c r="BY54" i="3"/>
  <c r="BE54" i="3"/>
  <c r="AD54" i="3"/>
  <c r="GK53" i="3"/>
  <c r="ER53" i="3"/>
  <c r="CV53" i="3"/>
  <c r="AZ53" i="3"/>
  <c r="GL52" i="3"/>
  <c r="EP52" i="3"/>
  <c r="BZ52" i="3"/>
  <c r="CQ51" i="3"/>
  <c r="DI50" i="3"/>
  <c r="DP49" i="3"/>
  <c r="CK48" i="3"/>
  <c r="AF47" i="3"/>
  <c r="GZ40" i="3"/>
  <c r="B55" i="2"/>
  <c r="B43" i="2"/>
  <c r="B31" i="2"/>
  <c r="B7" i="2"/>
  <c r="B19" i="2"/>
  <c r="B54" i="2"/>
  <c r="B42" i="2"/>
  <c r="B30" i="2"/>
  <c r="B18" i="2"/>
  <c r="B6" i="2"/>
  <c r="B53" i="2"/>
  <c r="B41" i="2"/>
  <c r="B29" i="2"/>
  <c r="B17" i="2"/>
  <c r="B5" i="2"/>
  <c r="B44" i="2"/>
  <c r="B52" i="2"/>
  <c r="B40" i="2"/>
  <c r="B28" i="2"/>
  <c r="B16" i="2"/>
  <c r="B4" i="2"/>
  <c r="B51" i="2"/>
  <c r="B39" i="2"/>
  <c r="B27" i="2"/>
  <c r="B15" i="2"/>
  <c r="B3" i="2"/>
  <c r="B50" i="2"/>
  <c r="B38" i="2"/>
  <c r="B26" i="2"/>
  <c r="B14" i="2"/>
  <c r="B2" i="2"/>
  <c r="B20" i="2"/>
  <c r="B49" i="2"/>
  <c r="B37" i="2"/>
  <c r="B25" i="2"/>
  <c r="B13" i="2"/>
  <c r="B45" i="2"/>
  <c r="B32" i="2"/>
  <c r="B60" i="2"/>
  <c r="B48" i="2"/>
  <c r="B36" i="2"/>
  <c r="B24" i="2"/>
  <c r="B12" i="2"/>
  <c r="B59" i="2"/>
  <c r="B47" i="2"/>
  <c r="B35" i="2"/>
  <c r="B23" i="2"/>
  <c r="B11" i="2"/>
  <c r="B57" i="2"/>
  <c r="B33" i="2"/>
  <c r="B21" i="2"/>
  <c r="B9" i="2"/>
  <c r="B56" i="2"/>
  <c r="B8" i="2"/>
  <c r="B58" i="2"/>
  <c r="B46" i="2"/>
  <c r="B34" i="2"/>
  <c r="B22" i="2"/>
  <c r="B10" i="2"/>
  <c r="R81" i="3" l="1" a="1"/>
  <c r="R81" i="3" s="1"/>
  <c r="R106" i="3" a="1"/>
  <c r="R106" i="3" s="1"/>
  <c r="R107" i="3" a="1"/>
  <c r="R107" i="3" s="1"/>
  <c r="R108" i="3" a="1"/>
  <c r="R108" i="3" s="1"/>
  <c r="R109" i="3" a="1"/>
  <c r="R109" i="3" s="1"/>
  <c r="R118" i="3" a="1"/>
  <c r="R118" i="3" s="1"/>
  <c r="R119" i="3" a="1"/>
  <c r="R119" i="3" s="1"/>
  <c r="R120" i="3" a="1"/>
  <c r="R120" i="3" s="1"/>
  <c r="R67" i="3" a="1"/>
  <c r="R67" i="3" s="1"/>
  <c r="R80" i="3" a="1"/>
  <c r="R80" i="3" s="1"/>
  <c r="R68" i="3" a="1"/>
  <c r="R68" i="3" s="1"/>
  <c r="R66" i="3" a="1"/>
  <c r="R66" i="3" s="1"/>
  <c r="R79" i="3" a="1"/>
  <c r="R79" i="3" s="1"/>
  <c r="R92" i="3" a="1"/>
  <c r="R92" i="3" s="1"/>
  <c r="R117" i="3" a="1"/>
  <c r="R117" i="3" s="1"/>
  <c r="R65" i="3" a="1"/>
  <c r="R65" i="3" s="1"/>
  <c r="R78" i="3" a="1"/>
  <c r="R78" i="3" s="1"/>
  <c r="R91" i="3" a="1"/>
  <c r="R91" i="3" s="1"/>
  <c r="R104" i="3" a="1"/>
  <c r="R104" i="3" s="1"/>
  <c r="R93" i="3" a="1"/>
  <c r="R93" i="3" s="1"/>
  <c r="R64" i="3" a="1"/>
  <c r="R64" i="3" s="1"/>
  <c r="R77" i="3" a="1"/>
  <c r="R77" i="3" s="1"/>
  <c r="R90" i="3" a="1"/>
  <c r="R90" i="3" s="1"/>
  <c r="R103" i="3" a="1"/>
  <c r="R103" i="3" s="1"/>
  <c r="R116" i="3" a="1"/>
  <c r="R116" i="3" s="1"/>
  <c r="R76" i="3" a="1"/>
  <c r="R76" i="3" s="1"/>
  <c r="R89" i="3" a="1"/>
  <c r="R89" i="3" s="1"/>
  <c r="R102" i="3" a="1"/>
  <c r="R102" i="3" s="1"/>
  <c r="R115" i="3" a="1"/>
  <c r="R115" i="3" s="1"/>
  <c r="R63" i="3" a="1"/>
  <c r="R63" i="3" s="1"/>
  <c r="R88" i="3" a="1"/>
  <c r="R88" i="3" s="1"/>
  <c r="R101" i="3" a="1"/>
  <c r="R101" i="3" s="1"/>
  <c r="R114" i="3" a="1"/>
  <c r="R114" i="3" s="1"/>
  <c r="R75" i="3" a="1"/>
  <c r="R75" i="3" s="1"/>
  <c r="R100" i="3" a="1"/>
  <c r="R100" i="3" s="1"/>
  <c r="R113" i="3" a="1"/>
  <c r="R113" i="3" s="1"/>
  <c r="R74" i="3" a="1"/>
  <c r="R74" i="3" s="1"/>
  <c r="R87" i="3" a="1"/>
  <c r="R87" i="3" s="1"/>
  <c r="R112" i="3" a="1"/>
  <c r="R112" i="3" s="1"/>
  <c r="R70" i="3" a="1"/>
  <c r="R70" i="3" s="1"/>
  <c r="R69" i="3" a="1"/>
  <c r="R69" i="3" s="1"/>
  <c r="R72" i="3" a="1"/>
  <c r="R72" i="3" s="1"/>
  <c r="R73" i="3" a="1"/>
  <c r="R73" i="3" s="1"/>
  <c r="R86" i="3" a="1"/>
  <c r="R86" i="3" s="1"/>
  <c r="R82" i="3" a="1"/>
  <c r="R82" i="3" s="1"/>
  <c r="R83" i="3" a="1"/>
  <c r="R83" i="3" s="1"/>
  <c r="R84" i="3" a="1"/>
  <c r="R84" i="3" s="1"/>
  <c r="R85" i="3" a="1"/>
  <c r="R85" i="3" s="1"/>
  <c r="R98" i="3" a="1"/>
  <c r="R98" i="3" s="1"/>
  <c r="R111" i="3" a="1"/>
  <c r="R111" i="3" s="1"/>
  <c r="AC2" i="3"/>
  <c r="AO2" i="3"/>
  <c r="Q62" i="3" a="1"/>
  <c r="Q62" i="3" s="1"/>
  <c r="AD2" i="3"/>
  <c r="AP2" i="3"/>
  <c r="BB2" i="3"/>
  <c r="BN2" i="3"/>
  <c r="BZ2" i="3"/>
  <c r="CL2" i="3"/>
  <c r="CX2" i="3"/>
  <c r="DJ2" i="3"/>
  <c r="DV2" i="3"/>
  <c r="EH2" i="3"/>
  <c r="ET2" i="3"/>
  <c r="FF2" i="3"/>
  <c r="FR2" i="3"/>
  <c r="GD2" i="3"/>
  <c r="GP2" i="3"/>
  <c r="V2" i="3"/>
  <c r="AH2" i="3"/>
  <c r="AT2" i="3"/>
  <c r="BF2" i="3"/>
  <c r="BR2" i="3"/>
  <c r="CD2" i="3"/>
  <c r="CP2" i="3"/>
  <c r="DB2" i="3"/>
  <c r="DN2" i="3"/>
  <c r="DZ2" i="3"/>
  <c r="EL2" i="3"/>
  <c r="EX2" i="3"/>
  <c r="FJ2" i="3"/>
  <c r="FV2" i="3"/>
  <c r="GH2" i="3"/>
  <c r="GT2" i="3"/>
  <c r="X2" i="3"/>
  <c r="AJ2" i="3"/>
  <c r="AV2" i="3"/>
  <c r="BH2" i="3"/>
  <c r="BT2" i="3"/>
  <c r="CF2" i="3"/>
  <c r="CR2" i="3"/>
  <c r="DD2" i="3"/>
  <c r="DP2" i="3"/>
  <c r="EB2" i="3"/>
  <c r="EN2" i="3"/>
  <c r="EZ2" i="3"/>
  <c r="FL2" i="3"/>
  <c r="FX2" i="3"/>
  <c r="GJ2" i="3"/>
  <c r="GV2" i="3"/>
  <c r="AA2" i="3"/>
  <c r="AS2" i="3"/>
  <c r="BJ2" i="3"/>
  <c r="BY2" i="3"/>
  <c r="CO2" i="3"/>
  <c r="DF2" i="3"/>
  <c r="DU2" i="3"/>
  <c r="EK2" i="3"/>
  <c r="FB2" i="3"/>
  <c r="FQ2" i="3"/>
  <c r="GG2" i="3"/>
  <c r="GX2" i="3"/>
  <c r="AI2" i="3"/>
  <c r="AZ2" i="3"/>
  <c r="BP2" i="3"/>
  <c r="CG2" i="3"/>
  <c r="CV2" i="3"/>
  <c r="DL2" i="3"/>
  <c r="EC2" i="3"/>
  <c r="ER2" i="3"/>
  <c r="FH2" i="3"/>
  <c r="FY2" i="3"/>
  <c r="GN2" i="3"/>
  <c r="S2" i="3"/>
  <c r="AK2" i="3"/>
  <c r="BA2" i="3"/>
  <c r="BQ2" i="3"/>
  <c r="CH2" i="3"/>
  <c r="CW2" i="3"/>
  <c r="DM2" i="3"/>
  <c r="ED2" i="3"/>
  <c r="ES2" i="3"/>
  <c r="FI2" i="3"/>
  <c r="FZ2" i="3"/>
  <c r="GO2" i="3"/>
  <c r="T2" i="3"/>
  <c r="AL2" i="3"/>
  <c r="BC2" i="3"/>
  <c r="BS2" i="3"/>
  <c r="CI2" i="3"/>
  <c r="CY2" i="3"/>
  <c r="DO2" i="3"/>
  <c r="EE2" i="3"/>
  <c r="EU2" i="3"/>
  <c r="FK2" i="3"/>
  <c r="GA2" i="3"/>
  <c r="GQ2" i="3"/>
  <c r="U2" i="3"/>
  <c r="AM2" i="3"/>
  <c r="BD2" i="3"/>
  <c r="BU2" i="3"/>
  <c r="CJ2" i="3"/>
  <c r="CZ2" i="3"/>
  <c r="DQ2" i="3"/>
  <c r="W2" i="3"/>
  <c r="AN2" i="3"/>
  <c r="BE2" i="3"/>
  <c r="BV2" i="3"/>
  <c r="CK2" i="3"/>
  <c r="DA2" i="3"/>
  <c r="Z2" i="3"/>
  <c r="AR2" i="3"/>
  <c r="BI2" i="3"/>
  <c r="BX2" i="3"/>
  <c r="CN2" i="3"/>
  <c r="DE2" i="3"/>
  <c r="DT2" i="3"/>
  <c r="EJ2" i="3"/>
  <c r="FA2" i="3"/>
  <c r="FP2" i="3"/>
  <c r="GF2" i="3"/>
  <c r="GW2" i="3"/>
  <c r="Y2" i="3"/>
  <c r="BL2" i="3"/>
  <c r="CU2" i="3"/>
  <c r="EF2" i="3"/>
  <c r="FE2" i="3"/>
  <c r="GI2" i="3"/>
  <c r="AG2" i="3"/>
  <c r="CA2" i="3"/>
  <c r="DI2" i="3"/>
  <c r="EO2" i="3"/>
  <c r="FO2" i="3"/>
  <c r="GR2" i="3"/>
  <c r="AU2" i="3"/>
  <c r="CC2" i="3"/>
  <c r="DR2" i="3"/>
  <c r="EQ2" i="3"/>
  <c r="FT2" i="3"/>
  <c r="GU2" i="3"/>
  <c r="AW2" i="3"/>
  <c r="CE2" i="3"/>
  <c r="DS2" i="3"/>
  <c r="EV2" i="3"/>
  <c r="FU2" i="3"/>
  <c r="GY2" i="3"/>
  <c r="BG2" i="3"/>
  <c r="CS2" i="3"/>
  <c r="DY2" i="3"/>
  <c r="FC2" i="3"/>
  <c r="GC2" i="3"/>
  <c r="AB2" i="3"/>
  <c r="CQ2" i="3"/>
  <c r="EP2" i="3"/>
  <c r="GL2" i="3"/>
  <c r="AY2" i="3"/>
  <c r="DK2" i="3"/>
  <c r="FM2" i="3"/>
  <c r="BK2" i="3"/>
  <c r="DW2" i="3"/>
  <c r="FN2" i="3"/>
  <c r="BM2" i="3"/>
  <c r="DX2" i="3"/>
  <c r="FS2" i="3"/>
  <c r="CM2" i="3"/>
  <c r="EM2" i="3"/>
  <c r="GK2" i="3"/>
  <c r="AE2" i="3"/>
  <c r="EG2" i="3"/>
  <c r="BO2" i="3"/>
  <c r="FD2" i="3"/>
  <c r="CB2" i="3"/>
  <c r="FW2" i="3"/>
  <c r="CT2" i="3"/>
  <c r="GB2" i="3"/>
  <c r="DG2" i="3"/>
  <c r="GM2" i="3"/>
  <c r="EA2" i="3"/>
  <c r="GZ2" i="3"/>
  <c r="AF2" i="3"/>
  <c r="AQ2" i="3"/>
  <c r="AX2" i="3"/>
  <c r="BW2" i="3"/>
  <c r="DC2" i="3"/>
  <c r="DH2" i="3"/>
  <c r="EI2" i="3"/>
  <c r="EW2" i="3"/>
  <c r="EY2" i="3"/>
  <c r="FG2" i="3"/>
  <c r="GE2" i="3"/>
  <c r="GS2" i="3"/>
  <c r="R2" i="3"/>
  <c r="R71" i="3" a="1"/>
  <c r="R71" i="3" s="1"/>
  <c r="R99" i="3" a="1"/>
  <c r="R99" i="3" s="1"/>
  <c r="R94" i="3" a="1"/>
  <c r="R94" i="3" s="1"/>
  <c r="R95" i="3" a="1"/>
  <c r="R95" i="3" s="1"/>
  <c r="R96" i="3" a="1"/>
  <c r="R96" i="3" s="1"/>
  <c r="R97" i="3" a="1"/>
  <c r="R97" i="3" s="1"/>
  <c r="R110" i="3" a="1"/>
  <c r="R110" i="3" s="1"/>
  <c r="R105" i="3" a="1"/>
  <c r="R105" i="3" s="1"/>
  <c r="D25" i="2" a="1"/>
  <c r="D25" i="2" s="1"/>
  <c r="C25" i="2" a="1"/>
  <c r="C25" i="2" s="1"/>
  <c r="D57" i="2" a="1"/>
  <c r="D57" i="2" s="1"/>
  <c r="C57" i="2" a="1"/>
  <c r="C57" i="2" s="1"/>
  <c r="D15" i="2" a="1"/>
  <c r="D15" i="2" s="1"/>
  <c r="C15" i="2" a="1"/>
  <c r="C15" i="2" s="1"/>
  <c r="C11" i="2" a="1"/>
  <c r="C11" i="2" s="1"/>
  <c r="D11" i="2" a="1"/>
  <c r="D11" i="2" s="1"/>
  <c r="C13" i="2" a="1"/>
  <c r="C13" i="2" s="1"/>
  <c r="D13" i="2" a="1"/>
  <c r="D13" i="2" s="1"/>
  <c r="D27" i="2" a="1"/>
  <c r="D27" i="2" s="1"/>
  <c r="C27" i="2" a="1"/>
  <c r="C27" i="2" s="1"/>
  <c r="C41" i="2" a="1"/>
  <c r="C41" i="2" s="1"/>
  <c r="D41" i="2" a="1"/>
  <c r="D41" i="2" s="1"/>
  <c r="C10" i="2" a="1"/>
  <c r="C10" i="2" s="1"/>
  <c r="D10" i="2" a="1"/>
  <c r="D10" i="2" s="1"/>
  <c r="D35" i="2" a="1"/>
  <c r="D35" i="2" s="1"/>
  <c r="C35" i="2" a="1"/>
  <c r="C35" i="2" s="1"/>
  <c r="D37" i="2" a="1"/>
  <c r="D37" i="2" s="1"/>
  <c r="C37" i="2" a="1"/>
  <c r="C37" i="2" s="1"/>
  <c r="C51" i="2" a="1"/>
  <c r="C51" i="2" s="1"/>
  <c r="D51" i="2" a="1"/>
  <c r="D51" i="2" s="1"/>
  <c r="D6" i="2" a="1"/>
  <c r="D6" i="2" s="1"/>
  <c r="C6" i="2" a="1"/>
  <c r="C6" i="2" s="1"/>
  <c r="D34" i="2" a="1"/>
  <c r="D34" i="2" s="1"/>
  <c r="C34" i="2" a="1"/>
  <c r="C34" i="2" s="1"/>
  <c r="C47" i="2" a="1"/>
  <c r="C47" i="2" s="1"/>
  <c r="D47" i="2" a="1"/>
  <c r="D47" i="2" s="1"/>
  <c r="C49" i="2" a="1"/>
  <c r="C49" i="2" s="1"/>
  <c r="D49" i="2" a="1"/>
  <c r="D49" i="2" s="1"/>
  <c r="D4" i="2" a="1"/>
  <c r="D4" i="2" s="1"/>
  <c r="C4" i="2" a="1"/>
  <c r="C4" i="2" s="1"/>
  <c r="D18" i="2" a="1"/>
  <c r="D18" i="2" s="1"/>
  <c r="C18" i="2" a="1"/>
  <c r="C18" i="2" s="1"/>
  <c r="C46" i="2" a="1"/>
  <c r="C46" i="2" s="1"/>
  <c r="D46" i="2" a="1"/>
  <c r="D46" i="2" s="1"/>
  <c r="C59" i="2" a="1"/>
  <c r="C59" i="2" s="1"/>
  <c r="D59" i="2" a="1"/>
  <c r="D59" i="2" s="1"/>
  <c r="D20" i="2" a="1"/>
  <c r="D20" i="2" s="1"/>
  <c r="C20" i="2" a="1"/>
  <c r="C20" i="2" s="1"/>
  <c r="D16" i="2" a="1"/>
  <c r="D16" i="2" s="1"/>
  <c r="C16" i="2" a="1"/>
  <c r="C16" i="2" s="1"/>
  <c r="D30" i="2" a="1"/>
  <c r="D30" i="2" s="1"/>
  <c r="C30" i="2" a="1"/>
  <c r="C30" i="2" s="1"/>
  <c r="C58" i="2" a="1"/>
  <c r="C58" i="2" s="1"/>
  <c r="D58" i="2" a="1"/>
  <c r="D58" i="2" s="1"/>
  <c r="C12" i="2" a="1"/>
  <c r="C12" i="2" s="1"/>
  <c r="D12" i="2" a="1"/>
  <c r="D12" i="2" s="1"/>
  <c r="C2" i="2" a="1"/>
  <c r="C2" i="2" s="1"/>
  <c r="D2" i="2" a="1"/>
  <c r="D2" i="2" s="1"/>
  <c r="D28" i="2" a="1"/>
  <c r="D28" i="2" s="1"/>
  <c r="C28" i="2" a="1"/>
  <c r="C28" i="2" s="1"/>
  <c r="C42" i="2" a="1"/>
  <c r="C42" i="2" s="1"/>
  <c r="D42" i="2" a="1"/>
  <c r="D42" i="2" s="1"/>
  <c r="C22" i="2" a="1"/>
  <c r="C22" i="2" s="1"/>
  <c r="D22" i="2" a="1"/>
  <c r="D22" i="2" s="1"/>
  <c r="D8" i="2" a="1"/>
  <c r="D8" i="2" s="1"/>
  <c r="C8" i="2" a="1"/>
  <c r="C8" i="2" s="1"/>
  <c r="D24" i="2" a="1"/>
  <c r="D24" i="2" s="1"/>
  <c r="C24" i="2" a="1"/>
  <c r="C24" i="2" s="1"/>
  <c r="D14" i="2" a="1"/>
  <c r="D14" i="2" s="1"/>
  <c r="C14" i="2" a="1"/>
  <c r="C14" i="2" s="1"/>
  <c r="C40" i="2" a="1"/>
  <c r="C40" i="2" s="1"/>
  <c r="D40" i="2" a="1"/>
  <c r="D40" i="2" s="1"/>
  <c r="C54" i="2" a="1"/>
  <c r="C54" i="2" s="1"/>
  <c r="D54" i="2" a="1"/>
  <c r="D54" i="2" s="1"/>
  <c r="C56" i="2" a="1"/>
  <c r="C56" i="2" s="1"/>
  <c r="D56" i="2" a="1"/>
  <c r="D56" i="2" s="1"/>
  <c r="D36" i="2" a="1"/>
  <c r="D36" i="2" s="1"/>
  <c r="C36" i="2" a="1"/>
  <c r="C36" i="2" s="1"/>
  <c r="D26" i="2" a="1"/>
  <c r="D26" i="2" s="1"/>
  <c r="C26" i="2" a="1"/>
  <c r="C26" i="2" s="1"/>
  <c r="C52" i="2" a="1"/>
  <c r="C52" i="2" s="1"/>
  <c r="D52" i="2" a="1"/>
  <c r="D52" i="2" s="1"/>
  <c r="D19" i="2" a="1"/>
  <c r="D19" i="2" s="1"/>
  <c r="C19" i="2" a="1"/>
  <c r="C19" i="2" s="1"/>
  <c r="C48" i="2" a="1"/>
  <c r="C48" i="2" s="1"/>
  <c r="D48" i="2" a="1"/>
  <c r="D48" i="2" s="1"/>
  <c r="D38" i="2" a="1"/>
  <c r="D38" i="2" s="1"/>
  <c r="C38" i="2" a="1"/>
  <c r="C38" i="2" s="1"/>
  <c r="D44" i="2" a="1"/>
  <c r="D44" i="2" s="1"/>
  <c r="C44" i="2" a="1"/>
  <c r="C44" i="2" s="1"/>
  <c r="D7" i="2" a="1"/>
  <c r="D7" i="2" s="1"/>
  <c r="C7" i="2" a="1"/>
  <c r="C7" i="2" s="1"/>
  <c r="D23" i="2" a="1"/>
  <c r="D23" i="2" s="1"/>
  <c r="C23" i="2" a="1"/>
  <c r="C23" i="2" s="1"/>
  <c r="C21" i="2" a="1"/>
  <c r="C21" i="2" s="1"/>
  <c r="D21" i="2" a="1"/>
  <c r="D21" i="2" s="1"/>
  <c r="C60" i="2" a="1"/>
  <c r="C60" i="2" s="1"/>
  <c r="D60" i="2" a="1"/>
  <c r="D60" i="2" s="1"/>
  <c r="C50" i="2" a="1"/>
  <c r="C50" i="2" s="1"/>
  <c r="D50" i="2" a="1"/>
  <c r="D50" i="2" s="1"/>
  <c r="D5" i="2" a="1"/>
  <c r="D5" i="2" s="1"/>
  <c r="C5" i="2" a="1"/>
  <c r="C5" i="2" s="1"/>
  <c r="D31" i="2" a="1"/>
  <c r="D31" i="2" s="1"/>
  <c r="C31" i="2" a="1"/>
  <c r="C31" i="2" s="1"/>
  <c r="C53" i="2" a="1"/>
  <c r="C53" i="2" s="1"/>
  <c r="D53" i="2" a="1"/>
  <c r="D53" i="2" s="1"/>
  <c r="D33" i="2" a="1"/>
  <c r="D33" i="2" s="1"/>
  <c r="C33" i="2" a="1"/>
  <c r="C33" i="2" s="1"/>
  <c r="C32" i="2" a="1"/>
  <c r="C32" i="2" s="1"/>
  <c r="D32" i="2" a="1"/>
  <c r="D32" i="2" s="1"/>
  <c r="D3" i="2" a="1"/>
  <c r="D3" i="2" s="1"/>
  <c r="C3" i="2" a="1"/>
  <c r="C3" i="2" s="1"/>
  <c r="D17" i="2" a="1"/>
  <c r="D17" i="2" s="1"/>
  <c r="C17" i="2" a="1"/>
  <c r="C17" i="2" s="1"/>
  <c r="D43" i="2" a="1"/>
  <c r="D43" i="2" s="1"/>
  <c r="C43" i="2" a="1"/>
  <c r="C43" i="2" s="1"/>
  <c r="C39" i="2" a="1"/>
  <c r="C39" i="2" s="1"/>
  <c r="D39" i="2" a="1"/>
  <c r="D39" i="2" s="1"/>
  <c r="D9" i="2" a="1"/>
  <c r="D9" i="2" s="1"/>
  <c r="C9" i="2" a="1"/>
  <c r="C9" i="2" s="1"/>
  <c r="D45" i="2" a="1"/>
  <c r="D45" i="2" s="1"/>
  <c r="C45" i="2" a="1"/>
  <c r="C45" i="2" s="1"/>
  <c r="D29" i="2" a="1"/>
  <c r="D29" i="2" s="1"/>
  <c r="C29" i="2" a="1"/>
  <c r="C29" i="2" s="1"/>
  <c r="D55" i="2" a="1"/>
  <c r="D55" i="2" s="1"/>
  <c r="C55" i="2" a="1"/>
  <c r="C55" i="2" s="1"/>
  <c r="P84" i="3" l="1"/>
  <c r="K84" i="3"/>
  <c r="L84" i="3"/>
  <c r="N84" i="3"/>
  <c r="K85" i="3"/>
  <c r="L85" i="3"/>
  <c r="M85" i="3" s="1"/>
  <c r="N85" i="3"/>
  <c r="P85" i="3"/>
  <c r="N113" i="3"/>
  <c r="P113" i="3"/>
  <c r="L113" i="3"/>
  <c r="K113" i="3"/>
  <c r="P103" i="3"/>
  <c r="K103" i="3"/>
  <c r="L103" i="3"/>
  <c r="M103" i="3" s="1"/>
  <c r="N103" i="3"/>
  <c r="K66" i="3"/>
  <c r="L66" i="3"/>
  <c r="N66" i="3"/>
  <c r="P66" i="3"/>
  <c r="K68" i="3"/>
  <c r="L68" i="3"/>
  <c r="M68" i="3" s="1"/>
  <c r="N68" i="3"/>
  <c r="P68" i="3"/>
  <c r="K83" i="3"/>
  <c r="L83" i="3"/>
  <c r="M83" i="3" s="1"/>
  <c r="N83" i="3"/>
  <c r="P83" i="3"/>
  <c r="K75" i="3"/>
  <c r="L75" i="3"/>
  <c r="M75" i="3" s="1"/>
  <c r="N75" i="3"/>
  <c r="P75" i="3"/>
  <c r="N77" i="3"/>
  <c r="P77" i="3"/>
  <c r="L77" i="3"/>
  <c r="K77" i="3"/>
  <c r="K80" i="3"/>
  <c r="L80" i="3"/>
  <c r="M80" i="3" s="1"/>
  <c r="N80" i="3"/>
  <c r="P80" i="3"/>
  <c r="L110" i="3"/>
  <c r="M110" i="3" s="1"/>
  <c r="P110" i="3"/>
  <c r="K110" i="3"/>
  <c r="N110" i="3"/>
  <c r="L82" i="3"/>
  <c r="M82" i="3" s="1"/>
  <c r="N82" i="3"/>
  <c r="P82" i="3"/>
  <c r="K82" i="3"/>
  <c r="K114" i="3"/>
  <c r="L114" i="3"/>
  <c r="M114" i="3" s="1"/>
  <c r="N114" i="3"/>
  <c r="P114" i="3"/>
  <c r="K64" i="3"/>
  <c r="L64" i="3"/>
  <c r="M64" i="3" s="1"/>
  <c r="N64" i="3"/>
  <c r="P64" i="3"/>
  <c r="P67" i="3"/>
  <c r="K67" i="3"/>
  <c r="L67" i="3"/>
  <c r="M67" i="3" s="1"/>
  <c r="N67" i="3"/>
  <c r="L86" i="3"/>
  <c r="K86" i="3"/>
  <c r="N86" i="3"/>
  <c r="P86" i="3"/>
  <c r="N101" i="3"/>
  <c r="P101" i="3"/>
  <c r="L101" i="3"/>
  <c r="K101" i="3"/>
  <c r="K93" i="3"/>
  <c r="L93" i="3"/>
  <c r="M93" i="3" s="1"/>
  <c r="N93" i="3"/>
  <c r="P93" i="3"/>
  <c r="P120" i="3"/>
  <c r="N120" i="3"/>
  <c r="K120" i="3"/>
  <c r="L120" i="3"/>
  <c r="M120" i="3" s="1"/>
  <c r="P96" i="3"/>
  <c r="N96" i="3"/>
  <c r="K96" i="3"/>
  <c r="L96" i="3"/>
  <c r="K73" i="3"/>
  <c r="L73" i="3"/>
  <c r="N73" i="3"/>
  <c r="P73" i="3"/>
  <c r="K88" i="3"/>
  <c r="L88" i="3"/>
  <c r="M88" i="3" s="1"/>
  <c r="N88" i="3"/>
  <c r="P88" i="3"/>
  <c r="K104" i="3"/>
  <c r="L104" i="3"/>
  <c r="N104" i="3"/>
  <c r="P104" i="3"/>
  <c r="K119" i="3"/>
  <c r="P119" i="3"/>
  <c r="L119" i="3"/>
  <c r="N119" i="3"/>
  <c r="K97" i="3"/>
  <c r="L97" i="3"/>
  <c r="M97" i="3" s="1"/>
  <c r="N97" i="3"/>
  <c r="P97" i="3"/>
  <c r="K95" i="3"/>
  <c r="L95" i="3"/>
  <c r="M95" i="3" s="1"/>
  <c r="N95" i="3"/>
  <c r="P95" i="3"/>
  <c r="N72" i="3"/>
  <c r="P72" i="3"/>
  <c r="K72" i="3"/>
  <c r="L72" i="3"/>
  <c r="M72" i="3" s="1"/>
  <c r="K63" i="3"/>
  <c r="L63" i="3"/>
  <c r="M63" i="3" s="1"/>
  <c r="N63" i="3"/>
  <c r="P63" i="3"/>
  <c r="P91" i="3"/>
  <c r="K91" i="3"/>
  <c r="L91" i="3"/>
  <c r="M91" i="3" s="1"/>
  <c r="N91" i="3"/>
  <c r="L118" i="3"/>
  <c r="M118" i="3" s="1"/>
  <c r="N118" i="3"/>
  <c r="P118" i="3"/>
  <c r="K118" i="3"/>
  <c r="N105" i="3"/>
  <c r="K105" i="3"/>
  <c r="L105" i="3"/>
  <c r="M105" i="3" s="1"/>
  <c r="P105" i="3"/>
  <c r="L94" i="3"/>
  <c r="M94" i="3" s="1"/>
  <c r="N94" i="3"/>
  <c r="P94" i="3"/>
  <c r="K94" i="3"/>
  <c r="K69" i="3"/>
  <c r="N69" i="3"/>
  <c r="L69" i="3"/>
  <c r="M69" i="3" s="1"/>
  <c r="P69" i="3"/>
  <c r="P115" i="3"/>
  <c r="K115" i="3"/>
  <c r="L115" i="3"/>
  <c r="M115" i="3" s="1"/>
  <c r="N115" i="3"/>
  <c r="K78" i="3"/>
  <c r="L78" i="3"/>
  <c r="N78" i="3"/>
  <c r="P78" i="3"/>
  <c r="K109" i="3"/>
  <c r="L109" i="3"/>
  <c r="M109" i="3" s="1"/>
  <c r="N109" i="3"/>
  <c r="P109" i="3"/>
  <c r="K99" i="3"/>
  <c r="L99" i="3"/>
  <c r="M99" i="3" s="1"/>
  <c r="N99" i="3"/>
  <c r="P99" i="3"/>
  <c r="L70" i="3"/>
  <c r="N70" i="3"/>
  <c r="P70" i="3"/>
  <c r="K70" i="3"/>
  <c r="K102" i="3"/>
  <c r="L102" i="3"/>
  <c r="N102" i="3"/>
  <c r="P102" i="3"/>
  <c r="N65" i="3"/>
  <c r="P65" i="3"/>
  <c r="L65" i="3"/>
  <c r="K65" i="3"/>
  <c r="P108" i="3"/>
  <c r="K108" i="3"/>
  <c r="L108" i="3"/>
  <c r="N108" i="3"/>
  <c r="K90" i="3"/>
  <c r="L90" i="3"/>
  <c r="M90" i="3" s="1"/>
  <c r="N90" i="3"/>
  <c r="P90" i="3"/>
  <c r="K112" i="3"/>
  <c r="L112" i="3"/>
  <c r="M112" i="3" s="1"/>
  <c r="N112" i="3"/>
  <c r="P112" i="3"/>
  <c r="N89" i="3"/>
  <c r="P89" i="3"/>
  <c r="L89" i="3"/>
  <c r="M89" i="3" s="1"/>
  <c r="K89" i="3"/>
  <c r="N117" i="3"/>
  <c r="K117" i="3"/>
  <c r="L117" i="3"/>
  <c r="M117" i="3" s="1"/>
  <c r="P117" i="3"/>
  <c r="P107" i="3"/>
  <c r="K107" i="3"/>
  <c r="L107" i="3"/>
  <c r="N107" i="3"/>
  <c r="P71" i="3"/>
  <c r="K71" i="3"/>
  <c r="L71" i="3"/>
  <c r="M71" i="3" s="1"/>
  <c r="N71" i="3"/>
  <c r="K111" i="3"/>
  <c r="L111" i="3"/>
  <c r="M111" i="3" s="1"/>
  <c r="N111" i="3"/>
  <c r="P111" i="3"/>
  <c r="K87" i="3"/>
  <c r="L87" i="3"/>
  <c r="M87" i="3" s="1"/>
  <c r="N87" i="3"/>
  <c r="P87" i="3"/>
  <c r="K76" i="3"/>
  <c r="L76" i="3"/>
  <c r="M76" i="3" s="1"/>
  <c r="N76" i="3"/>
  <c r="P76" i="3"/>
  <c r="K92" i="3"/>
  <c r="L92" i="3"/>
  <c r="N92" i="3"/>
  <c r="P92" i="3"/>
  <c r="L106" i="3"/>
  <c r="N106" i="3"/>
  <c r="P106" i="3"/>
  <c r="K106" i="3"/>
  <c r="K100" i="3"/>
  <c r="L100" i="3"/>
  <c r="M100" i="3" s="1"/>
  <c r="N100" i="3"/>
  <c r="P100" i="3"/>
  <c r="L98" i="3"/>
  <c r="K98" i="3"/>
  <c r="N98" i="3"/>
  <c r="P98" i="3"/>
  <c r="L74" i="3"/>
  <c r="P74" i="3"/>
  <c r="K74" i="3"/>
  <c r="N74" i="3"/>
  <c r="K116" i="3"/>
  <c r="L116" i="3"/>
  <c r="M116" i="3" s="1"/>
  <c r="N116" i="3"/>
  <c r="P116" i="3"/>
  <c r="P79" i="3"/>
  <c r="K79" i="3"/>
  <c r="L79" i="3"/>
  <c r="M79" i="3" s="1"/>
  <c r="N79" i="3"/>
  <c r="N81" i="3"/>
  <c r="K81" i="3"/>
  <c r="L81" i="3"/>
  <c r="P81" i="3"/>
  <c r="R62" i="3" a="1"/>
  <c r="R62" i="3" s="1"/>
  <c r="M113" i="3" l="1"/>
  <c r="M81" i="3"/>
  <c r="M92" i="3"/>
  <c r="M107" i="3"/>
  <c r="M108" i="3"/>
  <c r="M102" i="3"/>
  <c r="M101" i="3"/>
  <c r="M98" i="3"/>
  <c r="M119" i="3"/>
  <c r="M66" i="3"/>
  <c r="P62" i="3"/>
  <c r="N62" i="3"/>
  <c r="L62" i="3"/>
  <c r="K62" i="3"/>
  <c r="M77" i="3"/>
  <c r="M70" i="3"/>
  <c r="M73" i="3"/>
  <c r="M74" i="3"/>
  <c r="M65" i="3"/>
  <c r="M106" i="3"/>
  <c r="M78" i="3"/>
  <c r="M104" i="3"/>
  <c r="M96" i="3"/>
  <c r="M86" i="3"/>
  <c r="M84" i="3"/>
  <c r="M6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<sst xmlns="http://schemas.openxmlformats.org/spreadsheetml/2006/main" count="11144" uniqueCount="984">
  <si>
    <t xml:space="preserve">Family </t>
  </si>
  <si>
    <t>Genus</t>
  </si>
  <si>
    <t>Species</t>
  </si>
  <si>
    <t>Family Number</t>
  </si>
  <si>
    <t>Genus number</t>
  </si>
  <si>
    <t>Species number</t>
  </si>
  <si>
    <t xml:space="preserve"> Nrows</t>
  </si>
  <si>
    <t>Anacardiaceae</t>
  </si>
  <si>
    <t>Anacardium</t>
  </si>
  <si>
    <t>excelsum</t>
  </si>
  <si>
    <t>giganteum</t>
  </si>
  <si>
    <t>occidentale</t>
  </si>
  <si>
    <t>spruceanum</t>
  </si>
  <si>
    <t>tenulfolium</t>
  </si>
  <si>
    <t>Astronium</t>
  </si>
  <si>
    <t>gracile</t>
  </si>
  <si>
    <t>graveolens</t>
  </si>
  <si>
    <t>lecointel</t>
  </si>
  <si>
    <t>ulei</t>
  </si>
  <si>
    <t>urundeuva</t>
  </si>
  <si>
    <t>Tapirira</t>
  </si>
  <si>
    <t>guianensis</t>
  </si>
  <si>
    <t>myriantha</t>
  </si>
  <si>
    <t>Annonaceae</t>
  </si>
  <si>
    <t>Diclinanona</t>
  </si>
  <si>
    <t>calucina</t>
  </si>
  <si>
    <t>Duguetia</t>
  </si>
  <si>
    <t>lanceolata</t>
  </si>
  <si>
    <t>Apocynaceae</t>
  </si>
  <si>
    <t>Alstonia</t>
  </si>
  <si>
    <t>angustiloba</t>
  </si>
  <si>
    <t>boonel</t>
  </si>
  <si>
    <t>congensis</t>
  </si>
  <si>
    <t>macropylla</t>
  </si>
  <si>
    <t>pachycarpa</t>
  </si>
  <si>
    <t>pneumatophora</t>
  </si>
  <si>
    <t>scholaris</t>
  </si>
  <si>
    <t>Aspidosperma</t>
  </si>
  <si>
    <t>album</t>
  </si>
  <si>
    <t>albun</t>
  </si>
  <si>
    <t>camporum</t>
  </si>
  <si>
    <t>centrala</t>
  </si>
  <si>
    <t>cruentum</t>
  </si>
  <si>
    <t>cylindrocarpon</t>
  </si>
  <si>
    <t>desmanthum</t>
  </si>
  <si>
    <t>eburneum</t>
  </si>
  <si>
    <t>gomesianum</t>
  </si>
  <si>
    <t>inundata</t>
  </si>
  <si>
    <t>macrocarpon</t>
  </si>
  <si>
    <t>marcgravianum</t>
  </si>
  <si>
    <t>megalocarpon</t>
  </si>
  <si>
    <t>melanocalix</t>
  </si>
  <si>
    <t>monterol</t>
  </si>
  <si>
    <t>olivaceum</t>
  </si>
  <si>
    <t>parvifolium</t>
  </si>
  <si>
    <t>perata</t>
  </si>
  <si>
    <t>polyneuron</t>
  </si>
  <si>
    <t>ramiflorum</t>
  </si>
  <si>
    <t>rigidum</t>
  </si>
  <si>
    <t>sessiliflora</t>
  </si>
  <si>
    <t>sp</t>
  </si>
  <si>
    <t>subincanum</t>
  </si>
  <si>
    <t>tomentosum</t>
  </si>
  <si>
    <t>Dyera</t>
  </si>
  <si>
    <t>costulata</t>
  </si>
  <si>
    <t>lowii</t>
  </si>
  <si>
    <t>maingayi</t>
  </si>
  <si>
    <t>Araliaceae</t>
  </si>
  <si>
    <t>Didymopanax</t>
  </si>
  <si>
    <t>morototoni</t>
  </si>
  <si>
    <t>Schefflera</t>
  </si>
  <si>
    <t>Araucariaceae-Gymn</t>
  </si>
  <si>
    <t>Araucaria</t>
  </si>
  <si>
    <t>angustifolia</t>
  </si>
  <si>
    <t>araucana</t>
  </si>
  <si>
    <t>Bignoniaceae</t>
  </si>
  <si>
    <t>Cybistax</t>
  </si>
  <si>
    <t>donneii-smithii</t>
  </si>
  <si>
    <t>Jacaranda</t>
  </si>
  <si>
    <t>copaia</t>
  </si>
  <si>
    <t>Paratecoma</t>
  </si>
  <si>
    <t>peroba</t>
  </si>
  <si>
    <t>Tabebuia</t>
  </si>
  <si>
    <t>angustata</t>
  </si>
  <si>
    <t>argentea</t>
  </si>
  <si>
    <t>aurea</t>
  </si>
  <si>
    <t>avellanedae</t>
  </si>
  <si>
    <t>barbata</t>
  </si>
  <si>
    <t>bilbergii</t>
  </si>
  <si>
    <t>capitata</t>
  </si>
  <si>
    <t>cf-catinga</t>
  </si>
  <si>
    <t>cf-dugandii</t>
  </si>
  <si>
    <t>cf-guayacan</t>
  </si>
  <si>
    <t>cf-heptaphilla</t>
  </si>
  <si>
    <t>cf-rufescens</t>
  </si>
  <si>
    <t>chrysantha</t>
  </si>
  <si>
    <t>chrysotricha</t>
  </si>
  <si>
    <t>conspicua</t>
  </si>
  <si>
    <t>dugandii</t>
  </si>
  <si>
    <t>flavescens</t>
  </si>
  <si>
    <t>gaudichaudii</t>
  </si>
  <si>
    <t>guayacan</t>
  </si>
  <si>
    <t>haemantha</t>
  </si>
  <si>
    <t>heterophylla</t>
  </si>
  <si>
    <t>heterotricha</t>
  </si>
  <si>
    <t>impetiginosa</t>
  </si>
  <si>
    <t>incana</t>
  </si>
  <si>
    <t>insignis</t>
  </si>
  <si>
    <t>ipe</t>
  </si>
  <si>
    <t>jacaranda</t>
  </si>
  <si>
    <t>lepidophylla</t>
  </si>
  <si>
    <t>leptopoda</t>
  </si>
  <si>
    <t>longipes</t>
  </si>
  <si>
    <t>ochracea</t>
  </si>
  <si>
    <t>pallida</t>
  </si>
  <si>
    <t>palmeri</t>
  </si>
  <si>
    <t>prieurii</t>
  </si>
  <si>
    <t>rigida</t>
  </si>
  <si>
    <t>rosea</t>
  </si>
  <si>
    <t>rufescens</t>
  </si>
  <si>
    <t>sauvallei</t>
  </si>
  <si>
    <t>serratifolia</t>
  </si>
  <si>
    <t>spectabilis</t>
  </si>
  <si>
    <t>stenocalyx</t>
  </si>
  <si>
    <t>Bixaceae</t>
  </si>
  <si>
    <t>Bixa</t>
  </si>
  <si>
    <t>arborea</t>
  </si>
  <si>
    <t>Bombacaceae</t>
  </si>
  <si>
    <t>Bombacopsis</t>
  </si>
  <si>
    <t>quinata</t>
  </si>
  <si>
    <t>Ceiba</t>
  </si>
  <si>
    <t>pentandra</t>
  </si>
  <si>
    <t>Pseudobombax</t>
  </si>
  <si>
    <t>ellipticum</t>
  </si>
  <si>
    <t>Boraginaceae</t>
  </si>
  <si>
    <t>Cordia</t>
  </si>
  <si>
    <t>alliodora</t>
  </si>
  <si>
    <t>bicolor</t>
  </si>
  <si>
    <t>dodecandra</t>
  </si>
  <si>
    <t>goeldiana</t>
  </si>
  <si>
    <t>megalantha</t>
  </si>
  <si>
    <t>trichotoma</t>
  </si>
  <si>
    <t>Patagonula</t>
  </si>
  <si>
    <t>americana</t>
  </si>
  <si>
    <t>Burseraceae</t>
  </si>
  <si>
    <t>Bursera</t>
  </si>
  <si>
    <t>aff-simaruba</t>
  </si>
  <si>
    <t>simaruba</t>
  </si>
  <si>
    <t>Protium</t>
  </si>
  <si>
    <t>heptaphyllum</t>
  </si>
  <si>
    <t>Trattinickia</t>
  </si>
  <si>
    <t>burseraefolia</t>
  </si>
  <si>
    <t>Caryocaraceae</t>
  </si>
  <si>
    <t>Caryocar</t>
  </si>
  <si>
    <t>costaricense</t>
  </si>
  <si>
    <t>edule</t>
  </si>
  <si>
    <t>glabrum</t>
  </si>
  <si>
    <t>villosum</t>
  </si>
  <si>
    <t>Cecropiaceae</t>
  </si>
  <si>
    <t>Cecropia</t>
  </si>
  <si>
    <t>bureaniana</t>
  </si>
  <si>
    <t>concolor</t>
  </si>
  <si>
    <t>dielsiana</t>
  </si>
  <si>
    <t>juranylana</t>
  </si>
  <si>
    <t>obtusa</t>
  </si>
  <si>
    <t>purusana</t>
  </si>
  <si>
    <t>sciadophylla</t>
  </si>
  <si>
    <t>tessmannii</t>
  </si>
  <si>
    <t>Celastraceae</t>
  </si>
  <si>
    <t>Goupia</t>
  </si>
  <si>
    <t>glabra</t>
  </si>
  <si>
    <t>Chrysobalanaceae</t>
  </si>
  <si>
    <t>Hirtella</t>
  </si>
  <si>
    <t>bicornis</t>
  </si>
  <si>
    <t>bullata</t>
  </si>
  <si>
    <t>duckel</t>
  </si>
  <si>
    <t>egensis</t>
  </si>
  <si>
    <t>elongata</t>
  </si>
  <si>
    <t>enneandra</t>
  </si>
  <si>
    <t>excelsa</t>
  </si>
  <si>
    <t>glandulosa</t>
  </si>
  <si>
    <t>hebeciada</t>
  </si>
  <si>
    <t>hispidula</t>
  </si>
  <si>
    <t>punctillata</t>
  </si>
  <si>
    <t>racemosa</t>
  </si>
  <si>
    <t>rasa</t>
  </si>
  <si>
    <t>rodriguesii</t>
  </si>
  <si>
    <t>triandra</t>
  </si>
  <si>
    <t>Licania</t>
  </si>
  <si>
    <t>apetala</t>
  </si>
  <si>
    <t>britteniana</t>
  </si>
  <si>
    <t>canescens</t>
  </si>
  <si>
    <t>davillaefolia</t>
  </si>
  <si>
    <t>emarginata</t>
  </si>
  <si>
    <t>engleri</t>
  </si>
  <si>
    <t>eriandra</t>
  </si>
  <si>
    <t>floribunda</t>
  </si>
  <si>
    <t>fritschii</t>
  </si>
  <si>
    <t>heteromorpha</t>
  </si>
  <si>
    <t>hostmanni</t>
  </si>
  <si>
    <t>kunthiana</t>
  </si>
  <si>
    <t>latifolia</t>
  </si>
  <si>
    <t>licaniaeflora</t>
  </si>
  <si>
    <t>longistyla</t>
  </si>
  <si>
    <t>macrophylla</t>
  </si>
  <si>
    <t>maxima</t>
  </si>
  <si>
    <t>micrantha</t>
  </si>
  <si>
    <t>minutiflora</t>
  </si>
  <si>
    <t>mollis</t>
  </si>
  <si>
    <t>niloi</t>
  </si>
  <si>
    <t>oblongifolia</t>
  </si>
  <si>
    <t>octandra</t>
  </si>
  <si>
    <t>ovalifolia</t>
  </si>
  <si>
    <t>paraensis</t>
  </si>
  <si>
    <t>parviflora</t>
  </si>
  <si>
    <t>piresii</t>
  </si>
  <si>
    <t>polita</t>
  </si>
  <si>
    <t>robusta</t>
  </si>
  <si>
    <t>rondonii</t>
  </si>
  <si>
    <t>sclerophylla</t>
  </si>
  <si>
    <t>uniguiculata</t>
  </si>
  <si>
    <t>urceolaris</t>
  </si>
  <si>
    <t>Clusiaceae-Guttiferae</t>
  </si>
  <si>
    <t>Calophyllum</t>
  </si>
  <si>
    <t>bracteatum</t>
  </si>
  <si>
    <t>brasiliense</t>
  </si>
  <si>
    <t>inophyllum</t>
  </si>
  <si>
    <t>Caraipa</t>
  </si>
  <si>
    <t>densiflora</t>
  </si>
  <si>
    <t>Platonia</t>
  </si>
  <si>
    <t>esculenta</t>
  </si>
  <si>
    <t>Rheedia</t>
  </si>
  <si>
    <t>acuminata</t>
  </si>
  <si>
    <t>benthamiana</t>
  </si>
  <si>
    <t>brasiliensis</t>
  </si>
  <si>
    <t>gardneriana</t>
  </si>
  <si>
    <t>longifolia</t>
  </si>
  <si>
    <t>Symphonia</t>
  </si>
  <si>
    <t>globulifera</t>
  </si>
  <si>
    <t>Combretaceae</t>
  </si>
  <si>
    <t>Buchenavia</t>
  </si>
  <si>
    <t>fanshawei</t>
  </si>
  <si>
    <t>grandis</t>
  </si>
  <si>
    <t>ochroprumna</t>
  </si>
  <si>
    <t>oxycarpa</t>
  </si>
  <si>
    <t>Terminalia</t>
  </si>
  <si>
    <t>alata</t>
  </si>
  <si>
    <t>altissima</t>
  </si>
  <si>
    <t>amazonia</t>
  </si>
  <si>
    <t>arbuscula</t>
  </si>
  <si>
    <t>arjuna</t>
  </si>
  <si>
    <t>australis</t>
  </si>
  <si>
    <t>avicennioides</t>
  </si>
  <si>
    <t>belerica</t>
  </si>
  <si>
    <t>benzoin</t>
  </si>
  <si>
    <t>bialata</t>
  </si>
  <si>
    <t>brachystemma</t>
  </si>
  <si>
    <t>brownii</t>
  </si>
  <si>
    <t>calamansanai</t>
  </si>
  <si>
    <t>catappa</t>
  </si>
  <si>
    <t>chebula</t>
  </si>
  <si>
    <t>chocharronia</t>
  </si>
  <si>
    <t>citrina</t>
  </si>
  <si>
    <t>comintana</t>
  </si>
  <si>
    <t>copelandii</t>
  </si>
  <si>
    <t>crassiramea</t>
  </si>
  <si>
    <t>crenulata</t>
  </si>
  <si>
    <t>dichotoma</t>
  </si>
  <si>
    <t>edulis</t>
  </si>
  <si>
    <t>erici-rosenii</t>
  </si>
  <si>
    <t>gigantifolia</t>
  </si>
  <si>
    <t>gulanensis</t>
  </si>
  <si>
    <t>hayesii</t>
  </si>
  <si>
    <t>ivorensis</t>
  </si>
  <si>
    <t>januarensis</t>
  </si>
  <si>
    <t>kilimandsharica</t>
  </si>
  <si>
    <t>lucida</t>
  </si>
  <si>
    <t>macroptera</t>
  </si>
  <si>
    <t>manii</t>
  </si>
  <si>
    <t>mauritiana</t>
  </si>
  <si>
    <t>microcarpa</t>
  </si>
  <si>
    <t>myrlocarpa</t>
  </si>
  <si>
    <t>nitens</t>
  </si>
  <si>
    <t>obionga</t>
  </si>
  <si>
    <t>obovata</t>
  </si>
  <si>
    <t>oreadum</t>
  </si>
  <si>
    <t>ovocarpa</t>
  </si>
  <si>
    <t>paniculata</t>
  </si>
  <si>
    <t>pellucida</t>
  </si>
  <si>
    <t>pocarpa</t>
  </si>
  <si>
    <t>procera</t>
  </si>
  <si>
    <t>prunoides</t>
  </si>
  <si>
    <t>pyrifoli</t>
  </si>
  <si>
    <t>quintala</t>
  </si>
  <si>
    <t>rhodesica</t>
  </si>
  <si>
    <t>rubiginosa</t>
  </si>
  <si>
    <t>ruspolii</t>
  </si>
  <si>
    <t>samoensis</t>
  </si>
  <si>
    <t>sericea</t>
  </si>
  <si>
    <t>seriocarpa</t>
  </si>
  <si>
    <t>solomonensis</t>
  </si>
  <si>
    <t>steenisiana</t>
  </si>
  <si>
    <t>sumatrana</t>
  </si>
  <si>
    <t>superba</t>
  </si>
  <si>
    <t>tanibouca</t>
  </si>
  <si>
    <t>tomentosa</t>
  </si>
  <si>
    <t>travancoricus</t>
  </si>
  <si>
    <t>velutina</t>
  </si>
  <si>
    <t>Cupressaceae-Gymn</t>
  </si>
  <si>
    <t>Cupressus</t>
  </si>
  <si>
    <t>lusitanica</t>
  </si>
  <si>
    <t>Fitzroya</t>
  </si>
  <si>
    <t>cupressoides</t>
  </si>
  <si>
    <t>Pilgerodendron</t>
  </si>
  <si>
    <t>uviferum</t>
  </si>
  <si>
    <t>Dilleniaceae</t>
  </si>
  <si>
    <t>Curatella</t>
  </si>
  <si>
    <t>Ebenaceae</t>
  </si>
  <si>
    <t>Diospyros</t>
  </si>
  <si>
    <t>batocana</t>
  </si>
  <si>
    <t>mespiliformis</t>
  </si>
  <si>
    <t>Elaeocarpaceae</t>
  </si>
  <si>
    <t>Sloanea</t>
  </si>
  <si>
    <t>dentata</t>
  </si>
  <si>
    <t>durissima</t>
  </si>
  <si>
    <t>fendieriana</t>
  </si>
  <si>
    <t>grandiflora</t>
  </si>
  <si>
    <t>pseudodentata</t>
  </si>
  <si>
    <t>quadrivalvis</t>
  </si>
  <si>
    <t>reticulata</t>
  </si>
  <si>
    <t>spathulata</t>
  </si>
  <si>
    <t>Euphorbiaceae</t>
  </si>
  <si>
    <t>Alchornea</t>
  </si>
  <si>
    <t>triplinervia</t>
  </si>
  <si>
    <t>Chaetocarpus</t>
  </si>
  <si>
    <t>wchinocarpus</t>
  </si>
  <si>
    <t>Hura</t>
  </si>
  <si>
    <t>crepitans</t>
  </si>
  <si>
    <t>Hyeronima</t>
  </si>
  <si>
    <t>alchorneoides</t>
  </si>
  <si>
    <t>Joannesia</t>
  </si>
  <si>
    <t>princeps</t>
  </si>
  <si>
    <t>Tetrorchidium</t>
  </si>
  <si>
    <t>rubrivenium</t>
  </si>
  <si>
    <t>Fagaceae</t>
  </si>
  <si>
    <t>Quercus</t>
  </si>
  <si>
    <t>sapotifolia</t>
  </si>
  <si>
    <t>Humiriaceae</t>
  </si>
  <si>
    <t>Endopieura</t>
  </si>
  <si>
    <t>uchi</t>
  </si>
  <si>
    <t>Vantanea</t>
  </si>
  <si>
    <t>celativenia</t>
  </si>
  <si>
    <t>cupularis</t>
  </si>
  <si>
    <t>macrocarpa</t>
  </si>
  <si>
    <t>Juglandaceae</t>
  </si>
  <si>
    <t>Juglans</t>
  </si>
  <si>
    <t>cinerea</t>
  </si>
  <si>
    <t>cordiformis</t>
  </si>
  <si>
    <t>neotropica</t>
  </si>
  <si>
    <t>olanchana</t>
  </si>
  <si>
    <t>Oreomunnea</t>
  </si>
  <si>
    <t>mexicana</t>
  </si>
  <si>
    <t>pterocarpa</t>
  </si>
  <si>
    <t>Lauraceae</t>
  </si>
  <si>
    <t>Aniba</t>
  </si>
  <si>
    <t>rosaeodora</t>
  </si>
  <si>
    <t>Licaria</t>
  </si>
  <si>
    <t>amara</t>
  </si>
  <si>
    <t>appelii</t>
  </si>
  <si>
    <t>armeniaca</t>
  </si>
  <si>
    <t>canella</t>
  </si>
  <si>
    <t>martiniana</t>
  </si>
  <si>
    <t>multiflora</t>
  </si>
  <si>
    <t>polyphylla</t>
  </si>
  <si>
    <t>Mezilaurus</t>
  </si>
  <si>
    <t>decurrens</t>
  </si>
  <si>
    <t>itauba</t>
  </si>
  <si>
    <t>lindaviana</t>
  </si>
  <si>
    <t>navalium</t>
  </si>
  <si>
    <t>Nectandra</t>
  </si>
  <si>
    <t>amazonum</t>
  </si>
  <si>
    <t>cissiflora</t>
  </si>
  <si>
    <t>cuneato-cordata</t>
  </si>
  <si>
    <t>curpidata</t>
  </si>
  <si>
    <t>dioica</t>
  </si>
  <si>
    <t>laevis</t>
  </si>
  <si>
    <t>nitida</t>
  </si>
  <si>
    <t>pardo</t>
  </si>
  <si>
    <t>pisi</t>
  </si>
  <si>
    <t>villosa</t>
  </si>
  <si>
    <t>Ocotea</t>
  </si>
  <si>
    <t>aciphylla</t>
  </si>
  <si>
    <t>barcellensis</t>
  </si>
  <si>
    <t>canaliculata</t>
  </si>
  <si>
    <t>caudata</t>
  </si>
  <si>
    <t>dissimilis</t>
  </si>
  <si>
    <t>fasciculata</t>
  </si>
  <si>
    <t>fragrantissima</t>
  </si>
  <si>
    <t>froesii</t>
  </si>
  <si>
    <t>globifera</t>
  </si>
  <si>
    <t>glomerata</t>
  </si>
  <si>
    <t>macrothyrsus</t>
  </si>
  <si>
    <t>maguireana</t>
  </si>
  <si>
    <t>marmellensis</t>
  </si>
  <si>
    <t>organensis</t>
  </si>
  <si>
    <t>pretiosa</t>
  </si>
  <si>
    <t>puberula</t>
  </si>
  <si>
    <t>rodiaei</t>
  </si>
  <si>
    <t>rubra</t>
  </si>
  <si>
    <t>sassafras</t>
  </si>
  <si>
    <t>sericiflora</t>
  </si>
  <si>
    <t>Phoebe</t>
  </si>
  <si>
    <t>porosa</t>
  </si>
  <si>
    <t>Pleurothyrium</t>
  </si>
  <si>
    <t>krukovii</t>
  </si>
  <si>
    <t>nobile</t>
  </si>
  <si>
    <t>Lecythidaceae</t>
  </si>
  <si>
    <t>Bertholletia</t>
  </si>
  <si>
    <t>Cariniana</t>
  </si>
  <si>
    <t>estrellensis</t>
  </si>
  <si>
    <t>legalis</t>
  </si>
  <si>
    <t>Couratari</t>
  </si>
  <si>
    <t>macrosperma</t>
  </si>
  <si>
    <t>stellata</t>
  </si>
  <si>
    <t>Couroupita</t>
  </si>
  <si>
    <t>peruviana</t>
  </si>
  <si>
    <t>surinamensis</t>
  </si>
  <si>
    <t>Eschweilera</t>
  </si>
  <si>
    <t>albiflora</t>
  </si>
  <si>
    <t>amazonica</t>
  </si>
  <si>
    <t>blanchetiana</t>
  </si>
  <si>
    <t>cf-atropetiolata</t>
  </si>
  <si>
    <t>coriacea</t>
  </si>
  <si>
    <t>corrugata</t>
  </si>
  <si>
    <t>grata</t>
  </si>
  <si>
    <t>iquitesensis</t>
  </si>
  <si>
    <t>juruensis</t>
  </si>
  <si>
    <t>matamata</t>
  </si>
  <si>
    <t>obtecta</t>
  </si>
  <si>
    <t>obversa</t>
  </si>
  <si>
    <t>odora</t>
  </si>
  <si>
    <t>pachysepala</t>
  </si>
  <si>
    <t>pedicellata</t>
  </si>
  <si>
    <t>polyantha</t>
  </si>
  <si>
    <t>rhododendrifolia</t>
  </si>
  <si>
    <t>rorida</t>
  </si>
  <si>
    <t>truncata</t>
  </si>
  <si>
    <t>Holopyxidium</t>
  </si>
  <si>
    <t>jarana</t>
  </si>
  <si>
    <t>latifolium</t>
  </si>
  <si>
    <t>Lecythis</t>
  </si>
  <si>
    <t>gigantea</t>
  </si>
  <si>
    <t>hians</t>
  </si>
  <si>
    <t>ollaria</t>
  </si>
  <si>
    <t>pisonis</t>
  </si>
  <si>
    <t>zabucaja</t>
  </si>
  <si>
    <t>Leguminosae-Caes</t>
  </si>
  <si>
    <t>Afzelia</t>
  </si>
  <si>
    <t>africana</t>
  </si>
  <si>
    <t>bipindensis</t>
  </si>
  <si>
    <t>bracteata</t>
  </si>
  <si>
    <t>cochinchinensis</t>
  </si>
  <si>
    <t>cuanzensis</t>
  </si>
  <si>
    <t>pachyloba</t>
  </si>
  <si>
    <t>quanzensis</t>
  </si>
  <si>
    <t>rhomboidea</t>
  </si>
  <si>
    <t>xylocarpa</t>
  </si>
  <si>
    <t>Apuleia</t>
  </si>
  <si>
    <t>leiocarpa</t>
  </si>
  <si>
    <t>molaris</t>
  </si>
  <si>
    <t>Arapatiella</t>
  </si>
  <si>
    <t>psilophylla</t>
  </si>
  <si>
    <t>Baikiaea</t>
  </si>
  <si>
    <t>plurijaga</t>
  </si>
  <si>
    <t>Caesalpinia</t>
  </si>
  <si>
    <t>bahamensis</t>
  </si>
  <si>
    <t>cf-platyloba</t>
  </si>
  <si>
    <t>ferrugineum</t>
  </si>
  <si>
    <t>paraguariensis</t>
  </si>
  <si>
    <t>pulcherrima</t>
  </si>
  <si>
    <t>sappan</t>
  </si>
  <si>
    <t>Cassia</t>
  </si>
  <si>
    <t>ferruginea</t>
  </si>
  <si>
    <t>Copaifera</t>
  </si>
  <si>
    <t>langsdorfii</t>
  </si>
  <si>
    <t>langsdortii</t>
  </si>
  <si>
    <t>martii</t>
  </si>
  <si>
    <t>multijuga</t>
  </si>
  <si>
    <t>officinalis</t>
  </si>
  <si>
    <t>Dialium</t>
  </si>
  <si>
    <t>guianense</t>
  </si>
  <si>
    <t>guineense</t>
  </si>
  <si>
    <t>Dimorphandra</t>
  </si>
  <si>
    <t>exaltata</t>
  </si>
  <si>
    <t>glabrifolia</t>
  </si>
  <si>
    <t>Docorynia</t>
  </si>
  <si>
    <t>Guibourtia</t>
  </si>
  <si>
    <t>hymenaefolia</t>
  </si>
  <si>
    <t>Guilandina</t>
  </si>
  <si>
    <t>echinata</t>
  </si>
  <si>
    <t>Hymenaea</t>
  </si>
  <si>
    <t>cf-parvifolia</t>
  </si>
  <si>
    <t>courbaril</t>
  </si>
  <si>
    <t>davisii</t>
  </si>
  <si>
    <t>palustris</t>
  </si>
  <si>
    <t>parvifolia</t>
  </si>
  <si>
    <t>stilbocarpa</t>
  </si>
  <si>
    <t>Libidibia</t>
  </si>
  <si>
    <t>aff-ferrea</t>
  </si>
  <si>
    <t>coriaria</t>
  </si>
  <si>
    <t>corymbosa</t>
  </si>
  <si>
    <t>ebano</t>
  </si>
  <si>
    <t>ferrea</t>
  </si>
  <si>
    <t>granadillo</t>
  </si>
  <si>
    <t>melanocarpa</t>
  </si>
  <si>
    <t>punctata</t>
  </si>
  <si>
    <t>schlerocarpa</t>
  </si>
  <si>
    <t>Melanoxylon</t>
  </si>
  <si>
    <t>brauna</t>
  </si>
  <si>
    <t>Mora</t>
  </si>
  <si>
    <t>Peltogyne</t>
  </si>
  <si>
    <t>maranhensis</t>
  </si>
  <si>
    <t>Peltophorum</t>
  </si>
  <si>
    <t>vogelianum</t>
  </si>
  <si>
    <t>Pterogyne</t>
  </si>
  <si>
    <t>Schizolobium</t>
  </si>
  <si>
    <t>parahybum</t>
  </si>
  <si>
    <t>Sclerolobium</t>
  </si>
  <si>
    <t>chysophyllum</t>
  </si>
  <si>
    <t>paniculatum</t>
  </si>
  <si>
    <t>reticulosum</t>
  </si>
  <si>
    <t>subbullatum</t>
  </si>
  <si>
    <t>Tachigalia</t>
  </si>
  <si>
    <t>cavipes</t>
  </si>
  <si>
    <t>myrmecophila</t>
  </si>
  <si>
    <t>Vouacapoua</t>
  </si>
  <si>
    <t>Leguminosae-Mim</t>
  </si>
  <si>
    <t>Acacia</t>
  </si>
  <si>
    <t>cf. glomerosa</t>
  </si>
  <si>
    <t>glomerosa</t>
  </si>
  <si>
    <t>macracantha</t>
  </si>
  <si>
    <t>mangium</t>
  </si>
  <si>
    <t>Albizia</t>
  </si>
  <si>
    <t>caribaea</t>
  </si>
  <si>
    <t>Anadenanthera</t>
  </si>
  <si>
    <t>colubrina</t>
  </si>
  <si>
    <t>peregrina</t>
  </si>
  <si>
    <t>Cedrelinga</t>
  </si>
  <si>
    <t>catenaeformis</t>
  </si>
  <si>
    <t>Cojoba</t>
  </si>
  <si>
    <t>cf-arborea</t>
  </si>
  <si>
    <t>Dinizia</t>
  </si>
  <si>
    <t>cf-excelsa</t>
  </si>
  <si>
    <t>Enterolobium</t>
  </si>
  <si>
    <t>contortisiliquum</t>
  </si>
  <si>
    <t>cyclocarpum</t>
  </si>
  <si>
    <t>maximum</t>
  </si>
  <si>
    <t>schomburgkii</t>
  </si>
  <si>
    <t>Inga</t>
  </si>
  <si>
    <t>alba</t>
  </si>
  <si>
    <t>Mimosa</t>
  </si>
  <si>
    <t>bracatinga</t>
  </si>
  <si>
    <t>Niopa</t>
  </si>
  <si>
    <t>Parkia</t>
  </si>
  <si>
    <t>auriculata</t>
  </si>
  <si>
    <t>decussata</t>
  </si>
  <si>
    <t>igneiflora</t>
  </si>
  <si>
    <t>ingens</t>
  </si>
  <si>
    <t>oppositifolia</t>
  </si>
  <si>
    <t>pendula</t>
  </si>
  <si>
    <t>platycephala</t>
  </si>
  <si>
    <t>Pentaclethra</t>
  </si>
  <si>
    <t>macroloba</t>
  </si>
  <si>
    <t>Piptadenia</t>
  </si>
  <si>
    <t>tocantina</t>
  </si>
  <si>
    <t>Pithecellobium</t>
  </si>
  <si>
    <t>pedicellare</t>
  </si>
  <si>
    <t>Pityrocarpa</t>
  </si>
  <si>
    <t>adiantoides</t>
  </si>
  <si>
    <t>flava</t>
  </si>
  <si>
    <t>gonoacantha</t>
  </si>
  <si>
    <t>Plathymenia</t>
  </si>
  <si>
    <t>foliolosa</t>
  </si>
  <si>
    <t>Samanea</t>
  </si>
  <si>
    <t>saman</t>
  </si>
  <si>
    <t>Senegalia</t>
  </si>
  <si>
    <t>loritensis</t>
  </si>
  <si>
    <t>Stryphnodendron</t>
  </si>
  <si>
    <t>barbatimao</t>
  </si>
  <si>
    <t>coriaceum</t>
  </si>
  <si>
    <t>microstachyum</t>
  </si>
  <si>
    <t>plystachyum</t>
  </si>
  <si>
    <t>pulcherrimum</t>
  </si>
  <si>
    <t>Leguminosae-Papil</t>
  </si>
  <si>
    <t>Amburana</t>
  </si>
  <si>
    <t>cearensis</t>
  </si>
  <si>
    <t>Andira</t>
  </si>
  <si>
    <t>Bowdichia</t>
  </si>
  <si>
    <t>virgiliodes</t>
  </si>
  <si>
    <t>Centrolobium</t>
  </si>
  <si>
    <t>robustum</t>
  </si>
  <si>
    <t>Dalbergia</t>
  </si>
  <si>
    <t>arbutifolia</t>
  </si>
  <si>
    <t>baroni</t>
  </si>
  <si>
    <t>cf-pseudocarone</t>
  </si>
  <si>
    <t>greveana</t>
  </si>
  <si>
    <t>louvelii</t>
  </si>
  <si>
    <t>madagascariensis</t>
  </si>
  <si>
    <t>melanoxylon</t>
  </si>
  <si>
    <t>nigra</t>
  </si>
  <si>
    <t>pterocarpifolia</t>
  </si>
  <si>
    <t>purpurascens</t>
  </si>
  <si>
    <t>stevensonii</t>
  </si>
  <si>
    <t>toxicaria</t>
  </si>
  <si>
    <t>tricolor</t>
  </si>
  <si>
    <t>tucurensis</t>
  </si>
  <si>
    <t>Leguminosae</t>
  </si>
  <si>
    <t>Dipteryx</t>
  </si>
  <si>
    <t>oleifera</t>
  </si>
  <si>
    <t>odorata</t>
  </si>
  <si>
    <t>Ferreirea</t>
  </si>
  <si>
    <t>Hymenolobium</t>
  </si>
  <si>
    <t>cf-petraeum</t>
  </si>
  <si>
    <t>complicatum</t>
  </si>
  <si>
    <t>heterocarpum</t>
  </si>
  <si>
    <t>petraeum</t>
  </si>
  <si>
    <t>Lonchocarpus</t>
  </si>
  <si>
    <t>laxiflorus</t>
  </si>
  <si>
    <t>albiflorus</t>
  </si>
  <si>
    <t>atropurpureus</t>
  </si>
  <si>
    <t>benthamianus</t>
  </si>
  <si>
    <t>blaini</t>
  </si>
  <si>
    <t>capassa</t>
  </si>
  <si>
    <t>castilloi</t>
  </si>
  <si>
    <t>cf-dipteroneurus</t>
  </si>
  <si>
    <t>cf-margaritensis</t>
  </si>
  <si>
    <t>crucisrubienae</t>
  </si>
  <si>
    <t>denutatus</t>
  </si>
  <si>
    <t>domingensis</t>
  </si>
  <si>
    <t>ehrenbergii</t>
  </si>
  <si>
    <t>ernesti</t>
  </si>
  <si>
    <t>fendleri</t>
  </si>
  <si>
    <t>hedyosmus</t>
  </si>
  <si>
    <t>hondurensis</t>
  </si>
  <si>
    <t>latifolius</t>
  </si>
  <si>
    <t>longistylus</t>
  </si>
  <si>
    <t>margaritensis</t>
  </si>
  <si>
    <t>michelianus</t>
  </si>
  <si>
    <t>muehlenbergianus</t>
  </si>
  <si>
    <t>neuroscapha</t>
  </si>
  <si>
    <t>nitidus</t>
  </si>
  <si>
    <t>punctatus</t>
  </si>
  <si>
    <t>rugosus</t>
  </si>
  <si>
    <t>salvadorensis</t>
  </si>
  <si>
    <t>sanctae-marthae</t>
  </si>
  <si>
    <t>sericeus</t>
  </si>
  <si>
    <t>Machaerium</t>
  </si>
  <si>
    <t>aculeatum</t>
  </si>
  <si>
    <t>acutifolium</t>
  </si>
  <si>
    <t>angustifolium</t>
  </si>
  <si>
    <t>arboreum</t>
  </si>
  <si>
    <t>bovinaefolium</t>
  </si>
  <si>
    <t>capote</t>
  </si>
  <si>
    <t>floribundum</t>
  </si>
  <si>
    <t>grandifolium</t>
  </si>
  <si>
    <t>incorruptible</t>
  </si>
  <si>
    <t>latialatum</t>
  </si>
  <si>
    <t>leucopterium</t>
  </si>
  <si>
    <t>lilacinum</t>
  </si>
  <si>
    <t>millei</t>
  </si>
  <si>
    <t>moritzianum</t>
  </si>
  <si>
    <t>robiniifolium</t>
  </si>
  <si>
    <t>scleroxylon</t>
  </si>
  <si>
    <t>stenophyllum</t>
  </si>
  <si>
    <t>violaceum</t>
  </si>
  <si>
    <t>whitfordii</t>
  </si>
  <si>
    <t>Myrocarpus</t>
  </si>
  <si>
    <t>fastigiatus</t>
  </si>
  <si>
    <t>frondosus</t>
  </si>
  <si>
    <t>Myroxylon</t>
  </si>
  <si>
    <t>balsamum</t>
  </si>
  <si>
    <t>Oleiocarpon</t>
  </si>
  <si>
    <t>panamense</t>
  </si>
  <si>
    <t>Pericopsis</t>
  </si>
  <si>
    <t>angolensis</t>
  </si>
  <si>
    <t>elata</t>
  </si>
  <si>
    <t>laxiflora</t>
  </si>
  <si>
    <t>mooniana</t>
  </si>
  <si>
    <t>Platymiscium</t>
  </si>
  <si>
    <t>dimorphandrum</t>
  </si>
  <si>
    <t>duckei</t>
  </si>
  <si>
    <t>pinnatum</t>
  </si>
  <si>
    <t>polystachyum</t>
  </si>
  <si>
    <t>Poecilanthe</t>
  </si>
  <si>
    <t>Pterocarpus</t>
  </si>
  <si>
    <t>acapulcensis</t>
  </si>
  <si>
    <t>amphymenium</t>
  </si>
  <si>
    <t>cf-cambodianus</t>
  </si>
  <si>
    <t>indicus</t>
  </si>
  <si>
    <t>macrocarpus</t>
  </si>
  <si>
    <t>santalinus</t>
  </si>
  <si>
    <t>Pterodon</t>
  </si>
  <si>
    <t>pubescens</t>
  </si>
  <si>
    <t>Tipuana</t>
  </si>
  <si>
    <t>Vatairea</t>
  </si>
  <si>
    <t>cf-macrocarpa</t>
  </si>
  <si>
    <t>fusca</t>
  </si>
  <si>
    <t>Vataireopsis</t>
  </si>
  <si>
    <t>araroba</t>
  </si>
  <si>
    <t>Magnoliaceae</t>
  </si>
  <si>
    <t>Talauma</t>
  </si>
  <si>
    <t>ovata</t>
  </si>
  <si>
    <t>Malpighiaceae</t>
  </si>
  <si>
    <t>Byrsonima</t>
  </si>
  <si>
    <t>arthropoda</t>
  </si>
  <si>
    <t>crassifolia</t>
  </si>
  <si>
    <t>crispa</t>
  </si>
  <si>
    <t>fluminensis</t>
  </si>
  <si>
    <t>intermedia</t>
  </si>
  <si>
    <t>obsersa</t>
  </si>
  <si>
    <t>poeppigiana</t>
  </si>
  <si>
    <t>spicata</t>
  </si>
  <si>
    <t>Melastomataceae</t>
  </si>
  <si>
    <t>Mouriri</t>
  </si>
  <si>
    <t>chamissoana</t>
  </si>
  <si>
    <t>Meliaceae</t>
  </si>
  <si>
    <t>Cabralea</t>
  </si>
  <si>
    <t>canjerana</t>
  </si>
  <si>
    <t>Carapa</t>
  </si>
  <si>
    <t>Cedrela</t>
  </si>
  <si>
    <t>fissilis</t>
  </si>
  <si>
    <t>lilloi</t>
  </si>
  <si>
    <t>montana</t>
  </si>
  <si>
    <t>oaxacensis</t>
  </si>
  <si>
    <t>tonduzii</t>
  </si>
  <si>
    <t>Guarea</t>
  </si>
  <si>
    <t>guedesii</t>
  </si>
  <si>
    <t>Khaya</t>
  </si>
  <si>
    <t>anthotheca</t>
  </si>
  <si>
    <t>cf-ivorensis</t>
  </si>
  <si>
    <t>senegalensis</t>
  </si>
  <si>
    <t>Swietenia</t>
  </si>
  <si>
    <t>cf-macrophylla</t>
  </si>
  <si>
    <t>humilis</t>
  </si>
  <si>
    <t>mahagoni</t>
  </si>
  <si>
    <t>Moraceae</t>
  </si>
  <si>
    <t>Chlorophora</t>
  </si>
  <si>
    <t>tinctoria</t>
  </si>
  <si>
    <t>Brosimum</t>
  </si>
  <si>
    <t>utile</t>
  </si>
  <si>
    <t>alicastrum</t>
  </si>
  <si>
    <t>lactescens</t>
  </si>
  <si>
    <t>parinarioides</t>
  </si>
  <si>
    <t>potabile</t>
  </si>
  <si>
    <t>rubenscens</t>
  </si>
  <si>
    <t>Bagassa</t>
  </si>
  <si>
    <t>Clarisia</t>
  </si>
  <si>
    <t>Ficus</t>
  </si>
  <si>
    <t>pertusa</t>
  </si>
  <si>
    <t>albert-smithii</t>
  </si>
  <si>
    <t>ampelos</t>
  </si>
  <si>
    <t>annulata</t>
  </si>
  <si>
    <t>anthelmintica</t>
  </si>
  <si>
    <t>archeri</t>
  </si>
  <si>
    <t>asperrima</t>
  </si>
  <si>
    <t>augustifolium</t>
  </si>
  <si>
    <t>begoniifolia</t>
  </si>
  <si>
    <t>bellengeri</t>
  </si>
  <si>
    <t>benghalensis</t>
  </si>
  <si>
    <t>benjamina</t>
  </si>
  <si>
    <t>bougainvillei</t>
  </si>
  <si>
    <t>brevifolia</t>
  </si>
  <si>
    <t>caballina</t>
  </si>
  <si>
    <t>calimana</t>
  </si>
  <si>
    <t>callophylla</t>
  </si>
  <si>
    <t>capensis</t>
  </si>
  <si>
    <t>carica</t>
  </si>
  <si>
    <t>enormis</t>
  </si>
  <si>
    <t>erythrosticta</t>
  </si>
  <si>
    <t>gemina</t>
  </si>
  <si>
    <t>glabrata</t>
  </si>
  <si>
    <t>glaucescens</t>
  </si>
  <si>
    <t>gomelleira</t>
  </si>
  <si>
    <t>nymphaeafolia</t>
  </si>
  <si>
    <t>pulchelia</t>
  </si>
  <si>
    <t>radula</t>
  </si>
  <si>
    <t>ramiflora</t>
  </si>
  <si>
    <t>regularis</t>
  </si>
  <si>
    <t>retusa</t>
  </si>
  <si>
    <t>tapajozensis</t>
  </si>
  <si>
    <t>Myristicaceae</t>
  </si>
  <si>
    <t>Virola</t>
  </si>
  <si>
    <t>calophylla</t>
  </si>
  <si>
    <t>calophylloidea</t>
  </si>
  <si>
    <t>carinata</t>
  </si>
  <si>
    <t>flexuosa</t>
  </si>
  <si>
    <t>gardneri</t>
  </si>
  <si>
    <t>gracilis</t>
  </si>
  <si>
    <t>guatemalensis</t>
  </si>
  <si>
    <t>koschnyi</t>
  </si>
  <si>
    <t>loretensis</t>
  </si>
  <si>
    <t>melinonii</t>
  </si>
  <si>
    <t>molissima</t>
  </si>
  <si>
    <t>multicostata</t>
  </si>
  <si>
    <t>multinervia</t>
  </si>
  <si>
    <t>pavanis</t>
  </si>
  <si>
    <t>sebifera</t>
  </si>
  <si>
    <t>venosa</t>
  </si>
  <si>
    <t>Myrtaceae</t>
  </si>
  <si>
    <t>Eucalyptus</t>
  </si>
  <si>
    <t>Eugenia</t>
  </si>
  <si>
    <t>aerosa</t>
  </si>
  <si>
    <t>cf-costata</t>
  </si>
  <si>
    <t>chartacea</t>
  </si>
  <si>
    <t>clinocarpa</t>
  </si>
  <si>
    <t>confusa</t>
  </si>
  <si>
    <t>feijoi</t>
  </si>
  <si>
    <t>florida</t>
  </si>
  <si>
    <t>jambolana</t>
  </si>
  <si>
    <t>macrocalyx</t>
  </si>
  <si>
    <t>malaccensis</t>
  </si>
  <si>
    <t>muricata</t>
  </si>
  <si>
    <t>patrisii</t>
  </si>
  <si>
    <t>pseudopsidium</t>
  </si>
  <si>
    <t>quadrijuga</t>
  </si>
  <si>
    <t>riparia</t>
  </si>
  <si>
    <t>rostrifolia</t>
  </si>
  <si>
    <t>stipitata</t>
  </si>
  <si>
    <t>tapacumensis</t>
  </si>
  <si>
    <t>Phyllocalyx</t>
  </si>
  <si>
    <t>involucratus</t>
  </si>
  <si>
    <t>Psidium</t>
  </si>
  <si>
    <t>Nyctaginaceae</t>
  </si>
  <si>
    <t>Neea</t>
  </si>
  <si>
    <t>aeruginosa</t>
  </si>
  <si>
    <t>cauliflora</t>
  </si>
  <si>
    <t>divaricata</t>
  </si>
  <si>
    <t>madeirana</t>
  </si>
  <si>
    <t>spruceana</t>
  </si>
  <si>
    <t>tristis</t>
  </si>
  <si>
    <t>uberrima</t>
  </si>
  <si>
    <t>Pisonia</t>
  </si>
  <si>
    <t>ambigua</t>
  </si>
  <si>
    <t>Olacaceae</t>
  </si>
  <si>
    <t>Minquartia</t>
  </si>
  <si>
    <t>Phytolaccaceae</t>
  </si>
  <si>
    <t>Gallesia</t>
  </si>
  <si>
    <t>gorarema</t>
  </si>
  <si>
    <t>Pinaceae-Gymn</t>
  </si>
  <si>
    <t>Pinus</t>
  </si>
  <si>
    <t>koralensis</t>
  </si>
  <si>
    <t>oocarpa</t>
  </si>
  <si>
    <t>Podocarpaceae-Gymn</t>
  </si>
  <si>
    <t>Podocarpus</t>
  </si>
  <si>
    <t>lambertii</t>
  </si>
  <si>
    <t>neriifolius</t>
  </si>
  <si>
    <t>Proteaceae</t>
  </si>
  <si>
    <t>Grevillea</t>
  </si>
  <si>
    <t>Rosaceae</t>
  </si>
  <si>
    <t>Prunus</t>
  </si>
  <si>
    <t>sellowiana</t>
  </si>
  <si>
    <t>Rubiaceae</t>
  </si>
  <si>
    <t>Sickingia</t>
  </si>
  <si>
    <t>oliveri</t>
  </si>
  <si>
    <t>Rutaceae</t>
  </si>
  <si>
    <t>Balfourodendron</t>
  </si>
  <si>
    <t>riedelianum</t>
  </si>
  <si>
    <t>Esenbeckia</t>
  </si>
  <si>
    <t>Euxylophora</t>
  </si>
  <si>
    <t>Santalaceae</t>
  </si>
  <si>
    <t>Osyris</t>
  </si>
  <si>
    <t>tenuifolia</t>
  </si>
  <si>
    <t>wightiana</t>
  </si>
  <si>
    <t>Sapindaceae</t>
  </si>
  <si>
    <t>Talisia</t>
  </si>
  <si>
    <t>Sapotaceae</t>
  </si>
  <si>
    <t>Bumelia</t>
  </si>
  <si>
    <t>obtusifolia</t>
  </si>
  <si>
    <t>Ecclinusa</t>
  </si>
  <si>
    <t>Eglerodendron</t>
  </si>
  <si>
    <t>pariry</t>
  </si>
  <si>
    <t>Eremoluma</t>
  </si>
  <si>
    <t>krukoffii</t>
  </si>
  <si>
    <t>purusiana</t>
  </si>
  <si>
    <t>Franchetella</t>
  </si>
  <si>
    <t>anibifolia</t>
  </si>
  <si>
    <t>platyphylla</t>
  </si>
  <si>
    <t>Labatia</t>
  </si>
  <si>
    <t>Manilkara</t>
  </si>
  <si>
    <t>bidentata</t>
  </si>
  <si>
    <t>huberi</t>
  </si>
  <si>
    <t>solimoesensis</t>
  </si>
  <si>
    <t>zapotilla</t>
  </si>
  <si>
    <t>Micropholis</t>
  </si>
  <si>
    <t>guyanensis</t>
  </si>
  <si>
    <t>venulosa</t>
  </si>
  <si>
    <t>Pouteria</t>
  </si>
  <si>
    <t>aff-gongrijpii</t>
  </si>
  <si>
    <t>aff-reticulata</t>
  </si>
  <si>
    <t>cuspidata</t>
  </si>
  <si>
    <t>decorticans</t>
  </si>
  <si>
    <t>filipes</t>
  </si>
  <si>
    <t>franciscana</t>
  </si>
  <si>
    <t>furcata</t>
  </si>
  <si>
    <t>gomphiifolia</t>
  </si>
  <si>
    <t>gutta</t>
  </si>
  <si>
    <t>hispida</t>
  </si>
  <si>
    <t>jariensis</t>
  </si>
  <si>
    <t>laevigata</t>
  </si>
  <si>
    <t>lasiocarpa</t>
  </si>
  <si>
    <t>laurifolia</t>
  </si>
  <si>
    <t>plicata</t>
  </si>
  <si>
    <t>salicifolia</t>
  </si>
  <si>
    <t>surumuensis</t>
  </si>
  <si>
    <t>torta</t>
  </si>
  <si>
    <t>trichopoda</t>
  </si>
  <si>
    <t>trilocularis</t>
  </si>
  <si>
    <t>vestita</t>
  </si>
  <si>
    <t>Richardella</t>
  </si>
  <si>
    <t>trigonosperma</t>
  </si>
  <si>
    <t>Syzygiopsis</t>
  </si>
  <si>
    <t>oblanceolata</t>
  </si>
  <si>
    <t>Urbanella</t>
  </si>
  <si>
    <t>ephedrantha</t>
  </si>
  <si>
    <t>Simaroubaceae</t>
  </si>
  <si>
    <t>Simarouba</t>
  </si>
  <si>
    <t>glauca</t>
  </si>
  <si>
    <t>Simaruba</t>
  </si>
  <si>
    <t>Staphyleaceae</t>
  </si>
  <si>
    <t>Huerta</t>
  </si>
  <si>
    <t>cubensis</t>
  </si>
  <si>
    <t>Sterculiaceae</t>
  </si>
  <si>
    <t>Pterygota</t>
  </si>
  <si>
    <t>bequaertii</t>
  </si>
  <si>
    <t>forbesii</t>
  </si>
  <si>
    <t>horsfieldii</t>
  </si>
  <si>
    <t>mildbraedii</t>
  </si>
  <si>
    <t>Taxaceae-Gymn</t>
  </si>
  <si>
    <t>Taxus</t>
  </si>
  <si>
    <t>Tetracentraceae</t>
  </si>
  <si>
    <t>Tetracentron</t>
  </si>
  <si>
    <t>sinense</t>
  </si>
  <si>
    <t>Thymelaeaceae</t>
  </si>
  <si>
    <t>Aquilaria</t>
  </si>
  <si>
    <t>sinensis</t>
  </si>
  <si>
    <t>Gonystylus</t>
  </si>
  <si>
    <t>bancanus</t>
  </si>
  <si>
    <t>macrophyllus</t>
  </si>
  <si>
    <t>philippensis</t>
  </si>
  <si>
    <t>warburgianus</t>
  </si>
  <si>
    <t>Tiliaceae</t>
  </si>
  <si>
    <t>Hydrogaster</t>
  </si>
  <si>
    <t>trinerve</t>
  </si>
  <si>
    <t>Luehea</t>
  </si>
  <si>
    <t>Verbenaceae</t>
  </si>
  <si>
    <t>Gmelina</t>
  </si>
  <si>
    <t>Tectona</t>
  </si>
  <si>
    <t>Vochysiaceae</t>
  </si>
  <si>
    <t>Erisma</t>
  </si>
  <si>
    <t>uncinatum</t>
  </si>
  <si>
    <t>Qualea</t>
  </si>
  <si>
    <t>albifora</t>
  </si>
  <si>
    <t>Vochysia</t>
  </si>
  <si>
    <t>cf-ferruginea</t>
  </si>
  <si>
    <t>obidensis</t>
  </si>
  <si>
    <t>vismiaefolia</t>
  </si>
  <si>
    <t>Zygophyllaceae</t>
  </si>
  <si>
    <t>Guaiacum</t>
  </si>
  <si>
    <t>coulteri</t>
  </si>
  <si>
    <t>officinale</t>
  </si>
  <si>
    <t>sanctum</t>
  </si>
  <si>
    <t>Unique Genus</t>
  </si>
  <si>
    <t>Family Rows</t>
  </si>
  <si>
    <t>Genus Rows</t>
  </si>
  <si>
    <t>Species Rows</t>
  </si>
  <si>
    <t>UNI_spec_fam</t>
  </si>
  <si>
    <t>Family</t>
  </si>
  <si>
    <t>Genus Array</t>
  </si>
  <si>
    <t>Count Of Genus's</t>
  </si>
  <si>
    <t>Min Genus</t>
  </si>
  <si>
    <t>Max Genus</t>
  </si>
  <si>
    <t>Diff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</si>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</sst>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5" fillId="0" borderId="0" xfId="0" applyFont="1"/>
    <xf numFmtId="9" fontId="5" fillId="0" borderId="0" xfId="1" applyFont="1"/>
    <xf numFmtId="0" fontId="3" fillId="0" borderId="0" xfId="0" applyFont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1" xfId="0" applyFont="1" applyBorder="1"/>
    <xf numFmtId="0" fontId="5" fillId="0" borderId="7" xfId="0" applyFont="1" applyBorder="1"/>
    <xf numFmtId="0" fontId="5" fillId="0" borderId="8" xfId="0" applyFont="1" applyBorder="1"/>
    <xf numFmtId="0" fontId="0" fillId="0" borderId="4" xfId="0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3" fillId="0" borderId="0" xfId="0" applyFont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2"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sheetMetadata" Target="metadata.xml"/><Relationship Id="rId3" Type="http://schemas.openxmlformats.org/officeDocument/2006/relationships/chartsheet" Target="chartsheets/sheet3.xml"/><Relationship Id="rId7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2.xml"/><Relationship Id="rId11" Type="http://schemas.openxmlformats.org/officeDocument/2006/relationships/styles" Target="styles.xml"/><Relationship Id="rId5" Type="http://schemas.openxmlformats.org/officeDocument/2006/relationships/worksheet" Target="worksheets/sheet1.xml"/><Relationship Id="rId10" Type="http://schemas.openxmlformats.org/officeDocument/2006/relationships/theme" Target="theme/theme1.xml"/><Relationship Id="rId4" Type="http://schemas.openxmlformats.org/officeDocument/2006/relationships/chartsheet" Target="chartsheets/sheet4.xml"/><Relationship Id="rId9" Type="http://schemas.openxmlformats.org/officeDocument/2006/relationships/worksheet" Target="worksheets/sheet5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Taxonomy!$I$926</c:f>
              <c:strCache>
                <c:ptCount val="1"/>
                <c:pt idx="0">
                  <c:v>11,320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Taxonomy!$H$1:$H$925</c:f>
              <c:strCache>
                <c:ptCount val="925"/>
                <c:pt idx="0">
                  <c:v>Species</c:v>
                </c:pt>
                <c:pt idx="1">
                  <c:v>inundata-52</c:v>
                </c:pt>
                <c:pt idx="2">
                  <c:v>enneandra-15</c:v>
                </c:pt>
                <c:pt idx="3">
                  <c:v>cf-parvifolia-29</c:v>
                </c:pt>
                <c:pt idx="4">
                  <c:v>auriculata-30</c:v>
                </c:pt>
                <c:pt idx="5">
                  <c:v>ampelos-36</c:v>
                </c:pt>
                <c:pt idx="6">
                  <c:v>caballina-36</c:v>
                </c:pt>
                <c:pt idx="7">
                  <c:v>lambertii-43</c:v>
                </c:pt>
                <c:pt idx="8">
                  <c:v>tenulfolium-2</c:v>
                </c:pt>
                <c:pt idx="9">
                  <c:v>cf-guayacan-7</c:v>
                </c:pt>
                <c:pt idx="10">
                  <c:v>cf-heptaphilla-7</c:v>
                </c:pt>
                <c:pt idx="11">
                  <c:v>aff-simaruba-11</c:v>
                </c:pt>
                <c:pt idx="12">
                  <c:v>alata-17</c:v>
                </c:pt>
                <c:pt idx="13">
                  <c:v>quadrivalvis-21</c:v>
                </c:pt>
                <c:pt idx="14">
                  <c:v>peruviana-27</c:v>
                </c:pt>
                <c:pt idx="15">
                  <c:v>schlerocarpa-29</c:v>
                </c:pt>
                <c:pt idx="16">
                  <c:v>oleifera-28</c:v>
                </c:pt>
                <c:pt idx="17">
                  <c:v>laxiflorus-31</c:v>
                </c:pt>
                <c:pt idx="18">
                  <c:v>atropurpureus-31</c:v>
                </c:pt>
                <c:pt idx="19">
                  <c:v>neuroscapha-31</c:v>
                </c:pt>
                <c:pt idx="20">
                  <c:v>punctatus-31</c:v>
                </c:pt>
                <c:pt idx="21">
                  <c:v>whitfordii-31</c:v>
                </c:pt>
                <c:pt idx="22">
                  <c:v>amazonum-31</c:v>
                </c:pt>
                <c:pt idx="23">
                  <c:v>tinctoria-36</c:v>
                </c:pt>
                <c:pt idx="24">
                  <c:v>brasiliensis-38</c:v>
                </c:pt>
                <c:pt idx="25">
                  <c:v>clinocarpa-38</c:v>
                </c:pt>
                <c:pt idx="26">
                  <c:v>confusa-38</c:v>
                </c:pt>
                <c:pt idx="27">
                  <c:v>quadrijuga-38</c:v>
                </c:pt>
                <c:pt idx="28">
                  <c:v>riparia-38</c:v>
                </c:pt>
                <c:pt idx="29">
                  <c:v>spruceana-39</c:v>
                </c:pt>
                <c:pt idx="30">
                  <c:v>decorticans-50</c:v>
                </c:pt>
                <c:pt idx="31">
                  <c:v>ovata-50</c:v>
                </c:pt>
                <c:pt idx="32">
                  <c:v>myriantha-2</c:v>
                </c:pt>
                <c:pt idx="33">
                  <c:v>cylindrocarpon-4</c:v>
                </c:pt>
                <c:pt idx="34">
                  <c:v>melanocalix-4</c:v>
                </c:pt>
                <c:pt idx="35">
                  <c:v>monterol-4</c:v>
                </c:pt>
                <c:pt idx="36">
                  <c:v>rufescens-7</c:v>
                </c:pt>
                <c:pt idx="37">
                  <c:v>juranylana-13</c:v>
                </c:pt>
                <c:pt idx="38">
                  <c:v>obtusa-13</c:v>
                </c:pt>
                <c:pt idx="39">
                  <c:v>robusta-15</c:v>
                </c:pt>
                <c:pt idx="40">
                  <c:v>bracteatum-16</c:v>
                </c:pt>
                <c:pt idx="41">
                  <c:v>brownii-17</c:v>
                </c:pt>
                <c:pt idx="42">
                  <c:v>macroptera-17</c:v>
                </c:pt>
                <c:pt idx="43">
                  <c:v>pellucida-17</c:v>
                </c:pt>
                <c:pt idx="44">
                  <c:v>ruspolii-17</c:v>
                </c:pt>
                <c:pt idx="45">
                  <c:v>martiniana-26</c:v>
                </c:pt>
                <c:pt idx="46">
                  <c:v>glomerata-26</c:v>
                </c:pt>
                <c:pt idx="47">
                  <c:v>sp-26</c:v>
                </c:pt>
                <c:pt idx="48">
                  <c:v>corrugata-27</c:v>
                </c:pt>
                <c:pt idx="49">
                  <c:v>zabucaja-27</c:v>
                </c:pt>
                <c:pt idx="50">
                  <c:v>pulcherrima-29</c:v>
                </c:pt>
                <c:pt idx="51">
                  <c:v>ebano-29</c:v>
                </c:pt>
                <c:pt idx="52">
                  <c:v>maranhensis-29</c:v>
                </c:pt>
                <c:pt idx="53">
                  <c:v>sp-29</c:v>
                </c:pt>
                <c:pt idx="54">
                  <c:v>mangium-30</c:v>
                </c:pt>
                <c:pt idx="55">
                  <c:v>platycephala-30</c:v>
                </c:pt>
                <c:pt idx="56">
                  <c:v>foliolosa-30</c:v>
                </c:pt>
                <c:pt idx="57">
                  <c:v>polyphylla-30</c:v>
                </c:pt>
                <c:pt idx="58">
                  <c:v>greveana-31</c:v>
                </c:pt>
                <c:pt idx="59">
                  <c:v>latifolia-31</c:v>
                </c:pt>
                <c:pt idx="60">
                  <c:v>polyphylla-31</c:v>
                </c:pt>
                <c:pt idx="61">
                  <c:v>heterocarpum-31</c:v>
                </c:pt>
                <c:pt idx="62">
                  <c:v>michelianus-31</c:v>
                </c:pt>
                <c:pt idx="63">
                  <c:v>muehlenbergianus-31</c:v>
                </c:pt>
                <c:pt idx="64">
                  <c:v>rugosus-31</c:v>
                </c:pt>
                <c:pt idx="65">
                  <c:v>angustifolium-31</c:v>
                </c:pt>
                <c:pt idx="66">
                  <c:v>floribundum-31</c:v>
                </c:pt>
                <c:pt idx="67">
                  <c:v>grandifolium-31</c:v>
                </c:pt>
                <c:pt idx="68">
                  <c:v>latialatum-31</c:v>
                </c:pt>
                <c:pt idx="69">
                  <c:v>ulei-31</c:v>
                </c:pt>
                <c:pt idx="70">
                  <c:v>guedesii-35</c:v>
                </c:pt>
                <c:pt idx="71">
                  <c:v>maxima-36</c:v>
                </c:pt>
                <c:pt idx="72">
                  <c:v>nymphaeafolia-36</c:v>
                </c:pt>
                <c:pt idx="73">
                  <c:v>flexuosa-37</c:v>
                </c:pt>
                <c:pt idx="74">
                  <c:v>malaccensis-38</c:v>
                </c:pt>
                <c:pt idx="75">
                  <c:v>stipitata-38</c:v>
                </c:pt>
                <c:pt idx="76">
                  <c:v>aeruginosa-39</c:v>
                </c:pt>
                <c:pt idx="77">
                  <c:v>uberrima-39</c:v>
                </c:pt>
                <c:pt idx="78">
                  <c:v>lanceolata-50</c:v>
                </c:pt>
                <c:pt idx="79">
                  <c:v>purusiana-50</c:v>
                </c:pt>
                <c:pt idx="80">
                  <c:v>franciscana-50</c:v>
                </c:pt>
                <c:pt idx="81">
                  <c:v>gomphiifolia-50</c:v>
                </c:pt>
                <c:pt idx="82">
                  <c:v>laurifolia-50</c:v>
                </c:pt>
                <c:pt idx="83">
                  <c:v>pachycarpa-4</c:v>
                </c:pt>
                <c:pt idx="84">
                  <c:v>marcgravianum-4</c:v>
                </c:pt>
                <c:pt idx="85">
                  <c:v>dugandii-7</c:v>
                </c:pt>
                <c:pt idx="86">
                  <c:v>arborea-8</c:v>
                </c:pt>
                <c:pt idx="87">
                  <c:v>edule-12</c:v>
                </c:pt>
                <c:pt idx="88">
                  <c:v>sp-12</c:v>
                </c:pt>
                <c:pt idx="89">
                  <c:v>bureaniana-13</c:v>
                </c:pt>
                <c:pt idx="90">
                  <c:v>concolor-13</c:v>
                </c:pt>
                <c:pt idx="91">
                  <c:v>bullata-15</c:v>
                </c:pt>
                <c:pt idx="92">
                  <c:v>punctillata-15</c:v>
                </c:pt>
                <c:pt idx="93">
                  <c:v>kunthiana-15</c:v>
                </c:pt>
                <c:pt idx="94">
                  <c:v>piresii-15</c:v>
                </c:pt>
                <c:pt idx="95">
                  <c:v>rondonii-15</c:v>
                </c:pt>
                <c:pt idx="96">
                  <c:v>benzoin-17</c:v>
                </c:pt>
                <c:pt idx="97">
                  <c:v>ovocarpa-17</c:v>
                </c:pt>
                <c:pt idx="98">
                  <c:v>travancoricus-17</c:v>
                </c:pt>
                <c:pt idx="99">
                  <c:v>fendieriana-21</c:v>
                </c:pt>
                <c:pt idx="100">
                  <c:v>sapotifolia-23</c:v>
                </c:pt>
                <c:pt idx="101">
                  <c:v>cissiflora-26</c:v>
                </c:pt>
                <c:pt idx="102">
                  <c:v>canaliculata-26</c:v>
                </c:pt>
                <c:pt idx="103">
                  <c:v>caudata-26</c:v>
                </c:pt>
                <c:pt idx="104">
                  <c:v>maguireana-26</c:v>
                </c:pt>
                <c:pt idx="105">
                  <c:v>sericiflora-26</c:v>
                </c:pt>
                <c:pt idx="106">
                  <c:v>langsdortii-29</c:v>
                </c:pt>
                <c:pt idx="107">
                  <c:v>exaltata-29</c:v>
                </c:pt>
                <c:pt idx="108">
                  <c:v>hymenaefolia-29</c:v>
                </c:pt>
                <c:pt idx="109">
                  <c:v>chysophyllum-29</c:v>
                </c:pt>
                <c:pt idx="110">
                  <c:v>myrmecophila-29</c:v>
                </c:pt>
                <c:pt idx="111">
                  <c:v>cf. glomerosa-30</c:v>
                </c:pt>
                <c:pt idx="112">
                  <c:v>sp-30</c:v>
                </c:pt>
                <c:pt idx="113">
                  <c:v>adiantoides-30</c:v>
                </c:pt>
                <c:pt idx="114">
                  <c:v>glomerosa-30</c:v>
                </c:pt>
                <c:pt idx="115">
                  <c:v>barbatimao-30</c:v>
                </c:pt>
                <c:pt idx="116">
                  <c:v>coriaceum-30</c:v>
                </c:pt>
                <c:pt idx="117">
                  <c:v>madagascariensis-31</c:v>
                </c:pt>
                <c:pt idx="118">
                  <c:v>complicatum-31</c:v>
                </c:pt>
                <c:pt idx="119">
                  <c:v>crucisrubienae-31</c:v>
                </c:pt>
                <c:pt idx="120">
                  <c:v>arboreum-31</c:v>
                </c:pt>
                <c:pt idx="121">
                  <c:v>coriacea-33</c:v>
                </c:pt>
                <c:pt idx="122">
                  <c:v>obsersa-33</c:v>
                </c:pt>
                <c:pt idx="123">
                  <c:v>aurea-36</c:v>
                </c:pt>
                <c:pt idx="124">
                  <c:v>enormis-36</c:v>
                </c:pt>
                <c:pt idx="125">
                  <c:v>pulchelia-36</c:v>
                </c:pt>
                <c:pt idx="126">
                  <c:v>radula-36</c:v>
                </c:pt>
                <c:pt idx="127">
                  <c:v>retusa-36</c:v>
                </c:pt>
                <c:pt idx="128">
                  <c:v>carinata-37</c:v>
                </c:pt>
                <c:pt idx="129">
                  <c:v>macrocarpa-37</c:v>
                </c:pt>
                <c:pt idx="130">
                  <c:v>molissima-37</c:v>
                </c:pt>
                <c:pt idx="131">
                  <c:v>chartacea-38</c:v>
                </c:pt>
                <c:pt idx="132">
                  <c:v>egensis-38</c:v>
                </c:pt>
                <c:pt idx="133">
                  <c:v>florida-38</c:v>
                </c:pt>
                <c:pt idx="134">
                  <c:v>tapacumensis-38</c:v>
                </c:pt>
                <c:pt idx="135">
                  <c:v>krukovii-39</c:v>
                </c:pt>
                <c:pt idx="136">
                  <c:v>punctata-40</c:v>
                </c:pt>
                <c:pt idx="137">
                  <c:v>oocarpa-42</c:v>
                </c:pt>
                <c:pt idx="138">
                  <c:v>wightiana-48</c:v>
                </c:pt>
                <c:pt idx="139">
                  <c:v>platyphylla-50</c:v>
                </c:pt>
                <c:pt idx="140">
                  <c:v>aff-reticulata-50</c:v>
                </c:pt>
                <c:pt idx="141">
                  <c:v>cuspidata-50</c:v>
                </c:pt>
                <c:pt idx="142">
                  <c:v>lasiocarpa-50</c:v>
                </c:pt>
                <c:pt idx="143">
                  <c:v>trichopoda-50</c:v>
                </c:pt>
                <c:pt idx="144">
                  <c:v>sinensis-56</c:v>
                </c:pt>
                <c:pt idx="145">
                  <c:v>centrala-4</c:v>
                </c:pt>
                <c:pt idx="146">
                  <c:v>occidentale-4</c:v>
                </c:pt>
                <c:pt idx="147">
                  <c:v>subincanum-4</c:v>
                </c:pt>
                <c:pt idx="148">
                  <c:v>argentea-7</c:v>
                </c:pt>
                <c:pt idx="149">
                  <c:v>haemantha-7</c:v>
                </c:pt>
                <c:pt idx="150">
                  <c:v>leptopoda-7</c:v>
                </c:pt>
                <c:pt idx="151">
                  <c:v>rigida-7</c:v>
                </c:pt>
                <c:pt idx="152">
                  <c:v>duckel-15</c:v>
                </c:pt>
                <c:pt idx="153">
                  <c:v>latifolia-17</c:v>
                </c:pt>
                <c:pt idx="154">
                  <c:v>mauritiana-17</c:v>
                </c:pt>
                <c:pt idx="155">
                  <c:v>mollis-17</c:v>
                </c:pt>
                <c:pt idx="156">
                  <c:v>pocarpa-17</c:v>
                </c:pt>
                <c:pt idx="157">
                  <c:v>quintala-17</c:v>
                </c:pt>
                <c:pt idx="158">
                  <c:v>rhodesica-17</c:v>
                </c:pt>
                <c:pt idx="159">
                  <c:v>samoensis-17</c:v>
                </c:pt>
                <c:pt idx="160">
                  <c:v>steenisiana-17</c:v>
                </c:pt>
                <c:pt idx="161">
                  <c:v>durissima-21</c:v>
                </c:pt>
                <c:pt idx="162">
                  <c:v>reticulata-21</c:v>
                </c:pt>
                <c:pt idx="163">
                  <c:v>princeps-22</c:v>
                </c:pt>
                <c:pt idx="164">
                  <c:v>rosaeodora-26</c:v>
                </c:pt>
                <c:pt idx="165">
                  <c:v>nitida-26</c:v>
                </c:pt>
                <c:pt idx="166">
                  <c:v>froesii-26</c:v>
                </c:pt>
                <c:pt idx="167">
                  <c:v>globifera-26</c:v>
                </c:pt>
                <c:pt idx="168">
                  <c:v>marmellensis-26</c:v>
                </c:pt>
                <c:pt idx="169">
                  <c:v>froesii-27</c:v>
                </c:pt>
                <c:pt idx="170">
                  <c:v>matamata-27</c:v>
                </c:pt>
                <c:pt idx="171">
                  <c:v>gigantea-27</c:v>
                </c:pt>
                <c:pt idx="172">
                  <c:v>bipindensis-29</c:v>
                </c:pt>
                <c:pt idx="173">
                  <c:v>bahamensis-29</c:v>
                </c:pt>
                <c:pt idx="174">
                  <c:v>paraguariensis-29</c:v>
                </c:pt>
                <c:pt idx="175">
                  <c:v>sp-29</c:v>
                </c:pt>
                <c:pt idx="176">
                  <c:v>punctata-29</c:v>
                </c:pt>
                <c:pt idx="177">
                  <c:v>glomerosa-30</c:v>
                </c:pt>
                <c:pt idx="178">
                  <c:v>schomburgkii-30</c:v>
                </c:pt>
                <c:pt idx="179">
                  <c:v>pedicellare-30</c:v>
                </c:pt>
                <c:pt idx="180">
                  <c:v>excelsa-31</c:v>
                </c:pt>
                <c:pt idx="181">
                  <c:v>stevensonii-31</c:v>
                </c:pt>
                <c:pt idx="182">
                  <c:v>tricolor-31</c:v>
                </c:pt>
                <c:pt idx="183">
                  <c:v>capassa-31</c:v>
                </c:pt>
                <c:pt idx="184">
                  <c:v>cf-dipteroneurus-31</c:v>
                </c:pt>
                <c:pt idx="185">
                  <c:v>denutatus-31</c:v>
                </c:pt>
                <c:pt idx="186">
                  <c:v>hedyosmus-31</c:v>
                </c:pt>
                <c:pt idx="187">
                  <c:v>salvadorensis-31</c:v>
                </c:pt>
                <c:pt idx="188">
                  <c:v>amphymenium-31</c:v>
                </c:pt>
                <c:pt idx="189">
                  <c:v>sp-35</c:v>
                </c:pt>
                <c:pt idx="190">
                  <c:v>anthelmintica-36</c:v>
                </c:pt>
                <c:pt idx="191">
                  <c:v>asperrima-36</c:v>
                </c:pt>
                <c:pt idx="192">
                  <c:v>benjamina-36</c:v>
                </c:pt>
                <c:pt idx="193">
                  <c:v>capensis-36</c:v>
                </c:pt>
                <c:pt idx="194">
                  <c:v>glabrata-36</c:v>
                </c:pt>
                <c:pt idx="195">
                  <c:v>calophylla-37</c:v>
                </c:pt>
                <c:pt idx="196">
                  <c:v>multicostata-37</c:v>
                </c:pt>
                <c:pt idx="197">
                  <c:v>officinalis-37</c:v>
                </c:pt>
                <c:pt idx="198">
                  <c:v>pavanis-37</c:v>
                </c:pt>
                <c:pt idx="199">
                  <c:v>jambolana-38</c:v>
                </c:pt>
                <c:pt idx="200">
                  <c:v>macrocalyx-38</c:v>
                </c:pt>
                <c:pt idx="201">
                  <c:v>involucratus-38</c:v>
                </c:pt>
                <c:pt idx="202">
                  <c:v>cauliflora-39</c:v>
                </c:pt>
                <c:pt idx="203">
                  <c:v>macrophylla-39</c:v>
                </c:pt>
                <c:pt idx="204">
                  <c:v>sp-39</c:v>
                </c:pt>
                <c:pt idx="205">
                  <c:v>tristis-39</c:v>
                </c:pt>
                <c:pt idx="206">
                  <c:v>ambigua-39</c:v>
                </c:pt>
                <c:pt idx="207">
                  <c:v>oliveri-46</c:v>
                </c:pt>
                <c:pt idx="208">
                  <c:v>sp-46</c:v>
                </c:pt>
                <c:pt idx="209">
                  <c:v>arborea-48</c:v>
                </c:pt>
                <c:pt idx="210">
                  <c:v>esculenta-49</c:v>
                </c:pt>
                <c:pt idx="211">
                  <c:v>krukoffii-50</c:v>
                </c:pt>
                <c:pt idx="212">
                  <c:v>solimoesensis-50</c:v>
                </c:pt>
                <c:pt idx="213">
                  <c:v>salicifolia-50</c:v>
                </c:pt>
                <c:pt idx="214">
                  <c:v>cubensis-52</c:v>
                </c:pt>
                <c:pt idx="215">
                  <c:v>macrocarpa-53</c:v>
                </c:pt>
                <c:pt idx="216">
                  <c:v>maingayi-56</c:v>
                </c:pt>
                <c:pt idx="217">
                  <c:v>philippensis-56</c:v>
                </c:pt>
                <c:pt idx="218">
                  <c:v>cf-ferruginea-59</c:v>
                </c:pt>
                <c:pt idx="219">
                  <c:v>lanceolata-3</c:v>
                </c:pt>
                <c:pt idx="220">
                  <c:v>albun-4</c:v>
                </c:pt>
                <c:pt idx="221">
                  <c:v>maingayi-4</c:v>
                </c:pt>
                <c:pt idx="222">
                  <c:v>aurea-7</c:v>
                </c:pt>
                <c:pt idx="223">
                  <c:v>cf-dugandii-7</c:v>
                </c:pt>
                <c:pt idx="224">
                  <c:v>gaudichaudii-7</c:v>
                </c:pt>
                <c:pt idx="225">
                  <c:v>jacaranda-7</c:v>
                </c:pt>
                <c:pt idx="226">
                  <c:v>lepidophylla-7</c:v>
                </c:pt>
                <c:pt idx="227">
                  <c:v>prieurii-7</c:v>
                </c:pt>
                <c:pt idx="228">
                  <c:v>bicolor-13</c:v>
                </c:pt>
                <c:pt idx="229">
                  <c:v>hebeciada-15</c:v>
                </c:pt>
                <c:pt idx="230">
                  <c:v>rasa-15</c:v>
                </c:pt>
                <c:pt idx="231">
                  <c:v>eriandra-15</c:v>
                </c:pt>
                <c:pt idx="232">
                  <c:v>longistyla-15</c:v>
                </c:pt>
                <c:pt idx="233">
                  <c:v>maxima-15</c:v>
                </c:pt>
                <c:pt idx="234">
                  <c:v>niloi-15</c:v>
                </c:pt>
                <c:pt idx="235">
                  <c:v>sclerophylla-15</c:v>
                </c:pt>
                <c:pt idx="236">
                  <c:v>uniguiculata-15</c:v>
                </c:pt>
                <c:pt idx="237">
                  <c:v>fanshawei-17</c:v>
                </c:pt>
                <c:pt idx="238">
                  <c:v>brachystemma-17</c:v>
                </c:pt>
                <c:pt idx="239">
                  <c:v>crenulata-17</c:v>
                </c:pt>
                <c:pt idx="240">
                  <c:v>erici-rosenii-17</c:v>
                </c:pt>
                <c:pt idx="241">
                  <c:v>hayesii-17</c:v>
                </c:pt>
                <c:pt idx="242">
                  <c:v>sp-20</c:v>
                </c:pt>
                <c:pt idx="243">
                  <c:v>dentata-21</c:v>
                </c:pt>
                <c:pt idx="244">
                  <c:v>grandiflora-21</c:v>
                </c:pt>
                <c:pt idx="245">
                  <c:v>uchi-24</c:v>
                </c:pt>
                <c:pt idx="246">
                  <c:v>cuneato-cordata-26</c:v>
                </c:pt>
                <c:pt idx="247">
                  <c:v>grandiflora-26</c:v>
                </c:pt>
                <c:pt idx="248">
                  <c:v>pardo-26</c:v>
                </c:pt>
                <c:pt idx="249">
                  <c:v>superba-26</c:v>
                </c:pt>
                <c:pt idx="250">
                  <c:v>stellata-27</c:v>
                </c:pt>
                <c:pt idx="251">
                  <c:v>albiflora-27</c:v>
                </c:pt>
                <c:pt idx="252">
                  <c:v>blanchetiana-27</c:v>
                </c:pt>
                <c:pt idx="253">
                  <c:v>cf-atropetiolata-27</c:v>
                </c:pt>
                <c:pt idx="254">
                  <c:v>longipes-27</c:v>
                </c:pt>
                <c:pt idx="255">
                  <c:v>brasiliensis-29</c:v>
                </c:pt>
                <c:pt idx="256">
                  <c:v>ferrugineum-29</c:v>
                </c:pt>
                <c:pt idx="257">
                  <c:v>sp-29</c:v>
                </c:pt>
                <c:pt idx="258">
                  <c:v>sp-29</c:v>
                </c:pt>
                <c:pt idx="259">
                  <c:v>subbullatum-29</c:v>
                </c:pt>
                <c:pt idx="260">
                  <c:v>sp-29</c:v>
                </c:pt>
                <c:pt idx="261">
                  <c:v>sp-30</c:v>
                </c:pt>
                <c:pt idx="262">
                  <c:v>ingens-30</c:v>
                </c:pt>
                <c:pt idx="263">
                  <c:v>peregrina-30</c:v>
                </c:pt>
                <c:pt idx="264">
                  <c:v>baroni-31</c:v>
                </c:pt>
                <c:pt idx="265">
                  <c:v>cf-pseudocarone-31</c:v>
                </c:pt>
                <c:pt idx="266">
                  <c:v>cf-petraeum-31</c:v>
                </c:pt>
                <c:pt idx="267">
                  <c:v>ernesti-31</c:v>
                </c:pt>
                <c:pt idx="268">
                  <c:v>nitidus-31</c:v>
                </c:pt>
                <c:pt idx="269">
                  <c:v>acutifolium-31</c:v>
                </c:pt>
                <c:pt idx="270">
                  <c:v>bovinaefolium-31</c:v>
                </c:pt>
                <c:pt idx="271">
                  <c:v>brasiliensis-31</c:v>
                </c:pt>
                <c:pt idx="272">
                  <c:v>capote-31</c:v>
                </c:pt>
                <c:pt idx="273">
                  <c:v>millei-31</c:v>
                </c:pt>
                <c:pt idx="274">
                  <c:v>stenophyllum-31</c:v>
                </c:pt>
                <c:pt idx="275">
                  <c:v>laxiflora-31</c:v>
                </c:pt>
                <c:pt idx="276">
                  <c:v>santalinus-31</c:v>
                </c:pt>
                <c:pt idx="277">
                  <c:v>sp-31</c:v>
                </c:pt>
                <c:pt idx="278">
                  <c:v>crassifolia-33</c:v>
                </c:pt>
                <c:pt idx="279">
                  <c:v>lilloi-35</c:v>
                </c:pt>
                <c:pt idx="280">
                  <c:v>tonduzii-35</c:v>
                </c:pt>
                <c:pt idx="281">
                  <c:v>cf-ivorensis-35</c:v>
                </c:pt>
                <c:pt idx="282">
                  <c:v>begoniifolia-36</c:v>
                </c:pt>
                <c:pt idx="283">
                  <c:v>glaucescens-36</c:v>
                </c:pt>
                <c:pt idx="284">
                  <c:v>calophylloidea-37</c:v>
                </c:pt>
                <c:pt idx="285">
                  <c:v>aerosa-38</c:v>
                </c:pt>
                <c:pt idx="286">
                  <c:v>rostrifolia-38</c:v>
                </c:pt>
                <c:pt idx="287">
                  <c:v>koralensis-42</c:v>
                </c:pt>
                <c:pt idx="288">
                  <c:v>caribaea-42</c:v>
                </c:pt>
                <c:pt idx="289">
                  <c:v>sellowiana-45</c:v>
                </c:pt>
                <c:pt idx="290">
                  <c:v>riedelianum-47</c:v>
                </c:pt>
                <c:pt idx="291">
                  <c:v>ramiflora-50</c:v>
                </c:pt>
                <c:pt idx="292">
                  <c:v>surumuensis-50</c:v>
                </c:pt>
                <c:pt idx="293">
                  <c:v>venosa-50</c:v>
                </c:pt>
                <c:pt idx="294">
                  <c:v>amazonica-53</c:v>
                </c:pt>
                <c:pt idx="295">
                  <c:v>floribunda-59</c:v>
                </c:pt>
                <c:pt idx="296">
                  <c:v>perata-4</c:v>
                </c:pt>
                <c:pt idx="297">
                  <c:v>angustata-7</c:v>
                </c:pt>
                <c:pt idx="298">
                  <c:v>bilbergii-7</c:v>
                </c:pt>
                <c:pt idx="299">
                  <c:v>heterotricha-7</c:v>
                </c:pt>
                <c:pt idx="300">
                  <c:v>longipes-7</c:v>
                </c:pt>
                <c:pt idx="301">
                  <c:v>palmeri-7</c:v>
                </c:pt>
                <c:pt idx="302">
                  <c:v>sauvallei-7</c:v>
                </c:pt>
                <c:pt idx="303">
                  <c:v>purusana-13</c:v>
                </c:pt>
                <c:pt idx="304">
                  <c:v>duckel-15</c:v>
                </c:pt>
                <c:pt idx="305">
                  <c:v>rodriguesii-15</c:v>
                </c:pt>
                <c:pt idx="306">
                  <c:v>floribunda-15</c:v>
                </c:pt>
                <c:pt idx="307">
                  <c:v>fritschii-15</c:v>
                </c:pt>
                <c:pt idx="308">
                  <c:v>minutiflora-15</c:v>
                </c:pt>
                <c:pt idx="309">
                  <c:v>ovalifolia-15</c:v>
                </c:pt>
                <c:pt idx="310">
                  <c:v>benthamiana-16</c:v>
                </c:pt>
                <c:pt idx="311">
                  <c:v>argentea-17</c:v>
                </c:pt>
                <c:pt idx="312">
                  <c:v>batocana-20</c:v>
                </c:pt>
                <c:pt idx="313">
                  <c:v>rubrivenium-22</c:v>
                </c:pt>
                <c:pt idx="314">
                  <c:v>lanceolata-26</c:v>
                </c:pt>
                <c:pt idx="315">
                  <c:v>krukovii-26</c:v>
                </c:pt>
                <c:pt idx="316">
                  <c:v>amara-27</c:v>
                </c:pt>
                <c:pt idx="317">
                  <c:v>rhododendrifolia-27</c:v>
                </c:pt>
                <c:pt idx="318">
                  <c:v>cochinchinensis-29</c:v>
                </c:pt>
                <c:pt idx="319">
                  <c:v>sappan-29</c:v>
                </c:pt>
                <c:pt idx="320">
                  <c:v>ferruginea-29</c:v>
                </c:pt>
                <c:pt idx="321">
                  <c:v>martii-29</c:v>
                </c:pt>
                <c:pt idx="322">
                  <c:v>glabrifolia-29</c:v>
                </c:pt>
                <c:pt idx="323">
                  <c:v>aff-ferrea-29</c:v>
                </c:pt>
                <c:pt idx="324">
                  <c:v>vogelianum-29</c:v>
                </c:pt>
                <c:pt idx="325">
                  <c:v>bracatinga-30</c:v>
                </c:pt>
                <c:pt idx="326">
                  <c:v>peregrina-30</c:v>
                </c:pt>
                <c:pt idx="327">
                  <c:v>louvelii-31</c:v>
                </c:pt>
                <c:pt idx="328">
                  <c:v>toxicaria-31</c:v>
                </c:pt>
                <c:pt idx="329">
                  <c:v>albiflorus-31</c:v>
                </c:pt>
                <c:pt idx="330">
                  <c:v>ehrenbergii-31</c:v>
                </c:pt>
                <c:pt idx="331">
                  <c:v>longistylus-31</c:v>
                </c:pt>
                <c:pt idx="332">
                  <c:v>oaxacensis-35</c:v>
                </c:pt>
                <c:pt idx="333">
                  <c:v>gemina-36</c:v>
                </c:pt>
                <c:pt idx="334">
                  <c:v>gomelleira-36</c:v>
                </c:pt>
                <c:pt idx="335">
                  <c:v>ramiflora-36</c:v>
                </c:pt>
                <c:pt idx="336">
                  <c:v>regularis-36</c:v>
                </c:pt>
                <c:pt idx="337">
                  <c:v>tapajozensis-36</c:v>
                </c:pt>
                <c:pt idx="338">
                  <c:v>multinervia-37</c:v>
                </c:pt>
                <c:pt idx="339">
                  <c:v>tenuifolia-48</c:v>
                </c:pt>
                <c:pt idx="340">
                  <c:v>obtusifolia-50</c:v>
                </c:pt>
                <c:pt idx="341">
                  <c:v>sp-50</c:v>
                </c:pt>
                <c:pt idx="342">
                  <c:v>glomerata-50</c:v>
                </c:pt>
                <c:pt idx="343">
                  <c:v>aff-gongrijpii-50</c:v>
                </c:pt>
                <c:pt idx="344">
                  <c:v>jariensis-50</c:v>
                </c:pt>
                <c:pt idx="345">
                  <c:v>procera-50</c:v>
                </c:pt>
                <c:pt idx="346">
                  <c:v>oppositifolia-50</c:v>
                </c:pt>
                <c:pt idx="347">
                  <c:v>amara-51</c:v>
                </c:pt>
                <c:pt idx="348">
                  <c:v>bequaertii-53</c:v>
                </c:pt>
                <c:pt idx="349">
                  <c:v>obidensis-59</c:v>
                </c:pt>
                <c:pt idx="350">
                  <c:v>olivaceum-4</c:v>
                </c:pt>
                <c:pt idx="351">
                  <c:v>sessiliflora-4</c:v>
                </c:pt>
                <c:pt idx="352">
                  <c:v>chrysotricha-7</c:v>
                </c:pt>
                <c:pt idx="353">
                  <c:v>dielsiana-13</c:v>
                </c:pt>
                <c:pt idx="354">
                  <c:v>canescens-15</c:v>
                </c:pt>
                <c:pt idx="355">
                  <c:v>davillaefolia-15</c:v>
                </c:pt>
                <c:pt idx="356">
                  <c:v>paraensis-15</c:v>
                </c:pt>
                <c:pt idx="357">
                  <c:v>inophyllum-16</c:v>
                </c:pt>
                <c:pt idx="358">
                  <c:v>ochroprumna-17</c:v>
                </c:pt>
                <c:pt idx="359">
                  <c:v>avicennioides-17</c:v>
                </c:pt>
                <c:pt idx="360">
                  <c:v>oreadum-17</c:v>
                </c:pt>
                <c:pt idx="361">
                  <c:v>fasciculata-26</c:v>
                </c:pt>
                <c:pt idx="362">
                  <c:v>macrothyrsus-26</c:v>
                </c:pt>
                <c:pt idx="363">
                  <c:v>pretiosa-26</c:v>
                </c:pt>
                <c:pt idx="364">
                  <c:v>nobile-26</c:v>
                </c:pt>
                <c:pt idx="365">
                  <c:v>amazonica-27</c:v>
                </c:pt>
                <c:pt idx="366">
                  <c:v>pedicellata-27</c:v>
                </c:pt>
                <c:pt idx="367">
                  <c:v>ferrea-29</c:v>
                </c:pt>
                <c:pt idx="368">
                  <c:v>granadillo-29</c:v>
                </c:pt>
                <c:pt idx="369">
                  <c:v>paniculata-29</c:v>
                </c:pt>
                <c:pt idx="370">
                  <c:v>igneiflora-30</c:v>
                </c:pt>
                <c:pt idx="371">
                  <c:v>sp-30</c:v>
                </c:pt>
                <c:pt idx="372">
                  <c:v>nigra-31</c:v>
                </c:pt>
                <c:pt idx="373">
                  <c:v>blaini-31</c:v>
                </c:pt>
                <c:pt idx="374">
                  <c:v>margaritensis-31</c:v>
                </c:pt>
                <c:pt idx="375">
                  <c:v>aculeatum-31</c:v>
                </c:pt>
                <c:pt idx="376">
                  <c:v>ovata-32</c:v>
                </c:pt>
                <c:pt idx="377">
                  <c:v>montana-35</c:v>
                </c:pt>
                <c:pt idx="378">
                  <c:v>utile-36</c:v>
                </c:pt>
                <c:pt idx="379">
                  <c:v>alicastrum-36</c:v>
                </c:pt>
                <c:pt idx="380">
                  <c:v>alba-36</c:v>
                </c:pt>
                <c:pt idx="381">
                  <c:v>archeri-36</c:v>
                </c:pt>
                <c:pt idx="382">
                  <c:v>paraensis-36</c:v>
                </c:pt>
                <c:pt idx="383">
                  <c:v>venosa-37</c:v>
                </c:pt>
                <c:pt idx="384">
                  <c:v>muricata-38</c:v>
                </c:pt>
                <c:pt idx="385">
                  <c:v>altissima-39</c:v>
                </c:pt>
                <c:pt idx="386">
                  <c:v>krukovii-50</c:v>
                </c:pt>
                <c:pt idx="387">
                  <c:v>sp-50</c:v>
                </c:pt>
                <c:pt idx="388">
                  <c:v>trigonosperma-50</c:v>
                </c:pt>
                <c:pt idx="389">
                  <c:v>pachycarpa-50</c:v>
                </c:pt>
                <c:pt idx="390">
                  <c:v>trinerve-57</c:v>
                </c:pt>
                <c:pt idx="391">
                  <c:v>pneumatophora-4</c:v>
                </c:pt>
                <c:pt idx="392">
                  <c:v>camporum-4</c:v>
                </c:pt>
                <c:pt idx="393">
                  <c:v>pallida-7</c:v>
                </c:pt>
                <c:pt idx="394">
                  <c:v>sp-13</c:v>
                </c:pt>
                <c:pt idx="395">
                  <c:v>engleri-15</c:v>
                </c:pt>
                <c:pt idx="396">
                  <c:v>oxycarpa-17</c:v>
                </c:pt>
                <c:pt idx="397">
                  <c:v>arbuscula-17</c:v>
                </c:pt>
                <c:pt idx="398">
                  <c:v>crassiramea-17</c:v>
                </c:pt>
                <c:pt idx="399">
                  <c:v>sp-22</c:v>
                </c:pt>
                <c:pt idx="400">
                  <c:v>multiflora-26</c:v>
                </c:pt>
                <c:pt idx="401">
                  <c:v>grata-27</c:v>
                </c:pt>
                <c:pt idx="402">
                  <c:v>amazonum-27</c:v>
                </c:pt>
                <c:pt idx="403">
                  <c:v>xylocarpa-29</c:v>
                </c:pt>
                <c:pt idx="404">
                  <c:v>cavipes-29</c:v>
                </c:pt>
                <c:pt idx="405">
                  <c:v>gonoacantha-30</c:v>
                </c:pt>
                <c:pt idx="406">
                  <c:v>loritensis-30</c:v>
                </c:pt>
                <c:pt idx="407">
                  <c:v>arbutifolia-31</c:v>
                </c:pt>
                <c:pt idx="408">
                  <c:v>alata-31</c:v>
                </c:pt>
                <c:pt idx="409">
                  <c:v>domingensis-31</c:v>
                </c:pt>
                <c:pt idx="410">
                  <c:v>incorruptible-31</c:v>
                </c:pt>
                <c:pt idx="411">
                  <c:v>parinarioides-36</c:v>
                </c:pt>
                <c:pt idx="412">
                  <c:v>racemosa-36</c:v>
                </c:pt>
                <c:pt idx="413">
                  <c:v>erythrosticta-36</c:v>
                </c:pt>
                <c:pt idx="414">
                  <c:v>gracilis-37</c:v>
                </c:pt>
                <c:pt idx="415">
                  <c:v>guatemalensis-37</c:v>
                </c:pt>
                <c:pt idx="416">
                  <c:v>loretensis-37</c:v>
                </c:pt>
                <c:pt idx="417">
                  <c:v>gardneriana-50</c:v>
                </c:pt>
                <c:pt idx="418">
                  <c:v>macrocarpa-50</c:v>
                </c:pt>
                <c:pt idx="419">
                  <c:v>alata-53</c:v>
                </c:pt>
                <c:pt idx="420">
                  <c:v>calucina-3</c:v>
                </c:pt>
                <c:pt idx="421">
                  <c:v>egensis-15</c:v>
                </c:pt>
                <c:pt idx="422">
                  <c:v>hispidula-15</c:v>
                </c:pt>
                <c:pt idx="423">
                  <c:v>altissima-17</c:v>
                </c:pt>
                <c:pt idx="424">
                  <c:v>gulanensis-17</c:v>
                </c:pt>
                <c:pt idx="425">
                  <c:v>kilimandsharica-17</c:v>
                </c:pt>
                <c:pt idx="426">
                  <c:v>obovata-17</c:v>
                </c:pt>
                <c:pt idx="427">
                  <c:v>prunoides-17</c:v>
                </c:pt>
                <c:pt idx="428">
                  <c:v>seriocarpa-17</c:v>
                </c:pt>
                <c:pt idx="429">
                  <c:v>wchinocarpus-22</c:v>
                </c:pt>
                <c:pt idx="430">
                  <c:v>macrocarpa-24</c:v>
                </c:pt>
                <c:pt idx="431">
                  <c:v>appelii-26</c:v>
                </c:pt>
                <c:pt idx="432">
                  <c:v>pisi-26</c:v>
                </c:pt>
                <c:pt idx="433">
                  <c:v>reticulata-26</c:v>
                </c:pt>
                <c:pt idx="434">
                  <c:v>pachysepala-27</c:v>
                </c:pt>
                <c:pt idx="435">
                  <c:v>rhomboidea-29</c:v>
                </c:pt>
                <c:pt idx="436">
                  <c:v>multijuga-29</c:v>
                </c:pt>
                <c:pt idx="437">
                  <c:v>stilbocarpa-29</c:v>
                </c:pt>
                <c:pt idx="438">
                  <c:v>contortisiliquum-30</c:v>
                </c:pt>
                <c:pt idx="439">
                  <c:v>velutina-30</c:v>
                </c:pt>
                <c:pt idx="440">
                  <c:v>plystachyum-30</c:v>
                </c:pt>
                <c:pt idx="441">
                  <c:v>pterocarpifolia-31</c:v>
                </c:pt>
                <c:pt idx="442">
                  <c:v>benthamianus-31</c:v>
                </c:pt>
                <c:pt idx="443">
                  <c:v>sanctae-marthae-31</c:v>
                </c:pt>
                <c:pt idx="444">
                  <c:v>carica-36</c:v>
                </c:pt>
                <c:pt idx="445">
                  <c:v>cf-costata-38</c:v>
                </c:pt>
                <c:pt idx="446">
                  <c:v>feijoi-38</c:v>
                </c:pt>
                <c:pt idx="447">
                  <c:v>patrisii-38</c:v>
                </c:pt>
                <c:pt idx="448">
                  <c:v>tinctoria-46</c:v>
                </c:pt>
                <c:pt idx="449">
                  <c:v>pariry-50</c:v>
                </c:pt>
                <c:pt idx="450">
                  <c:v>elata-50</c:v>
                </c:pt>
                <c:pt idx="451">
                  <c:v>filipes-50</c:v>
                </c:pt>
                <c:pt idx="452">
                  <c:v>ephedrantha-50</c:v>
                </c:pt>
                <c:pt idx="453">
                  <c:v>procera-50</c:v>
                </c:pt>
                <c:pt idx="454">
                  <c:v>coulteri-60</c:v>
                </c:pt>
                <c:pt idx="455">
                  <c:v>conspicua-7</c:v>
                </c:pt>
                <c:pt idx="456">
                  <c:v>elongata-15</c:v>
                </c:pt>
                <c:pt idx="457">
                  <c:v>hostmanni-15</c:v>
                </c:pt>
                <c:pt idx="458">
                  <c:v>longifolia-16</c:v>
                </c:pt>
                <c:pt idx="459">
                  <c:v>procera-17</c:v>
                </c:pt>
                <c:pt idx="460">
                  <c:v>guianensis-21</c:v>
                </c:pt>
                <c:pt idx="461">
                  <c:v>decurrens-26</c:v>
                </c:pt>
                <c:pt idx="462">
                  <c:v>macrosperma-27</c:v>
                </c:pt>
                <c:pt idx="463">
                  <c:v>rorida-27</c:v>
                </c:pt>
                <c:pt idx="464">
                  <c:v>hians-27</c:v>
                </c:pt>
                <c:pt idx="465">
                  <c:v>molaris-29</c:v>
                </c:pt>
                <c:pt idx="466">
                  <c:v>parvifolia-29</c:v>
                </c:pt>
                <c:pt idx="467">
                  <c:v>corymbosa-29</c:v>
                </c:pt>
                <c:pt idx="468">
                  <c:v>cf-excelsa-30</c:v>
                </c:pt>
                <c:pt idx="469">
                  <c:v>rigida-30</c:v>
                </c:pt>
                <c:pt idx="470">
                  <c:v>leucopterium-31</c:v>
                </c:pt>
                <c:pt idx="471">
                  <c:v>lilacinum-31</c:v>
                </c:pt>
                <c:pt idx="472">
                  <c:v>cf-cambodianus-31</c:v>
                </c:pt>
                <c:pt idx="473">
                  <c:v>cf-macrocarpa-31</c:v>
                </c:pt>
                <c:pt idx="474">
                  <c:v>crispa-33</c:v>
                </c:pt>
                <c:pt idx="475">
                  <c:v>intermedia-33</c:v>
                </c:pt>
                <c:pt idx="476">
                  <c:v>cf-macrophylla-35</c:v>
                </c:pt>
                <c:pt idx="477">
                  <c:v>brevifolia-36</c:v>
                </c:pt>
                <c:pt idx="478">
                  <c:v>floribunda-39</c:v>
                </c:pt>
                <c:pt idx="479">
                  <c:v>sinense-55</c:v>
                </c:pt>
                <c:pt idx="480">
                  <c:v>gomesianum-4</c:v>
                </c:pt>
                <c:pt idx="481">
                  <c:v>lowii-4</c:v>
                </c:pt>
                <c:pt idx="482">
                  <c:v>capitata-7</c:v>
                </c:pt>
                <c:pt idx="483">
                  <c:v>cf-catinga-7</c:v>
                </c:pt>
                <c:pt idx="484">
                  <c:v>cf-rufescens-7</c:v>
                </c:pt>
                <c:pt idx="485">
                  <c:v>ellipticum-9</c:v>
                </c:pt>
                <c:pt idx="486">
                  <c:v>egensis-15</c:v>
                </c:pt>
                <c:pt idx="487">
                  <c:v>australis-17</c:v>
                </c:pt>
                <c:pt idx="488">
                  <c:v>chocharronia-17</c:v>
                </c:pt>
                <c:pt idx="489">
                  <c:v>pyrifoli-17</c:v>
                </c:pt>
                <c:pt idx="490">
                  <c:v>uviferum-18</c:v>
                </c:pt>
                <c:pt idx="491">
                  <c:v>pseudodentata-21</c:v>
                </c:pt>
                <c:pt idx="492">
                  <c:v>pterocarpa-25</c:v>
                </c:pt>
                <c:pt idx="493">
                  <c:v>curpidata-26</c:v>
                </c:pt>
                <c:pt idx="494">
                  <c:v>laevis-26</c:v>
                </c:pt>
                <c:pt idx="495">
                  <c:v>barcellensis-26</c:v>
                </c:pt>
                <c:pt idx="496">
                  <c:v>dissimilis-26</c:v>
                </c:pt>
                <c:pt idx="497">
                  <c:v>surinamensis-27</c:v>
                </c:pt>
                <c:pt idx="498">
                  <c:v>bracteata-29</c:v>
                </c:pt>
                <c:pt idx="499">
                  <c:v>oblongifolia-29</c:v>
                </c:pt>
                <c:pt idx="500">
                  <c:v>cf-arborea-30</c:v>
                </c:pt>
                <c:pt idx="501">
                  <c:v>flava-30</c:v>
                </c:pt>
                <c:pt idx="502">
                  <c:v>cf-margaritensis-31</c:v>
                </c:pt>
                <c:pt idx="503">
                  <c:v>sp-31</c:v>
                </c:pt>
                <c:pt idx="504">
                  <c:v>parviflora-31</c:v>
                </c:pt>
                <c:pt idx="505">
                  <c:v>spicata-33</c:v>
                </c:pt>
                <c:pt idx="506">
                  <c:v>chamissoana-34</c:v>
                </c:pt>
                <c:pt idx="507">
                  <c:v>lactescens-36</c:v>
                </c:pt>
                <c:pt idx="508">
                  <c:v>hispida-50</c:v>
                </c:pt>
                <c:pt idx="509">
                  <c:v>plicata-50</c:v>
                </c:pt>
                <c:pt idx="510">
                  <c:v>horsfieldii-53</c:v>
                </c:pt>
                <c:pt idx="511">
                  <c:v>incana-7</c:v>
                </c:pt>
                <c:pt idx="512">
                  <c:v>hispidula-15</c:v>
                </c:pt>
                <c:pt idx="513">
                  <c:v>micrantha-15</c:v>
                </c:pt>
                <c:pt idx="514">
                  <c:v>mollis-15</c:v>
                </c:pt>
                <c:pt idx="515">
                  <c:v>acuminata-17</c:v>
                </c:pt>
                <c:pt idx="516">
                  <c:v>bialata-17</c:v>
                </c:pt>
                <c:pt idx="517">
                  <c:v>mespiliformis-20</c:v>
                </c:pt>
                <c:pt idx="518">
                  <c:v>cordiformis-25</c:v>
                </c:pt>
                <c:pt idx="519">
                  <c:v>longifolia-26</c:v>
                </c:pt>
                <c:pt idx="520">
                  <c:v>pallida-26</c:v>
                </c:pt>
                <c:pt idx="521">
                  <c:v>guianensis-27</c:v>
                </c:pt>
                <c:pt idx="522">
                  <c:v>iquitesensis-27</c:v>
                </c:pt>
                <c:pt idx="523">
                  <c:v>cuanzensis-29</c:v>
                </c:pt>
                <c:pt idx="524">
                  <c:v>psilophylla-29</c:v>
                </c:pt>
                <c:pt idx="525">
                  <c:v>reticulata-29</c:v>
                </c:pt>
                <c:pt idx="526">
                  <c:v>decussata-30</c:v>
                </c:pt>
                <c:pt idx="527">
                  <c:v>tocantina-30</c:v>
                </c:pt>
                <c:pt idx="528">
                  <c:v>robiniifolium-31</c:v>
                </c:pt>
                <c:pt idx="529">
                  <c:v>duckei-31</c:v>
                </c:pt>
                <c:pt idx="530">
                  <c:v>grandiflora-35</c:v>
                </c:pt>
                <c:pt idx="531">
                  <c:v>parvifolia-40</c:v>
                </c:pt>
                <c:pt idx="532">
                  <c:v>egensis-50</c:v>
                </c:pt>
                <c:pt idx="533">
                  <c:v>divaricata-57</c:v>
                </c:pt>
                <c:pt idx="534">
                  <c:v>insignis-7</c:v>
                </c:pt>
                <c:pt idx="535">
                  <c:v>tessmannii-13</c:v>
                </c:pt>
                <c:pt idx="536">
                  <c:v>gardneriana-16</c:v>
                </c:pt>
                <c:pt idx="537">
                  <c:v>tanibouca-17</c:v>
                </c:pt>
                <c:pt idx="538">
                  <c:v>velutina-17</c:v>
                </c:pt>
                <c:pt idx="539">
                  <c:v>spathulata-21</c:v>
                </c:pt>
                <c:pt idx="540">
                  <c:v>mexicana-25</c:v>
                </c:pt>
                <c:pt idx="541">
                  <c:v>amara-26</c:v>
                </c:pt>
                <c:pt idx="542">
                  <c:v>aciphylla-26</c:v>
                </c:pt>
                <c:pt idx="543">
                  <c:v>obtecta-27</c:v>
                </c:pt>
                <c:pt idx="544">
                  <c:v>paraensis-29</c:v>
                </c:pt>
                <c:pt idx="545">
                  <c:v>oppositifolia-30</c:v>
                </c:pt>
                <c:pt idx="546">
                  <c:v>ulei-30</c:v>
                </c:pt>
                <c:pt idx="547">
                  <c:v>melanoxylon-31</c:v>
                </c:pt>
                <c:pt idx="548">
                  <c:v>castilloi-31</c:v>
                </c:pt>
                <c:pt idx="549">
                  <c:v>moritzianum-31</c:v>
                </c:pt>
                <c:pt idx="550">
                  <c:v>violaceum-31</c:v>
                </c:pt>
                <c:pt idx="551">
                  <c:v>fusca-31</c:v>
                </c:pt>
                <c:pt idx="552">
                  <c:v>leiocarpa-47</c:v>
                </c:pt>
                <c:pt idx="553">
                  <c:v>sp-50</c:v>
                </c:pt>
                <c:pt idx="554">
                  <c:v>venulosa-50</c:v>
                </c:pt>
                <c:pt idx="555">
                  <c:v>vestita-50</c:v>
                </c:pt>
                <c:pt idx="556">
                  <c:v>rigidum-4</c:v>
                </c:pt>
                <c:pt idx="557">
                  <c:v>stenocalyx-7</c:v>
                </c:pt>
                <c:pt idx="558">
                  <c:v>bicolor-10</c:v>
                </c:pt>
                <c:pt idx="559">
                  <c:v>pallida-15</c:v>
                </c:pt>
                <c:pt idx="560">
                  <c:v>citrina-17</c:v>
                </c:pt>
                <c:pt idx="561">
                  <c:v>copelandii-17</c:v>
                </c:pt>
                <c:pt idx="562">
                  <c:v>manii-17</c:v>
                </c:pt>
                <c:pt idx="563">
                  <c:v>cupularis-24</c:v>
                </c:pt>
                <c:pt idx="564">
                  <c:v>robusta-26</c:v>
                </c:pt>
                <c:pt idx="565">
                  <c:v>paraensis-27</c:v>
                </c:pt>
                <c:pt idx="566">
                  <c:v>microstachyum-30</c:v>
                </c:pt>
                <c:pt idx="567">
                  <c:v>tucurensis-31</c:v>
                </c:pt>
                <c:pt idx="568">
                  <c:v>petraeum-31</c:v>
                </c:pt>
                <c:pt idx="569">
                  <c:v>scleroxylon-31</c:v>
                </c:pt>
                <c:pt idx="570">
                  <c:v>mooniana-31</c:v>
                </c:pt>
                <c:pt idx="571">
                  <c:v>poeppigiana-33</c:v>
                </c:pt>
                <c:pt idx="572">
                  <c:v>procera-35</c:v>
                </c:pt>
                <c:pt idx="573">
                  <c:v>flavescens-38</c:v>
                </c:pt>
                <c:pt idx="574">
                  <c:v>solimoesensis-50</c:v>
                </c:pt>
                <c:pt idx="575">
                  <c:v>torta-50</c:v>
                </c:pt>
                <c:pt idx="576">
                  <c:v>excelsa-53</c:v>
                </c:pt>
                <c:pt idx="577">
                  <c:v>excelsa-15</c:v>
                </c:pt>
                <c:pt idx="578">
                  <c:v>racemosa-15</c:v>
                </c:pt>
                <c:pt idx="579">
                  <c:v>brasiliensis-16</c:v>
                </c:pt>
                <c:pt idx="580">
                  <c:v>myrlocarpa-17</c:v>
                </c:pt>
                <c:pt idx="581">
                  <c:v>itauba-26</c:v>
                </c:pt>
                <c:pt idx="582">
                  <c:v>obversa-27</c:v>
                </c:pt>
                <c:pt idx="583">
                  <c:v>truncata-27</c:v>
                </c:pt>
                <c:pt idx="584">
                  <c:v>guineense-29</c:v>
                </c:pt>
                <c:pt idx="585">
                  <c:v>nitida-30</c:v>
                </c:pt>
                <c:pt idx="586">
                  <c:v>albert-smithii-36</c:v>
                </c:pt>
                <c:pt idx="587">
                  <c:v>annulata-36</c:v>
                </c:pt>
                <c:pt idx="588">
                  <c:v>bougainvillei-36</c:v>
                </c:pt>
                <c:pt idx="589">
                  <c:v>pseudopsidium-38</c:v>
                </c:pt>
                <c:pt idx="590">
                  <c:v>oblanceolata-50</c:v>
                </c:pt>
                <c:pt idx="591">
                  <c:v>mildbraedii-53</c:v>
                </c:pt>
                <c:pt idx="592">
                  <c:v>vismiaefolia-59</c:v>
                </c:pt>
                <c:pt idx="593">
                  <c:v>latifolia-15</c:v>
                </c:pt>
                <c:pt idx="594">
                  <c:v>calamansanai-17</c:v>
                </c:pt>
                <c:pt idx="595">
                  <c:v>paniculata-17</c:v>
                </c:pt>
                <c:pt idx="596">
                  <c:v>dioica-26</c:v>
                </c:pt>
                <c:pt idx="597">
                  <c:v>lucida-26</c:v>
                </c:pt>
                <c:pt idx="598">
                  <c:v>organensis-26</c:v>
                </c:pt>
                <c:pt idx="599">
                  <c:v>puberula-26</c:v>
                </c:pt>
                <c:pt idx="600">
                  <c:v>corrugata-27</c:v>
                </c:pt>
                <c:pt idx="601">
                  <c:v>reticulosum-29</c:v>
                </c:pt>
                <c:pt idx="602">
                  <c:v>peregrina-30</c:v>
                </c:pt>
                <c:pt idx="603">
                  <c:v>purpurascens-31</c:v>
                </c:pt>
                <c:pt idx="604">
                  <c:v>latifolius-31</c:v>
                </c:pt>
                <c:pt idx="605">
                  <c:v>pubescens-31</c:v>
                </c:pt>
                <c:pt idx="606">
                  <c:v>divaricata-39</c:v>
                </c:pt>
                <c:pt idx="607">
                  <c:v>sp-50</c:v>
                </c:pt>
                <c:pt idx="608">
                  <c:v>malaccensis-56</c:v>
                </c:pt>
                <c:pt idx="609">
                  <c:v>surinamensis-59</c:v>
                </c:pt>
                <c:pt idx="610">
                  <c:v>impetiginosa-7</c:v>
                </c:pt>
                <c:pt idx="611">
                  <c:v>racemosa-15</c:v>
                </c:pt>
                <c:pt idx="612">
                  <c:v>macrophylla-17</c:v>
                </c:pt>
                <c:pt idx="613">
                  <c:v>palustris-29</c:v>
                </c:pt>
                <c:pt idx="614">
                  <c:v>multijuga-30</c:v>
                </c:pt>
                <c:pt idx="615">
                  <c:v>sp-31</c:v>
                </c:pt>
                <c:pt idx="616">
                  <c:v>madeirana-39</c:v>
                </c:pt>
                <c:pt idx="617">
                  <c:v>laevigata-50</c:v>
                </c:pt>
                <c:pt idx="618">
                  <c:v>forbesii-53</c:v>
                </c:pt>
                <c:pt idx="619">
                  <c:v>warburgianus-56</c:v>
                </c:pt>
                <c:pt idx="620">
                  <c:v>paraensis-59</c:v>
                </c:pt>
                <c:pt idx="621">
                  <c:v>barbata-7</c:v>
                </c:pt>
                <c:pt idx="622">
                  <c:v>bicornis-15</c:v>
                </c:pt>
                <c:pt idx="623">
                  <c:v>polyphylla-26</c:v>
                </c:pt>
                <c:pt idx="624">
                  <c:v>villosa-26</c:v>
                </c:pt>
                <c:pt idx="625">
                  <c:v>fragrantissima-26</c:v>
                </c:pt>
                <c:pt idx="626">
                  <c:v>juruensis-27</c:v>
                </c:pt>
                <c:pt idx="627">
                  <c:v>latifolium-27</c:v>
                </c:pt>
                <c:pt idx="628">
                  <c:v>africana-29</c:v>
                </c:pt>
                <c:pt idx="629">
                  <c:v>pachyloba-29</c:v>
                </c:pt>
                <c:pt idx="630">
                  <c:v>brauna-29</c:v>
                </c:pt>
                <c:pt idx="631">
                  <c:v>macrocarpa-30</c:v>
                </c:pt>
                <c:pt idx="632">
                  <c:v>alba-30</c:v>
                </c:pt>
                <c:pt idx="633">
                  <c:v>sp-31</c:v>
                </c:pt>
                <c:pt idx="634">
                  <c:v>spectabilis-31</c:v>
                </c:pt>
                <c:pt idx="635">
                  <c:v>giganteum-2</c:v>
                </c:pt>
                <c:pt idx="636">
                  <c:v>costaricense-12</c:v>
                </c:pt>
                <c:pt idx="637">
                  <c:v>glandulosa-15</c:v>
                </c:pt>
                <c:pt idx="638">
                  <c:v>urceolaris-15</c:v>
                </c:pt>
                <c:pt idx="639">
                  <c:v>esculenta-16</c:v>
                </c:pt>
                <c:pt idx="640">
                  <c:v>rubiginosa-17</c:v>
                </c:pt>
                <c:pt idx="641">
                  <c:v>obtusa-21</c:v>
                </c:pt>
                <c:pt idx="642">
                  <c:v>celativenia-24</c:v>
                </c:pt>
                <c:pt idx="643">
                  <c:v>paniculatum-29</c:v>
                </c:pt>
                <c:pt idx="644">
                  <c:v>polyphylla-30</c:v>
                </c:pt>
                <c:pt idx="645">
                  <c:v>dimorphandrum-31</c:v>
                </c:pt>
                <c:pt idx="646">
                  <c:v>acapulcensis-31</c:v>
                </c:pt>
                <c:pt idx="647">
                  <c:v>sp-38</c:v>
                </c:pt>
                <c:pt idx="648">
                  <c:v>neriifolius-43</c:v>
                </c:pt>
                <c:pt idx="649">
                  <c:v>guianensis-50</c:v>
                </c:pt>
                <c:pt idx="650">
                  <c:v>gutta-50</c:v>
                </c:pt>
                <c:pt idx="651">
                  <c:v>gracile-2</c:v>
                </c:pt>
                <c:pt idx="652">
                  <c:v>sciadophylla-13</c:v>
                </c:pt>
                <c:pt idx="653">
                  <c:v>arjuna-17</c:v>
                </c:pt>
                <c:pt idx="654">
                  <c:v>gigantifolia-17</c:v>
                </c:pt>
                <c:pt idx="655">
                  <c:v>sumatrana-17</c:v>
                </c:pt>
                <c:pt idx="656">
                  <c:v>latifolia-21</c:v>
                </c:pt>
                <c:pt idx="657">
                  <c:v>armeniaca-26</c:v>
                </c:pt>
                <c:pt idx="658">
                  <c:v>amazonum-26</c:v>
                </c:pt>
                <c:pt idx="659">
                  <c:v>sp-26</c:v>
                </c:pt>
                <c:pt idx="660">
                  <c:v>fendleri-31</c:v>
                </c:pt>
                <c:pt idx="661">
                  <c:v>gardneri-37</c:v>
                </c:pt>
                <c:pt idx="662">
                  <c:v>gorarema-41</c:v>
                </c:pt>
                <c:pt idx="663">
                  <c:v>sp-50</c:v>
                </c:pt>
                <c:pt idx="664">
                  <c:v>boonel-4</c:v>
                </c:pt>
                <c:pt idx="665">
                  <c:v>parvifolium-4</c:v>
                </c:pt>
                <c:pt idx="666">
                  <c:v>burseraefolia-11</c:v>
                </c:pt>
                <c:pt idx="667">
                  <c:v>solomonensis-17</c:v>
                </c:pt>
                <c:pt idx="668">
                  <c:v>tomentosa-17</c:v>
                </c:pt>
                <c:pt idx="669">
                  <c:v>guianensis-24</c:v>
                </c:pt>
                <c:pt idx="670">
                  <c:v>guianensis-27</c:v>
                </c:pt>
                <c:pt idx="671">
                  <c:v>ollaria-27</c:v>
                </c:pt>
                <c:pt idx="672">
                  <c:v>coriaria-29</c:v>
                </c:pt>
                <c:pt idx="673">
                  <c:v>paniculatum-30</c:v>
                </c:pt>
                <c:pt idx="674">
                  <c:v>panamense-31</c:v>
                </c:pt>
                <c:pt idx="675">
                  <c:v>bellengeri-36</c:v>
                </c:pt>
                <c:pt idx="676">
                  <c:v>calimana-36</c:v>
                </c:pt>
                <c:pt idx="677">
                  <c:v>spectabilis-7</c:v>
                </c:pt>
                <c:pt idx="678">
                  <c:v>grandis-17</c:v>
                </c:pt>
                <c:pt idx="679">
                  <c:v>edulis-17</c:v>
                </c:pt>
                <c:pt idx="680">
                  <c:v>microcarpa-17</c:v>
                </c:pt>
                <c:pt idx="681">
                  <c:v>polyantha-27</c:v>
                </c:pt>
                <c:pt idx="682">
                  <c:v>nitens-29</c:v>
                </c:pt>
                <c:pt idx="683">
                  <c:v>paniculata-29</c:v>
                </c:pt>
                <c:pt idx="684">
                  <c:v>virgiliodes-31</c:v>
                </c:pt>
                <c:pt idx="685">
                  <c:v>sericea-31</c:v>
                </c:pt>
                <c:pt idx="686">
                  <c:v>amazonica-33</c:v>
                </c:pt>
                <c:pt idx="687">
                  <c:v>paraensis-47</c:v>
                </c:pt>
                <c:pt idx="688">
                  <c:v>macrophyllus-56</c:v>
                </c:pt>
                <c:pt idx="689">
                  <c:v>spruceanum-2</c:v>
                </c:pt>
                <c:pt idx="690">
                  <c:v>lindaviana-26</c:v>
                </c:pt>
                <c:pt idx="691">
                  <c:v>sassafras-26</c:v>
                </c:pt>
                <c:pt idx="692">
                  <c:v>melanocarpa-29</c:v>
                </c:pt>
                <c:pt idx="693">
                  <c:v>arthropoda-33</c:v>
                </c:pt>
                <c:pt idx="694">
                  <c:v>angustifolia-36</c:v>
                </c:pt>
                <c:pt idx="695">
                  <c:v>reticulata-50</c:v>
                </c:pt>
                <c:pt idx="696">
                  <c:v>ulei-2</c:v>
                </c:pt>
                <c:pt idx="697">
                  <c:v>triplinervia-22</c:v>
                </c:pt>
                <c:pt idx="698">
                  <c:v>colubrina-30</c:v>
                </c:pt>
                <c:pt idx="699">
                  <c:v>pendula-30</c:v>
                </c:pt>
                <c:pt idx="700">
                  <c:v>pulcherrimum-30</c:v>
                </c:pt>
                <c:pt idx="701">
                  <c:v>sp-31</c:v>
                </c:pt>
                <c:pt idx="702">
                  <c:v>guyanensis-50</c:v>
                </c:pt>
                <c:pt idx="703">
                  <c:v>macrophylla-50</c:v>
                </c:pt>
                <c:pt idx="704">
                  <c:v>officinale-60</c:v>
                </c:pt>
                <c:pt idx="705">
                  <c:v>angustiloba-4</c:v>
                </c:pt>
                <c:pt idx="706">
                  <c:v>olanchana-25</c:v>
                </c:pt>
                <c:pt idx="707">
                  <c:v>aurea-26</c:v>
                </c:pt>
                <c:pt idx="708">
                  <c:v>excelsa-30</c:v>
                </c:pt>
                <c:pt idx="709">
                  <c:v>huberi-50</c:v>
                </c:pt>
                <c:pt idx="710">
                  <c:v>cruentum-4</c:v>
                </c:pt>
                <c:pt idx="711">
                  <c:v>morototoni-5</c:v>
                </c:pt>
                <c:pt idx="712">
                  <c:v>acuminata-16</c:v>
                </c:pt>
                <c:pt idx="713">
                  <c:v>lusitanica-18</c:v>
                </c:pt>
                <c:pt idx="714">
                  <c:v>sp-26</c:v>
                </c:pt>
                <c:pt idx="715">
                  <c:v>cyclocarpum-30</c:v>
                </c:pt>
                <c:pt idx="716">
                  <c:v>frondosus-31</c:v>
                </c:pt>
                <c:pt idx="717">
                  <c:v>glomerata-50</c:v>
                </c:pt>
                <c:pt idx="718">
                  <c:v>guianensis-59</c:v>
                </c:pt>
                <c:pt idx="719">
                  <c:v>heterophylla-7</c:v>
                </c:pt>
                <c:pt idx="720">
                  <c:v>dodecandra-10</c:v>
                </c:pt>
                <c:pt idx="721">
                  <c:v>oblongifolia-15</c:v>
                </c:pt>
                <c:pt idx="722">
                  <c:v>nitens-17</c:v>
                </c:pt>
                <c:pt idx="723">
                  <c:v>cf-platyloba-29</c:v>
                </c:pt>
                <c:pt idx="724">
                  <c:v>guianensis-31</c:v>
                </c:pt>
                <c:pt idx="725">
                  <c:v>gaudichaudii-36</c:v>
                </c:pt>
                <c:pt idx="726">
                  <c:v>oleifera-37</c:v>
                </c:pt>
                <c:pt idx="727">
                  <c:v>occidentale-2</c:v>
                </c:pt>
                <c:pt idx="728">
                  <c:v>sp-17</c:v>
                </c:pt>
                <c:pt idx="729">
                  <c:v>quanzensis-29</c:v>
                </c:pt>
                <c:pt idx="730">
                  <c:v>nitida-31</c:v>
                </c:pt>
                <c:pt idx="731">
                  <c:v>sericeus-31</c:v>
                </c:pt>
                <c:pt idx="732">
                  <c:v>sp-33</c:v>
                </c:pt>
                <c:pt idx="733">
                  <c:v>album-4</c:v>
                </c:pt>
                <c:pt idx="734">
                  <c:v>flavescens-7</c:v>
                </c:pt>
                <c:pt idx="735">
                  <c:v>januarensis-17</c:v>
                </c:pt>
                <c:pt idx="736">
                  <c:v>canella-26</c:v>
                </c:pt>
                <c:pt idx="737">
                  <c:v>sp-27</c:v>
                </c:pt>
                <c:pt idx="738">
                  <c:v>angustifolia-35</c:v>
                </c:pt>
                <c:pt idx="739">
                  <c:v>macrocarpa-50</c:v>
                </c:pt>
                <c:pt idx="740">
                  <c:v>ramiflorum-4</c:v>
                </c:pt>
                <c:pt idx="741">
                  <c:v>comintana-17</c:v>
                </c:pt>
                <c:pt idx="742">
                  <c:v>krukovii-27</c:v>
                </c:pt>
                <c:pt idx="743">
                  <c:v>fastigiatus-31</c:v>
                </c:pt>
                <c:pt idx="744">
                  <c:v>macrocarpon-4</c:v>
                </c:pt>
                <c:pt idx="745">
                  <c:v>americana-19</c:v>
                </c:pt>
                <c:pt idx="746">
                  <c:v>hondurensis-31</c:v>
                </c:pt>
                <c:pt idx="747">
                  <c:v>anthotheca-35</c:v>
                </c:pt>
                <c:pt idx="748">
                  <c:v>callophylla-36</c:v>
                </c:pt>
                <c:pt idx="749">
                  <c:v>densiflora-16</c:v>
                </c:pt>
                <c:pt idx="750">
                  <c:v>eburneum-4</c:v>
                </c:pt>
                <c:pt idx="751">
                  <c:v>lucida-17</c:v>
                </c:pt>
                <c:pt idx="752">
                  <c:v>navalium-26</c:v>
                </c:pt>
                <c:pt idx="753">
                  <c:v>bancanus-56</c:v>
                </c:pt>
                <c:pt idx="754">
                  <c:v>albifora-59</c:v>
                </c:pt>
                <c:pt idx="755">
                  <c:v>guatemalensis-59</c:v>
                </c:pt>
                <c:pt idx="756">
                  <c:v>morototoni-5</c:v>
                </c:pt>
                <c:pt idx="757">
                  <c:v>incana-15</c:v>
                </c:pt>
                <c:pt idx="758">
                  <c:v>officinalis-29</c:v>
                </c:pt>
                <c:pt idx="759">
                  <c:v>davisii-29</c:v>
                </c:pt>
                <c:pt idx="760">
                  <c:v>sp-29</c:v>
                </c:pt>
                <c:pt idx="761">
                  <c:v>macracantha-30</c:v>
                </c:pt>
                <c:pt idx="762">
                  <c:v>guianensis-40</c:v>
                </c:pt>
                <c:pt idx="763">
                  <c:v>sp-50</c:v>
                </c:pt>
                <c:pt idx="764">
                  <c:v>licaniaeflora-15</c:v>
                </c:pt>
                <c:pt idx="765">
                  <c:v>dichotoma-17</c:v>
                </c:pt>
                <c:pt idx="766">
                  <c:v>guianensis-26</c:v>
                </c:pt>
                <c:pt idx="767">
                  <c:v>villosum-31</c:v>
                </c:pt>
                <c:pt idx="768">
                  <c:v>melinonii-37</c:v>
                </c:pt>
                <c:pt idx="769">
                  <c:v>araucana-6</c:v>
                </c:pt>
                <c:pt idx="770">
                  <c:v>parviflora-24</c:v>
                </c:pt>
                <c:pt idx="771">
                  <c:v>avellanedae-7</c:v>
                </c:pt>
                <c:pt idx="772">
                  <c:v>caribaea-30</c:v>
                </c:pt>
                <c:pt idx="773">
                  <c:v>triandra-15</c:v>
                </c:pt>
                <c:pt idx="774">
                  <c:v>costulata-26</c:v>
                </c:pt>
                <c:pt idx="775">
                  <c:v>elata-31</c:v>
                </c:pt>
                <c:pt idx="776">
                  <c:v>macrocarpus-31</c:v>
                </c:pt>
                <c:pt idx="777">
                  <c:v>ovalifolia-39</c:v>
                </c:pt>
                <c:pt idx="778">
                  <c:v>macrophylla-50</c:v>
                </c:pt>
                <c:pt idx="779">
                  <c:v>excelsa-50</c:v>
                </c:pt>
                <c:pt idx="780">
                  <c:v>urundeuva-2</c:v>
                </c:pt>
                <c:pt idx="781">
                  <c:v>parviflora-15</c:v>
                </c:pt>
                <c:pt idx="782">
                  <c:v>chebula-17</c:v>
                </c:pt>
                <c:pt idx="783">
                  <c:v>sericea-17</c:v>
                </c:pt>
                <c:pt idx="784">
                  <c:v>jarana-27</c:v>
                </c:pt>
                <c:pt idx="785">
                  <c:v>guianense-36</c:v>
                </c:pt>
                <c:pt idx="786">
                  <c:v>macropylla-4</c:v>
                </c:pt>
                <c:pt idx="787">
                  <c:v>trilocularis-50</c:v>
                </c:pt>
                <c:pt idx="788">
                  <c:v>emarginata-15</c:v>
                </c:pt>
                <c:pt idx="789">
                  <c:v>benghalensis-36</c:v>
                </c:pt>
                <c:pt idx="790">
                  <c:v>tomentosum-4</c:v>
                </c:pt>
                <c:pt idx="791">
                  <c:v>balsamum-31</c:v>
                </c:pt>
                <c:pt idx="792">
                  <c:v>fluminensis-33</c:v>
                </c:pt>
                <c:pt idx="793">
                  <c:v>megalantha-10</c:v>
                </c:pt>
                <c:pt idx="794">
                  <c:v>apetala-15</c:v>
                </c:pt>
                <c:pt idx="795">
                  <c:v>odora-27</c:v>
                </c:pt>
                <c:pt idx="796">
                  <c:v>obionga-17</c:v>
                </c:pt>
                <c:pt idx="797">
                  <c:v>sp-21</c:v>
                </c:pt>
                <c:pt idx="798">
                  <c:v>pisonis-27</c:v>
                </c:pt>
                <c:pt idx="799">
                  <c:v>grandiflora-35</c:v>
                </c:pt>
                <c:pt idx="800">
                  <c:v>congensis-4</c:v>
                </c:pt>
                <c:pt idx="801">
                  <c:v>macrophylla-16</c:v>
                </c:pt>
                <c:pt idx="802">
                  <c:v>estrellensis-27</c:v>
                </c:pt>
                <c:pt idx="803">
                  <c:v>uncinatum-59</c:v>
                </c:pt>
                <c:pt idx="804">
                  <c:v>glauca-51</c:v>
                </c:pt>
                <c:pt idx="805">
                  <c:v>plurijaga-29</c:v>
                </c:pt>
                <c:pt idx="806">
                  <c:v>langsdorfii-29</c:v>
                </c:pt>
                <c:pt idx="807">
                  <c:v>altissima-36</c:v>
                </c:pt>
                <c:pt idx="808">
                  <c:v>britteniana-15</c:v>
                </c:pt>
                <c:pt idx="809">
                  <c:v>polita-15</c:v>
                </c:pt>
                <c:pt idx="810">
                  <c:v>arborea-58</c:v>
                </c:pt>
                <c:pt idx="811">
                  <c:v>sanctum-60</c:v>
                </c:pt>
                <c:pt idx="812">
                  <c:v>ochracea-7</c:v>
                </c:pt>
                <c:pt idx="813">
                  <c:v>senegalensis-35</c:v>
                </c:pt>
                <c:pt idx="814">
                  <c:v>costulata-4</c:v>
                </c:pt>
                <c:pt idx="815">
                  <c:v>cupressoides-18</c:v>
                </c:pt>
                <c:pt idx="816">
                  <c:v>heptaphyllum-11</c:v>
                </c:pt>
                <c:pt idx="817">
                  <c:v>coriacea-27</c:v>
                </c:pt>
                <c:pt idx="818">
                  <c:v>elongata-37</c:v>
                </c:pt>
                <c:pt idx="819">
                  <c:v>ivorensis-17</c:v>
                </c:pt>
                <c:pt idx="820">
                  <c:v>augustifolium-36</c:v>
                </c:pt>
                <c:pt idx="821">
                  <c:v>furcata-50</c:v>
                </c:pt>
                <c:pt idx="822">
                  <c:v>guianensis-36</c:v>
                </c:pt>
                <c:pt idx="823">
                  <c:v>araroba-31</c:v>
                </c:pt>
                <c:pt idx="824">
                  <c:v>anibifolia-50</c:v>
                </c:pt>
                <c:pt idx="825">
                  <c:v>neotropica-25</c:v>
                </c:pt>
                <c:pt idx="826">
                  <c:v>angolensis-31</c:v>
                </c:pt>
                <c:pt idx="827">
                  <c:v>pinnatum-31</c:v>
                </c:pt>
                <c:pt idx="828">
                  <c:v>odorata-31</c:v>
                </c:pt>
                <c:pt idx="829">
                  <c:v>grandis-38</c:v>
                </c:pt>
                <c:pt idx="830">
                  <c:v>sp-38</c:v>
                </c:pt>
                <c:pt idx="831">
                  <c:v>canjerana-35</c:v>
                </c:pt>
                <c:pt idx="832">
                  <c:v>robusta-44</c:v>
                </c:pt>
                <c:pt idx="833">
                  <c:v>superba-17</c:v>
                </c:pt>
                <c:pt idx="834">
                  <c:v>cinerea-25</c:v>
                </c:pt>
                <c:pt idx="835">
                  <c:v>glabra-35</c:v>
                </c:pt>
                <c:pt idx="836">
                  <c:v>humilis-35</c:v>
                </c:pt>
                <c:pt idx="837">
                  <c:v>mahagoni-35</c:v>
                </c:pt>
                <c:pt idx="838">
                  <c:v>pertusa-36</c:v>
                </c:pt>
                <c:pt idx="839">
                  <c:v>robustum-31</c:v>
                </c:pt>
                <c:pt idx="840">
                  <c:v>koschnyi-37</c:v>
                </c:pt>
                <c:pt idx="841">
                  <c:v>echinata-29</c:v>
                </c:pt>
                <c:pt idx="842">
                  <c:v>ipe-7</c:v>
                </c:pt>
                <c:pt idx="843">
                  <c:v>belerica-17</c:v>
                </c:pt>
                <c:pt idx="844">
                  <c:v>excelsa-27</c:v>
                </c:pt>
                <c:pt idx="845">
                  <c:v>sebifera-37</c:v>
                </c:pt>
                <c:pt idx="846">
                  <c:v>villosum-12</c:v>
                </c:pt>
                <c:pt idx="847">
                  <c:v>macrophylla-15</c:v>
                </c:pt>
                <c:pt idx="848">
                  <c:v>guianensis-29</c:v>
                </c:pt>
                <c:pt idx="849">
                  <c:v>legalis-27</c:v>
                </c:pt>
                <c:pt idx="850">
                  <c:v>catenaeformis-30</c:v>
                </c:pt>
                <c:pt idx="851">
                  <c:v>lecointel-2</c:v>
                </c:pt>
                <c:pt idx="852">
                  <c:v>chrysantha-7</c:v>
                </c:pt>
                <c:pt idx="853">
                  <c:v>sp-15</c:v>
                </c:pt>
                <c:pt idx="854">
                  <c:v>americana-29</c:v>
                </c:pt>
                <c:pt idx="855">
                  <c:v>surinamensis-37</c:v>
                </c:pt>
                <c:pt idx="856">
                  <c:v>desmanthum-4</c:v>
                </c:pt>
                <c:pt idx="857">
                  <c:v>cuspidata-54</c:v>
                </c:pt>
                <c:pt idx="858">
                  <c:v>angustifolia-6</c:v>
                </c:pt>
                <c:pt idx="859">
                  <c:v>potabile-36</c:v>
                </c:pt>
                <c:pt idx="860">
                  <c:v>sp-37</c:v>
                </c:pt>
                <c:pt idx="861">
                  <c:v>insignis-16</c:v>
                </c:pt>
                <c:pt idx="862">
                  <c:v>angolensis-31</c:v>
                </c:pt>
                <c:pt idx="863">
                  <c:v>amara-51</c:v>
                </c:pt>
                <c:pt idx="864">
                  <c:v>americana-10</c:v>
                </c:pt>
                <c:pt idx="865">
                  <c:v>octandra-15</c:v>
                </c:pt>
                <c:pt idx="866">
                  <c:v>rodiaei-26</c:v>
                </c:pt>
                <c:pt idx="867">
                  <c:v>polystachyum-31</c:v>
                </c:pt>
                <c:pt idx="868">
                  <c:v>arborea-30</c:v>
                </c:pt>
                <c:pt idx="869">
                  <c:v>acutifolium-36</c:v>
                </c:pt>
                <c:pt idx="870">
                  <c:v>rubra-26</c:v>
                </c:pt>
                <c:pt idx="871">
                  <c:v>macroloba-30</c:v>
                </c:pt>
                <c:pt idx="872">
                  <c:v>maximum-30</c:v>
                </c:pt>
                <c:pt idx="873">
                  <c:v>sp-50</c:v>
                </c:pt>
                <c:pt idx="874">
                  <c:v>guayacan-7</c:v>
                </c:pt>
                <c:pt idx="875">
                  <c:v>rubenscens-36</c:v>
                </c:pt>
                <c:pt idx="876">
                  <c:v>heteromorpha-15</c:v>
                </c:pt>
                <c:pt idx="877">
                  <c:v>cearensis-31</c:v>
                </c:pt>
                <c:pt idx="878">
                  <c:v>parahybum-29</c:v>
                </c:pt>
                <c:pt idx="879">
                  <c:v>scholaris-4</c:v>
                </c:pt>
                <c:pt idx="880">
                  <c:v>peroba-7</c:v>
                </c:pt>
                <c:pt idx="881">
                  <c:v>polyneuron-4</c:v>
                </c:pt>
                <c:pt idx="882">
                  <c:v>trichotoma-10</c:v>
                </c:pt>
                <c:pt idx="883">
                  <c:v>catappa-17</c:v>
                </c:pt>
                <c:pt idx="884">
                  <c:v>indicus-31</c:v>
                </c:pt>
                <c:pt idx="885">
                  <c:v>goeldiana-10</c:v>
                </c:pt>
                <c:pt idx="886">
                  <c:v>sp-26</c:v>
                </c:pt>
                <c:pt idx="887">
                  <c:v>porosa-26</c:v>
                </c:pt>
                <c:pt idx="888">
                  <c:v>capitata-17</c:v>
                </c:pt>
                <c:pt idx="889">
                  <c:v>hondurensis-59</c:v>
                </c:pt>
                <c:pt idx="890">
                  <c:v>excelsum-2</c:v>
                </c:pt>
                <c:pt idx="891">
                  <c:v>nitida-36</c:v>
                </c:pt>
                <c:pt idx="892">
                  <c:v>ferruginea-59</c:v>
                </c:pt>
                <c:pt idx="893">
                  <c:v>quinata-9</c:v>
                </c:pt>
                <c:pt idx="894">
                  <c:v>glabrum-12</c:v>
                </c:pt>
                <c:pt idx="895">
                  <c:v>megalocarpon-4</c:v>
                </c:pt>
                <c:pt idx="896">
                  <c:v>saman-30</c:v>
                </c:pt>
                <c:pt idx="897">
                  <c:v>bidentata-50</c:v>
                </c:pt>
                <c:pt idx="898">
                  <c:v>donneii-smithii-7</c:v>
                </c:pt>
                <c:pt idx="899">
                  <c:v>copaia-7</c:v>
                </c:pt>
                <c:pt idx="900">
                  <c:v>fissilis-35</c:v>
                </c:pt>
                <c:pt idx="901">
                  <c:v>glabra-14</c:v>
                </c:pt>
                <c:pt idx="902">
                  <c:v>rosea-7</c:v>
                </c:pt>
                <c:pt idx="903">
                  <c:v>zapotilla-50</c:v>
                </c:pt>
                <c:pt idx="904">
                  <c:v>serratifolia-7</c:v>
                </c:pt>
                <c:pt idx="905">
                  <c:v>leiocarpa-29</c:v>
                </c:pt>
                <c:pt idx="906">
                  <c:v>simaruba-11</c:v>
                </c:pt>
                <c:pt idx="907">
                  <c:v>guianensis-2</c:v>
                </c:pt>
                <c:pt idx="908">
                  <c:v>sp-17</c:v>
                </c:pt>
                <c:pt idx="909">
                  <c:v>guianense-29</c:v>
                </c:pt>
                <c:pt idx="910">
                  <c:v>amazonia-17</c:v>
                </c:pt>
                <c:pt idx="911">
                  <c:v>schomburgkii-30</c:v>
                </c:pt>
                <c:pt idx="912">
                  <c:v>graveolens-2</c:v>
                </c:pt>
                <c:pt idx="913">
                  <c:v>ivorensis-35</c:v>
                </c:pt>
                <c:pt idx="914">
                  <c:v>pentandra-9</c:v>
                </c:pt>
                <c:pt idx="915">
                  <c:v>alchorneoides-22</c:v>
                </c:pt>
                <c:pt idx="916">
                  <c:v>courbaril-29</c:v>
                </c:pt>
                <c:pt idx="917">
                  <c:v>crepitans-22</c:v>
                </c:pt>
                <c:pt idx="918">
                  <c:v>grandis-58</c:v>
                </c:pt>
                <c:pt idx="919">
                  <c:v>brasiliense-16</c:v>
                </c:pt>
                <c:pt idx="920">
                  <c:v>sp-4</c:v>
                </c:pt>
                <c:pt idx="921">
                  <c:v>odorata-35</c:v>
                </c:pt>
                <c:pt idx="922">
                  <c:v>guianensis-35</c:v>
                </c:pt>
                <c:pt idx="923">
                  <c:v>globulifera-16</c:v>
                </c:pt>
                <c:pt idx="924">
                  <c:v>macrophylla-35</c:v>
                </c:pt>
              </c:strCache>
            </c:strRef>
          </c:cat>
          <c:val>
            <c:numRef>
              <c:f>Taxonomy!$H$926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A-4D2B-8A5A-E64858970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185024"/>
        <c:axId val="984185504"/>
      </c:barChart>
      <c:catAx>
        <c:axId val="98418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185504"/>
        <c:crosses val="autoZero"/>
        <c:auto val="1"/>
        <c:lblAlgn val="ctr"/>
        <c:lblOffset val="100"/>
        <c:noMultiLvlLbl val="0"/>
      </c:catAx>
      <c:valAx>
        <c:axId val="9841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1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Taxonomy!$I$1</c:f>
              <c:strCache>
                <c:ptCount val="1"/>
                <c:pt idx="0">
                  <c:v> Nrows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Taxonomy!$H$2:$H$926</c:f>
              <c:strCache>
                <c:ptCount val="925"/>
                <c:pt idx="0">
                  <c:v>inundata-52</c:v>
                </c:pt>
                <c:pt idx="1">
                  <c:v>enneandra-15</c:v>
                </c:pt>
                <c:pt idx="2">
                  <c:v>cf-parvifolia-29</c:v>
                </c:pt>
                <c:pt idx="3">
                  <c:v>auriculata-30</c:v>
                </c:pt>
                <c:pt idx="4">
                  <c:v>ampelos-36</c:v>
                </c:pt>
                <c:pt idx="5">
                  <c:v>caballina-36</c:v>
                </c:pt>
                <c:pt idx="6">
                  <c:v>lambertii-43</c:v>
                </c:pt>
                <c:pt idx="7">
                  <c:v>tenulfolium-2</c:v>
                </c:pt>
                <c:pt idx="8">
                  <c:v>cf-guayacan-7</c:v>
                </c:pt>
                <c:pt idx="9">
                  <c:v>cf-heptaphilla-7</c:v>
                </c:pt>
                <c:pt idx="10">
                  <c:v>aff-simaruba-11</c:v>
                </c:pt>
                <c:pt idx="11">
                  <c:v>alata-17</c:v>
                </c:pt>
                <c:pt idx="12">
                  <c:v>quadrivalvis-21</c:v>
                </c:pt>
                <c:pt idx="13">
                  <c:v>peruviana-27</c:v>
                </c:pt>
                <c:pt idx="14">
                  <c:v>schlerocarpa-29</c:v>
                </c:pt>
                <c:pt idx="15">
                  <c:v>oleifera-28</c:v>
                </c:pt>
                <c:pt idx="16">
                  <c:v>laxiflorus-31</c:v>
                </c:pt>
                <c:pt idx="17">
                  <c:v>atropurpureus-31</c:v>
                </c:pt>
                <c:pt idx="18">
                  <c:v>neuroscapha-31</c:v>
                </c:pt>
                <c:pt idx="19">
                  <c:v>punctatus-31</c:v>
                </c:pt>
                <c:pt idx="20">
                  <c:v>whitfordii-31</c:v>
                </c:pt>
                <c:pt idx="21">
                  <c:v>amazonum-31</c:v>
                </c:pt>
                <c:pt idx="22">
                  <c:v>tinctoria-36</c:v>
                </c:pt>
                <c:pt idx="23">
                  <c:v>brasiliensis-38</c:v>
                </c:pt>
                <c:pt idx="24">
                  <c:v>clinocarpa-38</c:v>
                </c:pt>
                <c:pt idx="25">
                  <c:v>confusa-38</c:v>
                </c:pt>
                <c:pt idx="26">
                  <c:v>quadrijuga-38</c:v>
                </c:pt>
                <c:pt idx="27">
                  <c:v>riparia-38</c:v>
                </c:pt>
                <c:pt idx="28">
                  <c:v>spruceana-39</c:v>
                </c:pt>
                <c:pt idx="29">
                  <c:v>decorticans-50</c:v>
                </c:pt>
                <c:pt idx="30">
                  <c:v>ovata-50</c:v>
                </c:pt>
                <c:pt idx="31">
                  <c:v>myriantha-2</c:v>
                </c:pt>
                <c:pt idx="32">
                  <c:v>cylindrocarpon-4</c:v>
                </c:pt>
                <c:pt idx="33">
                  <c:v>melanocalix-4</c:v>
                </c:pt>
                <c:pt idx="34">
                  <c:v>monterol-4</c:v>
                </c:pt>
                <c:pt idx="35">
                  <c:v>rufescens-7</c:v>
                </c:pt>
                <c:pt idx="36">
                  <c:v>juranylana-13</c:v>
                </c:pt>
                <c:pt idx="37">
                  <c:v>obtusa-13</c:v>
                </c:pt>
                <c:pt idx="38">
                  <c:v>robusta-15</c:v>
                </c:pt>
                <c:pt idx="39">
                  <c:v>bracteatum-16</c:v>
                </c:pt>
                <c:pt idx="40">
                  <c:v>brownii-17</c:v>
                </c:pt>
                <c:pt idx="41">
                  <c:v>macroptera-17</c:v>
                </c:pt>
                <c:pt idx="42">
                  <c:v>pellucida-17</c:v>
                </c:pt>
                <c:pt idx="43">
                  <c:v>ruspolii-17</c:v>
                </c:pt>
                <c:pt idx="44">
                  <c:v>martiniana-26</c:v>
                </c:pt>
                <c:pt idx="45">
                  <c:v>glomerata-26</c:v>
                </c:pt>
                <c:pt idx="46">
                  <c:v>sp-26</c:v>
                </c:pt>
                <c:pt idx="47">
                  <c:v>corrugata-27</c:v>
                </c:pt>
                <c:pt idx="48">
                  <c:v>zabucaja-27</c:v>
                </c:pt>
                <c:pt idx="49">
                  <c:v>pulcherrima-29</c:v>
                </c:pt>
                <c:pt idx="50">
                  <c:v>ebano-29</c:v>
                </c:pt>
                <c:pt idx="51">
                  <c:v>maranhensis-29</c:v>
                </c:pt>
                <c:pt idx="52">
                  <c:v>sp-29</c:v>
                </c:pt>
                <c:pt idx="53">
                  <c:v>mangium-30</c:v>
                </c:pt>
                <c:pt idx="54">
                  <c:v>platycephala-30</c:v>
                </c:pt>
                <c:pt idx="55">
                  <c:v>foliolosa-30</c:v>
                </c:pt>
                <c:pt idx="56">
                  <c:v>polyphylla-30</c:v>
                </c:pt>
                <c:pt idx="57">
                  <c:v>greveana-31</c:v>
                </c:pt>
                <c:pt idx="58">
                  <c:v>latifolia-31</c:v>
                </c:pt>
                <c:pt idx="59">
                  <c:v>polyphylla-31</c:v>
                </c:pt>
                <c:pt idx="60">
                  <c:v>heterocarpum-31</c:v>
                </c:pt>
                <c:pt idx="61">
                  <c:v>michelianus-31</c:v>
                </c:pt>
                <c:pt idx="62">
                  <c:v>muehlenbergianus-31</c:v>
                </c:pt>
                <c:pt idx="63">
                  <c:v>rugosus-31</c:v>
                </c:pt>
                <c:pt idx="64">
                  <c:v>angustifolium-31</c:v>
                </c:pt>
                <c:pt idx="65">
                  <c:v>floribundum-31</c:v>
                </c:pt>
                <c:pt idx="66">
                  <c:v>grandifolium-31</c:v>
                </c:pt>
                <c:pt idx="67">
                  <c:v>latialatum-31</c:v>
                </c:pt>
                <c:pt idx="68">
                  <c:v>ulei-31</c:v>
                </c:pt>
                <c:pt idx="69">
                  <c:v>guedesii-35</c:v>
                </c:pt>
                <c:pt idx="70">
                  <c:v>maxima-36</c:v>
                </c:pt>
                <c:pt idx="71">
                  <c:v>nymphaeafolia-36</c:v>
                </c:pt>
                <c:pt idx="72">
                  <c:v>flexuosa-37</c:v>
                </c:pt>
                <c:pt idx="73">
                  <c:v>malaccensis-38</c:v>
                </c:pt>
                <c:pt idx="74">
                  <c:v>stipitata-38</c:v>
                </c:pt>
                <c:pt idx="75">
                  <c:v>aeruginosa-39</c:v>
                </c:pt>
                <c:pt idx="76">
                  <c:v>uberrima-39</c:v>
                </c:pt>
                <c:pt idx="77">
                  <c:v>lanceolata-50</c:v>
                </c:pt>
                <c:pt idx="78">
                  <c:v>purusiana-50</c:v>
                </c:pt>
                <c:pt idx="79">
                  <c:v>franciscana-50</c:v>
                </c:pt>
                <c:pt idx="80">
                  <c:v>gomphiifolia-50</c:v>
                </c:pt>
                <c:pt idx="81">
                  <c:v>laurifolia-50</c:v>
                </c:pt>
                <c:pt idx="82">
                  <c:v>pachycarpa-4</c:v>
                </c:pt>
                <c:pt idx="83">
                  <c:v>marcgravianum-4</c:v>
                </c:pt>
                <c:pt idx="84">
                  <c:v>dugandii-7</c:v>
                </c:pt>
                <c:pt idx="85">
                  <c:v>arborea-8</c:v>
                </c:pt>
                <c:pt idx="86">
                  <c:v>edule-12</c:v>
                </c:pt>
                <c:pt idx="87">
                  <c:v>sp-12</c:v>
                </c:pt>
                <c:pt idx="88">
                  <c:v>bureaniana-13</c:v>
                </c:pt>
                <c:pt idx="89">
                  <c:v>concolor-13</c:v>
                </c:pt>
                <c:pt idx="90">
                  <c:v>bullata-15</c:v>
                </c:pt>
                <c:pt idx="91">
                  <c:v>punctillata-15</c:v>
                </c:pt>
                <c:pt idx="92">
                  <c:v>kunthiana-15</c:v>
                </c:pt>
                <c:pt idx="93">
                  <c:v>piresii-15</c:v>
                </c:pt>
                <c:pt idx="94">
                  <c:v>rondonii-15</c:v>
                </c:pt>
                <c:pt idx="95">
                  <c:v>benzoin-17</c:v>
                </c:pt>
                <c:pt idx="96">
                  <c:v>ovocarpa-17</c:v>
                </c:pt>
                <c:pt idx="97">
                  <c:v>travancoricus-17</c:v>
                </c:pt>
                <c:pt idx="98">
                  <c:v>fendieriana-21</c:v>
                </c:pt>
                <c:pt idx="99">
                  <c:v>sapotifolia-23</c:v>
                </c:pt>
                <c:pt idx="100">
                  <c:v>cissiflora-26</c:v>
                </c:pt>
                <c:pt idx="101">
                  <c:v>canaliculata-26</c:v>
                </c:pt>
                <c:pt idx="102">
                  <c:v>caudata-26</c:v>
                </c:pt>
                <c:pt idx="103">
                  <c:v>maguireana-26</c:v>
                </c:pt>
                <c:pt idx="104">
                  <c:v>sericiflora-26</c:v>
                </c:pt>
                <c:pt idx="105">
                  <c:v>langsdortii-29</c:v>
                </c:pt>
                <c:pt idx="106">
                  <c:v>exaltata-29</c:v>
                </c:pt>
                <c:pt idx="107">
                  <c:v>hymenaefolia-29</c:v>
                </c:pt>
                <c:pt idx="108">
                  <c:v>chysophyllum-29</c:v>
                </c:pt>
                <c:pt idx="109">
                  <c:v>myrmecophila-29</c:v>
                </c:pt>
                <c:pt idx="110">
                  <c:v>cf. glomerosa-30</c:v>
                </c:pt>
                <c:pt idx="111">
                  <c:v>sp-30</c:v>
                </c:pt>
                <c:pt idx="112">
                  <c:v>adiantoides-30</c:v>
                </c:pt>
                <c:pt idx="113">
                  <c:v>glomerosa-30</c:v>
                </c:pt>
                <c:pt idx="114">
                  <c:v>barbatimao-30</c:v>
                </c:pt>
                <c:pt idx="115">
                  <c:v>coriaceum-30</c:v>
                </c:pt>
                <c:pt idx="116">
                  <c:v>madagascariensis-31</c:v>
                </c:pt>
                <c:pt idx="117">
                  <c:v>complicatum-31</c:v>
                </c:pt>
                <c:pt idx="118">
                  <c:v>crucisrubienae-31</c:v>
                </c:pt>
                <c:pt idx="119">
                  <c:v>arboreum-31</c:v>
                </c:pt>
                <c:pt idx="120">
                  <c:v>coriacea-33</c:v>
                </c:pt>
                <c:pt idx="121">
                  <c:v>obsersa-33</c:v>
                </c:pt>
                <c:pt idx="122">
                  <c:v>aurea-36</c:v>
                </c:pt>
                <c:pt idx="123">
                  <c:v>enormis-36</c:v>
                </c:pt>
                <c:pt idx="124">
                  <c:v>pulchelia-36</c:v>
                </c:pt>
                <c:pt idx="125">
                  <c:v>radula-36</c:v>
                </c:pt>
                <c:pt idx="126">
                  <c:v>retusa-36</c:v>
                </c:pt>
                <c:pt idx="127">
                  <c:v>carinata-37</c:v>
                </c:pt>
                <c:pt idx="128">
                  <c:v>macrocarpa-37</c:v>
                </c:pt>
                <c:pt idx="129">
                  <c:v>molissima-37</c:v>
                </c:pt>
                <c:pt idx="130">
                  <c:v>chartacea-38</c:v>
                </c:pt>
                <c:pt idx="131">
                  <c:v>egensis-38</c:v>
                </c:pt>
                <c:pt idx="132">
                  <c:v>florida-38</c:v>
                </c:pt>
                <c:pt idx="133">
                  <c:v>tapacumensis-38</c:v>
                </c:pt>
                <c:pt idx="134">
                  <c:v>krukovii-39</c:v>
                </c:pt>
                <c:pt idx="135">
                  <c:v>punctata-40</c:v>
                </c:pt>
                <c:pt idx="136">
                  <c:v>oocarpa-42</c:v>
                </c:pt>
                <c:pt idx="137">
                  <c:v>wightiana-48</c:v>
                </c:pt>
                <c:pt idx="138">
                  <c:v>platyphylla-50</c:v>
                </c:pt>
                <c:pt idx="139">
                  <c:v>aff-reticulata-50</c:v>
                </c:pt>
                <c:pt idx="140">
                  <c:v>cuspidata-50</c:v>
                </c:pt>
                <c:pt idx="141">
                  <c:v>lasiocarpa-50</c:v>
                </c:pt>
                <c:pt idx="142">
                  <c:v>trichopoda-50</c:v>
                </c:pt>
                <c:pt idx="143">
                  <c:v>sinensis-56</c:v>
                </c:pt>
                <c:pt idx="144">
                  <c:v>centrala-4</c:v>
                </c:pt>
                <c:pt idx="145">
                  <c:v>occidentale-4</c:v>
                </c:pt>
                <c:pt idx="146">
                  <c:v>subincanum-4</c:v>
                </c:pt>
                <c:pt idx="147">
                  <c:v>argentea-7</c:v>
                </c:pt>
                <c:pt idx="148">
                  <c:v>haemantha-7</c:v>
                </c:pt>
                <c:pt idx="149">
                  <c:v>leptopoda-7</c:v>
                </c:pt>
                <c:pt idx="150">
                  <c:v>rigida-7</c:v>
                </c:pt>
                <c:pt idx="151">
                  <c:v>duckel-15</c:v>
                </c:pt>
                <c:pt idx="152">
                  <c:v>latifolia-17</c:v>
                </c:pt>
                <c:pt idx="153">
                  <c:v>mauritiana-17</c:v>
                </c:pt>
                <c:pt idx="154">
                  <c:v>mollis-17</c:v>
                </c:pt>
                <c:pt idx="155">
                  <c:v>pocarpa-17</c:v>
                </c:pt>
                <c:pt idx="156">
                  <c:v>quintala-17</c:v>
                </c:pt>
                <c:pt idx="157">
                  <c:v>rhodesica-17</c:v>
                </c:pt>
                <c:pt idx="158">
                  <c:v>samoensis-17</c:v>
                </c:pt>
                <c:pt idx="159">
                  <c:v>steenisiana-17</c:v>
                </c:pt>
                <c:pt idx="160">
                  <c:v>durissima-21</c:v>
                </c:pt>
                <c:pt idx="161">
                  <c:v>reticulata-21</c:v>
                </c:pt>
                <c:pt idx="162">
                  <c:v>princeps-22</c:v>
                </c:pt>
                <c:pt idx="163">
                  <c:v>rosaeodora-26</c:v>
                </c:pt>
                <c:pt idx="164">
                  <c:v>nitida-26</c:v>
                </c:pt>
                <c:pt idx="165">
                  <c:v>froesii-26</c:v>
                </c:pt>
                <c:pt idx="166">
                  <c:v>globifera-26</c:v>
                </c:pt>
                <c:pt idx="167">
                  <c:v>marmellensis-26</c:v>
                </c:pt>
                <c:pt idx="168">
                  <c:v>froesii-27</c:v>
                </c:pt>
                <c:pt idx="169">
                  <c:v>matamata-27</c:v>
                </c:pt>
                <c:pt idx="170">
                  <c:v>gigantea-27</c:v>
                </c:pt>
                <c:pt idx="171">
                  <c:v>bipindensis-29</c:v>
                </c:pt>
                <c:pt idx="172">
                  <c:v>bahamensis-29</c:v>
                </c:pt>
                <c:pt idx="173">
                  <c:v>paraguariensis-29</c:v>
                </c:pt>
                <c:pt idx="174">
                  <c:v>sp-29</c:v>
                </c:pt>
                <c:pt idx="175">
                  <c:v>punctata-29</c:v>
                </c:pt>
                <c:pt idx="176">
                  <c:v>glomerosa-30</c:v>
                </c:pt>
                <c:pt idx="177">
                  <c:v>schomburgkii-30</c:v>
                </c:pt>
                <c:pt idx="178">
                  <c:v>pedicellare-30</c:v>
                </c:pt>
                <c:pt idx="179">
                  <c:v>excelsa-31</c:v>
                </c:pt>
                <c:pt idx="180">
                  <c:v>stevensonii-31</c:v>
                </c:pt>
                <c:pt idx="181">
                  <c:v>tricolor-31</c:v>
                </c:pt>
                <c:pt idx="182">
                  <c:v>capassa-31</c:v>
                </c:pt>
                <c:pt idx="183">
                  <c:v>cf-dipteroneurus-31</c:v>
                </c:pt>
                <c:pt idx="184">
                  <c:v>denutatus-31</c:v>
                </c:pt>
                <c:pt idx="185">
                  <c:v>hedyosmus-31</c:v>
                </c:pt>
                <c:pt idx="186">
                  <c:v>salvadorensis-31</c:v>
                </c:pt>
                <c:pt idx="187">
                  <c:v>amphymenium-31</c:v>
                </c:pt>
                <c:pt idx="188">
                  <c:v>sp-35</c:v>
                </c:pt>
                <c:pt idx="189">
                  <c:v>anthelmintica-36</c:v>
                </c:pt>
                <c:pt idx="190">
                  <c:v>asperrima-36</c:v>
                </c:pt>
                <c:pt idx="191">
                  <c:v>benjamina-36</c:v>
                </c:pt>
                <c:pt idx="192">
                  <c:v>capensis-36</c:v>
                </c:pt>
                <c:pt idx="193">
                  <c:v>glabrata-36</c:v>
                </c:pt>
                <c:pt idx="194">
                  <c:v>calophylla-37</c:v>
                </c:pt>
                <c:pt idx="195">
                  <c:v>multicostata-37</c:v>
                </c:pt>
                <c:pt idx="196">
                  <c:v>officinalis-37</c:v>
                </c:pt>
                <c:pt idx="197">
                  <c:v>pavanis-37</c:v>
                </c:pt>
                <c:pt idx="198">
                  <c:v>jambolana-38</c:v>
                </c:pt>
                <c:pt idx="199">
                  <c:v>macrocalyx-38</c:v>
                </c:pt>
                <c:pt idx="200">
                  <c:v>involucratus-38</c:v>
                </c:pt>
                <c:pt idx="201">
                  <c:v>cauliflora-39</c:v>
                </c:pt>
                <c:pt idx="202">
                  <c:v>macrophylla-39</c:v>
                </c:pt>
                <c:pt idx="203">
                  <c:v>sp-39</c:v>
                </c:pt>
                <c:pt idx="204">
                  <c:v>tristis-39</c:v>
                </c:pt>
                <c:pt idx="205">
                  <c:v>ambigua-39</c:v>
                </c:pt>
                <c:pt idx="206">
                  <c:v>oliveri-46</c:v>
                </c:pt>
                <c:pt idx="207">
                  <c:v>sp-46</c:v>
                </c:pt>
                <c:pt idx="208">
                  <c:v>arborea-48</c:v>
                </c:pt>
                <c:pt idx="209">
                  <c:v>esculenta-49</c:v>
                </c:pt>
                <c:pt idx="210">
                  <c:v>krukoffii-50</c:v>
                </c:pt>
                <c:pt idx="211">
                  <c:v>solimoesensis-50</c:v>
                </c:pt>
                <c:pt idx="212">
                  <c:v>salicifolia-50</c:v>
                </c:pt>
                <c:pt idx="213">
                  <c:v>cubensis-52</c:v>
                </c:pt>
                <c:pt idx="214">
                  <c:v>macrocarpa-53</c:v>
                </c:pt>
                <c:pt idx="215">
                  <c:v>maingayi-56</c:v>
                </c:pt>
                <c:pt idx="216">
                  <c:v>philippensis-56</c:v>
                </c:pt>
                <c:pt idx="217">
                  <c:v>cf-ferruginea-59</c:v>
                </c:pt>
                <c:pt idx="218">
                  <c:v>lanceolata-3</c:v>
                </c:pt>
                <c:pt idx="219">
                  <c:v>albun-4</c:v>
                </c:pt>
                <c:pt idx="220">
                  <c:v>maingayi-4</c:v>
                </c:pt>
                <c:pt idx="221">
                  <c:v>aurea-7</c:v>
                </c:pt>
                <c:pt idx="222">
                  <c:v>cf-dugandii-7</c:v>
                </c:pt>
                <c:pt idx="223">
                  <c:v>gaudichaudii-7</c:v>
                </c:pt>
                <c:pt idx="224">
                  <c:v>jacaranda-7</c:v>
                </c:pt>
                <c:pt idx="225">
                  <c:v>lepidophylla-7</c:v>
                </c:pt>
                <c:pt idx="226">
                  <c:v>prieurii-7</c:v>
                </c:pt>
                <c:pt idx="227">
                  <c:v>bicolor-13</c:v>
                </c:pt>
                <c:pt idx="228">
                  <c:v>hebeciada-15</c:v>
                </c:pt>
                <c:pt idx="229">
                  <c:v>rasa-15</c:v>
                </c:pt>
                <c:pt idx="230">
                  <c:v>eriandra-15</c:v>
                </c:pt>
                <c:pt idx="231">
                  <c:v>longistyla-15</c:v>
                </c:pt>
                <c:pt idx="232">
                  <c:v>maxima-15</c:v>
                </c:pt>
                <c:pt idx="233">
                  <c:v>niloi-15</c:v>
                </c:pt>
                <c:pt idx="234">
                  <c:v>sclerophylla-15</c:v>
                </c:pt>
                <c:pt idx="235">
                  <c:v>uniguiculata-15</c:v>
                </c:pt>
                <c:pt idx="236">
                  <c:v>fanshawei-17</c:v>
                </c:pt>
                <c:pt idx="237">
                  <c:v>brachystemma-17</c:v>
                </c:pt>
                <c:pt idx="238">
                  <c:v>crenulata-17</c:v>
                </c:pt>
                <c:pt idx="239">
                  <c:v>erici-rosenii-17</c:v>
                </c:pt>
                <c:pt idx="240">
                  <c:v>hayesii-17</c:v>
                </c:pt>
                <c:pt idx="241">
                  <c:v>sp-20</c:v>
                </c:pt>
                <c:pt idx="242">
                  <c:v>dentata-21</c:v>
                </c:pt>
                <c:pt idx="243">
                  <c:v>grandiflora-21</c:v>
                </c:pt>
                <c:pt idx="244">
                  <c:v>uchi-24</c:v>
                </c:pt>
                <c:pt idx="245">
                  <c:v>cuneato-cordata-26</c:v>
                </c:pt>
                <c:pt idx="246">
                  <c:v>grandiflora-26</c:v>
                </c:pt>
                <c:pt idx="247">
                  <c:v>pardo-26</c:v>
                </c:pt>
                <c:pt idx="248">
                  <c:v>superba-26</c:v>
                </c:pt>
                <c:pt idx="249">
                  <c:v>stellata-27</c:v>
                </c:pt>
                <c:pt idx="250">
                  <c:v>albiflora-27</c:v>
                </c:pt>
                <c:pt idx="251">
                  <c:v>blanchetiana-27</c:v>
                </c:pt>
                <c:pt idx="252">
                  <c:v>cf-atropetiolata-27</c:v>
                </c:pt>
                <c:pt idx="253">
                  <c:v>longipes-27</c:v>
                </c:pt>
                <c:pt idx="254">
                  <c:v>brasiliensis-29</c:v>
                </c:pt>
                <c:pt idx="255">
                  <c:v>ferrugineum-29</c:v>
                </c:pt>
                <c:pt idx="256">
                  <c:v>sp-29</c:v>
                </c:pt>
                <c:pt idx="257">
                  <c:v>sp-29</c:v>
                </c:pt>
                <c:pt idx="258">
                  <c:v>subbullatum-29</c:v>
                </c:pt>
                <c:pt idx="259">
                  <c:v>sp-29</c:v>
                </c:pt>
                <c:pt idx="260">
                  <c:v>sp-30</c:v>
                </c:pt>
                <c:pt idx="261">
                  <c:v>ingens-30</c:v>
                </c:pt>
                <c:pt idx="262">
                  <c:v>peregrina-30</c:v>
                </c:pt>
                <c:pt idx="263">
                  <c:v>baroni-31</c:v>
                </c:pt>
                <c:pt idx="264">
                  <c:v>cf-pseudocarone-31</c:v>
                </c:pt>
                <c:pt idx="265">
                  <c:v>cf-petraeum-31</c:v>
                </c:pt>
                <c:pt idx="266">
                  <c:v>ernesti-31</c:v>
                </c:pt>
                <c:pt idx="267">
                  <c:v>nitidus-31</c:v>
                </c:pt>
                <c:pt idx="268">
                  <c:v>acutifolium-31</c:v>
                </c:pt>
                <c:pt idx="269">
                  <c:v>bovinaefolium-31</c:v>
                </c:pt>
                <c:pt idx="270">
                  <c:v>brasiliensis-31</c:v>
                </c:pt>
                <c:pt idx="271">
                  <c:v>capote-31</c:v>
                </c:pt>
                <c:pt idx="272">
                  <c:v>millei-31</c:v>
                </c:pt>
                <c:pt idx="273">
                  <c:v>stenophyllum-31</c:v>
                </c:pt>
                <c:pt idx="274">
                  <c:v>laxiflora-31</c:v>
                </c:pt>
                <c:pt idx="275">
                  <c:v>santalinus-31</c:v>
                </c:pt>
                <c:pt idx="276">
                  <c:v>sp-31</c:v>
                </c:pt>
                <c:pt idx="277">
                  <c:v>crassifolia-33</c:v>
                </c:pt>
                <c:pt idx="278">
                  <c:v>lilloi-35</c:v>
                </c:pt>
                <c:pt idx="279">
                  <c:v>tonduzii-35</c:v>
                </c:pt>
                <c:pt idx="280">
                  <c:v>cf-ivorensis-35</c:v>
                </c:pt>
                <c:pt idx="281">
                  <c:v>begoniifolia-36</c:v>
                </c:pt>
                <c:pt idx="282">
                  <c:v>glaucescens-36</c:v>
                </c:pt>
                <c:pt idx="283">
                  <c:v>calophylloidea-37</c:v>
                </c:pt>
                <c:pt idx="284">
                  <c:v>aerosa-38</c:v>
                </c:pt>
                <c:pt idx="285">
                  <c:v>rostrifolia-38</c:v>
                </c:pt>
                <c:pt idx="286">
                  <c:v>koralensis-42</c:v>
                </c:pt>
                <c:pt idx="287">
                  <c:v>caribaea-42</c:v>
                </c:pt>
                <c:pt idx="288">
                  <c:v>sellowiana-45</c:v>
                </c:pt>
                <c:pt idx="289">
                  <c:v>riedelianum-47</c:v>
                </c:pt>
                <c:pt idx="290">
                  <c:v>ramiflora-50</c:v>
                </c:pt>
                <c:pt idx="291">
                  <c:v>surumuensis-50</c:v>
                </c:pt>
                <c:pt idx="292">
                  <c:v>venosa-50</c:v>
                </c:pt>
                <c:pt idx="293">
                  <c:v>amazonica-53</c:v>
                </c:pt>
                <c:pt idx="294">
                  <c:v>floribunda-59</c:v>
                </c:pt>
                <c:pt idx="295">
                  <c:v>perata-4</c:v>
                </c:pt>
                <c:pt idx="296">
                  <c:v>angustata-7</c:v>
                </c:pt>
                <c:pt idx="297">
                  <c:v>bilbergii-7</c:v>
                </c:pt>
                <c:pt idx="298">
                  <c:v>heterotricha-7</c:v>
                </c:pt>
                <c:pt idx="299">
                  <c:v>longipes-7</c:v>
                </c:pt>
                <c:pt idx="300">
                  <c:v>palmeri-7</c:v>
                </c:pt>
                <c:pt idx="301">
                  <c:v>sauvallei-7</c:v>
                </c:pt>
                <c:pt idx="302">
                  <c:v>purusana-13</c:v>
                </c:pt>
                <c:pt idx="303">
                  <c:v>duckel-15</c:v>
                </c:pt>
                <c:pt idx="304">
                  <c:v>rodriguesii-15</c:v>
                </c:pt>
                <c:pt idx="305">
                  <c:v>floribunda-15</c:v>
                </c:pt>
                <c:pt idx="306">
                  <c:v>fritschii-15</c:v>
                </c:pt>
                <c:pt idx="307">
                  <c:v>minutiflora-15</c:v>
                </c:pt>
                <c:pt idx="308">
                  <c:v>ovalifolia-15</c:v>
                </c:pt>
                <c:pt idx="309">
                  <c:v>benthamiana-16</c:v>
                </c:pt>
                <c:pt idx="310">
                  <c:v>argentea-17</c:v>
                </c:pt>
                <c:pt idx="311">
                  <c:v>batocana-20</c:v>
                </c:pt>
                <c:pt idx="312">
                  <c:v>rubrivenium-22</c:v>
                </c:pt>
                <c:pt idx="313">
                  <c:v>lanceolata-26</c:v>
                </c:pt>
                <c:pt idx="314">
                  <c:v>krukovii-26</c:v>
                </c:pt>
                <c:pt idx="315">
                  <c:v>amara-27</c:v>
                </c:pt>
                <c:pt idx="316">
                  <c:v>rhododendrifolia-27</c:v>
                </c:pt>
                <c:pt idx="317">
                  <c:v>cochinchinensis-29</c:v>
                </c:pt>
                <c:pt idx="318">
                  <c:v>sappan-29</c:v>
                </c:pt>
                <c:pt idx="319">
                  <c:v>ferruginea-29</c:v>
                </c:pt>
                <c:pt idx="320">
                  <c:v>martii-29</c:v>
                </c:pt>
                <c:pt idx="321">
                  <c:v>glabrifolia-29</c:v>
                </c:pt>
                <c:pt idx="322">
                  <c:v>aff-ferrea-29</c:v>
                </c:pt>
                <c:pt idx="323">
                  <c:v>vogelianum-29</c:v>
                </c:pt>
                <c:pt idx="324">
                  <c:v>bracatinga-30</c:v>
                </c:pt>
                <c:pt idx="325">
                  <c:v>peregrina-30</c:v>
                </c:pt>
                <c:pt idx="326">
                  <c:v>louvelii-31</c:v>
                </c:pt>
                <c:pt idx="327">
                  <c:v>toxicaria-31</c:v>
                </c:pt>
                <c:pt idx="328">
                  <c:v>albiflorus-31</c:v>
                </c:pt>
                <c:pt idx="329">
                  <c:v>ehrenbergii-31</c:v>
                </c:pt>
                <c:pt idx="330">
                  <c:v>longistylus-31</c:v>
                </c:pt>
                <c:pt idx="331">
                  <c:v>oaxacensis-35</c:v>
                </c:pt>
                <c:pt idx="332">
                  <c:v>gemina-36</c:v>
                </c:pt>
                <c:pt idx="333">
                  <c:v>gomelleira-36</c:v>
                </c:pt>
                <c:pt idx="334">
                  <c:v>ramiflora-36</c:v>
                </c:pt>
                <c:pt idx="335">
                  <c:v>regularis-36</c:v>
                </c:pt>
                <c:pt idx="336">
                  <c:v>tapajozensis-36</c:v>
                </c:pt>
                <c:pt idx="337">
                  <c:v>multinervia-37</c:v>
                </c:pt>
                <c:pt idx="338">
                  <c:v>tenuifolia-48</c:v>
                </c:pt>
                <c:pt idx="339">
                  <c:v>obtusifolia-50</c:v>
                </c:pt>
                <c:pt idx="340">
                  <c:v>sp-50</c:v>
                </c:pt>
                <c:pt idx="341">
                  <c:v>glomerata-50</c:v>
                </c:pt>
                <c:pt idx="342">
                  <c:v>aff-gongrijpii-50</c:v>
                </c:pt>
                <c:pt idx="343">
                  <c:v>jariensis-50</c:v>
                </c:pt>
                <c:pt idx="344">
                  <c:v>procera-50</c:v>
                </c:pt>
                <c:pt idx="345">
                  <c:v>oppositifolia-50</c:v>
                </c:pt>
                <c:pt idx="346">
                  <c:v>amara-51</c:v>
                </c:pt>
                <c:pt idx="347">
                  <c:v>bequaertii-53</c:v>
                </c:pt>
                <c:pt idx="348">
                  <c:v>obidensis-59</c:v>
                </c:pt>
                <c:pt idx="349">
                  <c:v>olivaceum-4</c:v>
                </c:pt>
                <c:pt idx="350">
                  <c:v>sessiliflora-4</c:v>
                </c:pt>
                <c:pt idx="351">
                  <c:v>chrysotricha-7</c:v>
                </c:pt>
                <c:pt idx="352">
                  <c:v>dielsiana-13</c:v>
                </c:pt>
                <c:pt idx="353">
                  <c:v>canescens-15</c:v>
                </c:pt>
                <c:pt idx="354">
                  <c:v>davillaefolia-15</c:v>
                </c:pt>
                <c:pt idx="355">
                  <c:v>paraensis-15</c:v>
                </c:pt>
                <c:pt idx="356">
                  <c:v>inophyllum-16</c:v>
                </c:pt>
                <c:pt idx="357">
                  <c:v>ochroprumna-17</c:v>
                </c:pt>
                <c:pt idx="358">
                  <c:v>avicennioides-17</c:v>
                </c:pt>
                <c:pt idx="359">
                  <c:v>oreadum-17</c:v>
                </c:pt>
                <c:pt idx="360">
                  <c:v>fasciculata-26</c:v>
                </c:pt>
                <c:pt idx="361">
                  <c:v>macrothyrsus-26</c:v>
                </c:pt>
                <c:pt idx="362">
                  <c:v>pretiosa-26</c:v>
                </c:pt>
                <c:pt idx="363">
                  <c:v>nobile-26</c:v>
                </c:pt>
                <c:pt idx="364">
                  <c:v>amazonica-27</c:v>
                </c:pt>
                <c:pt idx="365">
                  <c:v>pedicellata-27</c:v>
                </c:pt>
                <c:pt idx="366">
                  <c:v>ferrea-29</c:v>
                </c:pt>
                <c:pt idx="367">
                  <c:v>granadillo-29</c:v>
                </c:pt>
                <c:pt idx="368">
                  <c:v>paniculata-29</c:v>
                </c:pt>
                <c:pt idx="369">
                  <c:v>igneiflora-30</c:v>
                </c:pt>
                <c:pt idx="370">
                  <c:v>sp-30</c:v>
                </c:pt>
                <c:pt idx="371">
                  <c:v>nigra-31</c:v>
                </c:pt>
                <c:pt idx="372">
                  <c:v>blaini-31</c:v>
                </c:pt>
                <c:pt idx="373">
                  <c:v>margaritensis-31</c:v>
                </c:pt>
                <c:pt idx="374">
                  <c:v>aculeatum-31</c:v>
                </c:pt>
                <c:pt idx="375">
                  <c:v>ovata-32</c:v>
                </c:pt>
                <c:pt idx="376">
                  <c:v>montana-35</c:v>
                </c:pt>
                <c:pt idx="377">
                  <c:v>utile-36</c:v>
                </c:pt>
                <c:pt idx="378">
                  <c:v>alicastrum-36</c:v>
                </c:pt>
                <c:pt idx="379">
                  <c:v>alba-36</c:v>
                </c:pt>
                <c:pt idx="380">
                  <c:v>archeri-36</c:v>
                </c:pt>
                <c:pt idx="381">
                  <c:v>paraensis-36</c:v>
                </c:pt>
                <c:pt idx="382">
                  <c:v>venosa-37</c:v>
                </c:pt>
                <c:pt idx="383">
                  <c:v>muricata-38</c:v>
                </c:pt>
                <c:pt idx="384">
                  <c:v>altissima-39</c:v>
                </c:pt>
                <c:pt idx="385">
                  <c:v>krukovii-50</c:v>
                </c:pt>
                <c:pt idx="386">
                  <c:v>sp-50</c:v>
                </c:pt>
                <c:pt idx="387">
                  <c:v>trigonosperma-50</c:v>
                </c:pt>
                <c:pt idx="388">
                  <c:v>pachycarpa-50</c:v>
                </c:pt>
                <c:pt idx="389">
                  <c:v>trinerve-57</c:v>
                </c:pt>
                <c:pt idx="390">
                  <c:v>pneumatophora-4</c:v>
                </c:pt>
                <c:pt idx="391">
                  <c:v>camporum-4</c:v>
                </c:pt>
                <c:pt idx="392">
                  <c:v>pallida-7</c:v>
                </c:pt>
                <c:pt idx="393">
                  <c:v>sp-13</c:v>
                </c:pt>
                <c:pt idx="394">
                  <c:v>engleri-15</c:v>
                </c:pt>
                <c:pt idx="395">
                  <c:v>oxycarpa-17</c:v>
                </c:pt>
                <c:pt idx="396">
                  <c:v>arbuscula-17</c:v>
                </c:pt>
                <c:pt idx="397">
                  <c:v>crassiramea-17</c:v>
                </c:pt>
                <c:pt idx="398">
                  <c:v>sp-22</c:v>
                </c:pt>
                <c:pt idx="399">
                  <c:v>multiflora-26</c:v>
                </c:pt>
                <c:pt idx="400">
                  <c:v>grata-27</c:v>
                </c:pt>
                <c:pt idx="401">
                  <c:v>amazonum-27</c:v>
                </c:pt>
                <c:pt idx="402">
                  <c:v>xylocarpa-29</c:v>
                </c:pt>
                <c:pt idx="403">
                  <c:v>cavipes-29</c:v>
                </c:pt>
                <c:pt idx="404">
                  <c:v>gonoacantha-30</c:v>
                </c:pt>
                <c:pt idx="405">
                  <c:v>loritensis-30</c:v>
                </c:pt>
                <c:pt idx="406">
                  <c:v>arbutifolia-31</c:v>
                </c:pt>
                <c:pt idx="407">
                  <c:v>alata-31</c:v>
                </c:pt>
                <c:pt idx="408">
                  <c:v>domingensis-31</c:v>
                </c:pt>
                <c:pt idx="409">
                  <c:v>incorruptible-31</c:v>
                </c:pt>
                <c:pt idx="410">
                  <c:v>parinarioides-36</c:v>
                </c:pt>
                <c:pt idx="411">
                  <c:v>racemosa-36</c:v>
                </c:pt>
                <c:pt idx="412">
                  <c:v>erythrosticta-36</c:v>
                </c:pt>
                <c:pt idx="413">
                  <c:v>gracilis-37</c:v>
                </c:pt>
                <c:pt idx="414">
                  <c:v>guatemalensis-37</c:v>
                </c:pt>
                <c:pt idx="415">
                  <c:v>loretensis-37</c:v>
                </c:pt>
                <c:pt idx="416">
                  <c:v>gardneriana-50</c:v>
                </c:pt>
                <c:pt idx="417">
                  <c:v>macrocarpa-50</c:v>
                </c:pt>
                <c:pt idx="418">
                  <c:v>alata-53</c:v>
                </c:pt>
                <c:pt idx="419">
                  <c:v>calucina-3</c:v>
                </c:pt>
                <c:pt idx="420">
                  <c:v>egensis-15</c:v>
                </c:pt>
                <c:pt idx="421">
                  <c:v>hispidula-15</c:v>
                </c:pt>
                <c:pt idx="422">
                  <c:v>altissima-17</c:v>
                </c:pt>
                <c:pt idx="423">
                  <c:v>gulanensis-17</c:v>
                </c:pt>
                <c:pt idx="424">
                  <c:v>kilimandsharica-17</c:v>
                </c:pt>
                <c:pt idx="425">
                  <c:v>obovata-17</c:v>
                </c:pt>
                <c:pt idx="426">
                  <c:v>prunoides-17</c:v>
                </c:pt>
                <c:pt idx="427">
                  <c:v>seriocarpa-17</c:v>
                </c:pt>
                <c:pt idx="428">
                  <c:v>wchinocarpus-22</c:v>
                </c:pt>
                <c:pt idx="429">
                  <c:v>macrocarpa-24</c:v>
                </c:pt>
                <c:pt idx="430">
                  <c:v>appelii-26</c:v>
                </c:pt>
                <c:pt idx="431">
                  <c:v>pisi-26</c:v>
                </c:pt>
                <c:pt idx="432">
                  <c:v>reticulata-26</c:v>
                </c:pt>
                <c:pt idx="433">
                  <c:v>pachysepala-27</c:v>
                </c:pt>
                <c:pt idx="434">
                  <c:v>rhomboidea-29</c:v>
                </c:pt>
                <c:pt idx="435">
                  <c:v>multijuga-29</c:v>
                </c:pt>
                <c:pt idx="436">
                  <c:v>stilbocarpa-29</c:v>
                </c:pt>
                <c:pt idx="437">
                  <c:v>contortisiliquum-30</c:v>
                </c:pt>
                <c:pt idx="438">
                  <c:v>velutina-30</c:v>
                </c:pt>
                <c:pt idx="439">
                  <c:v>plystachyum-30</c:v>
                </c:pt>
                <c:pt idx="440">
                  <c:v>pterocarpifolia-31</c:v>
                </c:pt>
                <c:pt idx="441">
                  <c:v>benthamianus-31</c:v>
                </c:pt>
                <c:pt idx="442">
                  <c:v>sanctae-marthae-31</c:v>
                </c:pt>
                <c:pt idx="443">
                  <c:v>carica-36</c:v>
                </c:pt>
                <c:pt idx="444">
                  <c:v>cf-costata-38</c:v>
                </c:pt>
                <c:pt idx="445">
                  <c:v>feijoi-38</c:v>
                </c:pt>
                <c:pt idx="446">
                  <c:v>patrisii-38</c:v>
                </c:pt>
                <c:pt idx="447">
                  <c:v>tinctoria-46</c:v>
                </c:pt>
                <c:pt idx="448">
                  <c:v>pariry-50</c:v>
                </c:pt>
                <c:pt idx="449">
                  <c:v>elata-50</c:v>
                </c:pt>
                <c:pt idx="450">
                  <c:v>filipes-50</c:v>
                </c:pt>
                <c:pt idx="451">
                  <c:v>ephedrantha-50</c:v>
                </c:pt>
                <c:pt idx="452">
                  <c:v>procera-50</c:v>
                </c:pt>
                <c:pt idx="453">
                  <c:v>coulteri-60</c:v>
                </c:pt>
                <c:pt idx="454">
                  <c:v>conspicua-7</c:v>
                </c:pt>
                <c:pt idx="455">
                  <c:v>elongata-15</c:v>
                </c:pt>
                <c:pt idx="456">
                  <c:v>hostmanni-15</c:v>
                </c:pt>
                <c:pt idx="457">
                  <c:v>longifolia-16</c:v>
                </c:pt>
                <c:pt idx="458">
                  <c:v>procera-17</c:v>
                </c:pt>
                <c:pt idx="459">
                  <c:v>guianensis-21</c:v>
                </c:pt>
                <c:pt idx="460">
                  <c:v>decurrens-26</c:v>
                </c:pt>
                <c:pt idx="461">
                  <c:v>macrosperma-27</c:v>
                </c:pt>
                <c:pt idx="462">
                  <c:v>rorida-27</c:v>
                </c:pt>
                <c:pt idx="463">
                  <c:v>hians-27</c:v>
                </c:pt>
                <c:pt idx="464">
                  <c:v>molaris-29</c:v>
                </c:pt>
                <c:pt idx="465">
                  <c:v>parvifolia-29</c:v>
                </c:pt>
                <c:pt idx="466">
                  <c:v>corymbosa-29</c:v>
                </c:pt>
                <c:pt idx="467">
                  <c:v>cf-excelsa-30</c:v>
                </c:pt>
                <c:pt idx="468">
                  <c:v>rigida-30</c:v>
                </c:pt>
                <c:pt idx="469">
                  <c:v>leucopterium-31</c:v>
                </c:pt>
                <c:pt idx="470">
                  <c:v>lilacinum-31</c:v>
                </c:pt>
                <c:pt idx="471">
                  <c:v>cf-cambodianus-31</c:v>
                </c:pt>
                <c:pt idx="472">
                  <c:v>cf-macrocarpa-31</c:v>
                </c:pt>
                <c:pt idx="473">
                  <c:v>crispa-33</c:v>
                </c:pt>
                <c:pt idx="474">
                  <c:v>intermedia-33</c:v>
                </c:pt>
                <c:pt idx="475">
                  <c:v>cf-macrophylla-35</c:v>
                </c:pt>
                <c:pt idx="476">
                  <c:v>brevifolia-36</c:v>
                </c:pt>
                <c:pt idx="477">
                  <c:v>floribunda-39</c:v>
                </c:pt>
                <c:pt idx="478">
                  <c:v>sinense-55</c:v>
                </c:pt>
                <c:pt idx="479">
                  <c:v>gomesianum-4</c:v>
                </c:pt>
                <c:pt idx="480">
                  <c:v>lowii-4</c:v>
                </c:pt>
                <c:pt idx="481">
                  <c:v>capitata-7</c:v>
                </c:pt>
                <c:pt idx="482">
                  <c:v>cf-catinga-7</c:v>
                </c:pt>
                <c:pt idx="483">
                  <c:v>cf-rufescens-7</c:v>
                </c:pt>
                <c:pt idx="484">
                  <c:v>ellipticum-9</c:v>
                </c:pt>
                <c:pt idx="485">
                  <c:v>egensis-15</c:v>
                </c:pt>
                <c:pt idx="486">
                  <c:v>australis-17</c:v>
                </c:pt>
                <c:pt idx="487">
                  <c:v>chocharronia-17</c:v>
                </c:pt>
                <c:pt idx="488">
                  <c:v>pyrifoli-17</c:v>
                </c:pt>
                <c:pt idx="489">
                  <c:v>uviferum-18</c:v>
                </c:pt>
                <c:pt idx="490">
                  <c:v>pseudodentata-21</c:v>
                </c:pt>
                <c:pt idx="491">
                  <c:v>pterocarpa-25</c:v>
                </c:pt>
                <c:pt idx="492">
                  <c:v>curpidata-26</c:v>
                </c:pt>
                <c:pt idx="493">
                  <c:v>laevis-26</c:v>
                </c:pt>
                <c:pt idx="494">
                  <c:v>barcellensis-26</c:v>
                </c:pt>
                <c:pt idx="495">
                  <c:v>dissimilis-26</c:v>
                </c:pt>
                <c:pt idx="496">
                  <c:v>surinamensis-27</c:v>
                </c:pt>
                <c:pt idx="497">
                  <c:v>bracteata-29</c:v>
                </c:pt>
                <c:pt idx="498">
                  <c:v>oblongifolia-29</c:v>
                </c:pt>
                <c:pt idx="499">
                  <c:v>cf-arborea-30</c:v>
                </c:pt>
                <c:pt idx="500">
                  <c:v>flava-30</c:v>
                </c:pt>
                <c:pt idx="501">
                  <c:v>cf-margaritensis-31</c:v>
                </c:pt>
                <c:pt idx="502">
                  <c:v>sp-31</c:v>
                </c:pt>
                <c:pt idx="503">
                  <c:v>parviflora-31</c:v>
                </c:pt>
                <c:pt idx="504">
                  <c:v>spicata-33</c:v>
                </c:pt>
                <c:pt idx="505">
                  <c:v>chamissoana-34</c:v>
                </c:pt>
                <c:pt idx="506">
                  <c:v>lactescens-36</c:v>
                </c:pt>
                <c:pt idx="507">
                  <c:v>hispida-50</c:v>
                </c:pt>
                <c:pt idx="508">
                  <c:v>plicata-50</c:v>
                </c:pt>
                <c:pt idx="509">
                  <c:v>horsfieldii-53</c:v>
                </c:pt>
                <c:pt idx="510">
                  <c:v>incana-7</c:v>
                </c:pt>
                <c:pt idx="511">
                  <c:v>hispidula-15</c:v>
                </c:pt>
                <c:pt idx="512">
                  <c:v>micrantha-15</c:v>
                </c:pt>
                <c:pt idx="513">
                  <c:v>mollis-15</c:v>
                </c:pt>
                <c:pt idx="514">
                  <c:v>acuminata-17</c:v>
                </c:pt>
                <c:pt idx="515">
                  <c:v>bialata-17</c:v>
                </c:pt>
                <c:pt idx="516">
                  <c:v>mespiliformis-20</c:v>
                </c:pt>
                <c:pt idx="517">
                  <c:v>cordiformis-25</c:v>
                </c:pt>
                <c:pt idx="518">
                  <c:v>longifolia-26</c:v>
                </c:pt>
                <c:pt idx="519">
                  <c:v>pallida-26</c:v>
                </c:pt>
                <c:pt idx="520">
                  <c:v>guianensis-27</c:v>
                </c:pt>
                <c:pt idx="521">
                  <c:v>iquitesensis-27</c:v>
                </c:pt>
                <c:pt idx="522">
                  <c:v>cuanzensis-29</c:v>
                </c:pt>
                <c:pt idx="523">
                  <c:v>psilophylla-29</c:v>
                </c:pt>
                <c:pt idx="524">
                  <c:v>reticulata-29</c:v>
                </c:pt>
                <c:pt idx="525">
                  <c:v>decussata-30</c:v>
                </c:pt>
                <c:pt idx="526">
                  <c:v>tocantina-30</c:v>
                </c:pt>
                <c:pt idx="527">
                  <c:v>robiniifolium-31</c:v>
                </c:pt>
                <c:pt idx="528">
                  <c:v>duckei-31</c:v>
                </c:pt>
                <c:pt idx="529">
                  <c:v>grandiflora-35</c:v>
                </c:pt>
                <c:pt idx="530">
                  <c:v>parvifolia-40</c:v>
                </c:pt>
                <c:pt idx="531">
                  <c:v>egensis-50</c:v>
                </c:pt>
                <c:pt idx="532">
                  <c:v>divaricata-57</c:v>
                </c:pt>
                <c:pt idx="533">
                  <c:v>insignis-7</c:v>
                </c:pt>
                <c:pt idx="534">
                  <c:v>tessmannii-13</c:v>
                </c:pt>
                <c:pt idx="535">
                  <c:v>gardneriana-16</c:v>
                </c:pt>
                <c:pt idx="536">
                  <c:v>tanibouca-17</c:v>
                </c:pt>
                <c:pt idx="537">
                  <c:v>velutina-17</c:v>
                </c:pt>
                <c:pt idx="538">
                  <c:v>spathulata-21</c:v>
                </c:pt>
                <c:pt idx="539">
                  <c:v>mexicana-25</c:v>
                </c:pt>
                <c:pt idx="540">
                  <c:v>amara-26</c:v>
                </c:pt>
                <c:pt idx="541">
                  <c:v>aciphylla-26</c:v>
                </c:pt>
                <c:pt idx="542">
                  <c:v>obtecta-27</c:v>
                </c:pt>
                <c:pt idx="543">
                  <c:v>paraensis-29</c:v>
                </c:pt>
                <c:pt idx="544">
                  <c:v>oppositifolia-30</c:v>
                </c:pt>
                <c:pt idx="545">
                  <c:v>ulei-30</c:v>
                </c:pt>
                <c:pt idx="546">
                  <c:v>melanoxylon-31</c:v>
                </c:pt>
                <c:pt idx="547">
                  <c:v>castilloi-31</c:v>
                </c:pt>
                <c:pt idx="548">
                  <c:v>moritzianum-31</c:v>
                </c:pt>
                <c:pt idx="549">
                  <c:v>violaceum-31</c:v>
                </c:pt>
                <c:pt idx="550">
                  <c:v>fusca-31</c:v>
                </c:pt>
                <c:pt idx="551">
                  <c:v>leiocarpa-47</c:v>
                </c:pt>
                <c:pt idx="552">
                  <c:v>sp-50</c:v>
                </c:pt>
                <c:pt idx="553">
                  <c:v>venulosa-50</c:v>
                </c:pt>
                <c:pt idx="554">
                  <c:v>vestita-50</c:v>
                </c:pt>
                <c:pt idx="555">
                  <c:v>rigidum-4</c:v>
                </c:pt>
                <c:pt idx="556">
                  <c:v>stenocalyx-7</c:v>
                </c:pt>
                <c:pt idx="557">
                  <c:v>bicolor-10</c:v>
                </c:pt>
                <c:pt idx="558">
                  <c:v>pallida-15</c:v>
                </c:pt>
                <c:pt idx="559">
                  <c:v>citrina-17</c:v>
                </c:pt>
                <c:pt idx="560">
                  <c:v>copelandii-17</c:v>
                </c:pt>
                <c:pt idx="561">
                  <c:v>manii-17</c:v>
                </c:pt>
                <c:pt idx="562">
                  <c:v>cupularis-24</c:v>
                </c:pt>
                <c:pt idx="563">
                  <c:v>robusta-26</c:v>
                </c:pt>
                <c:pt idx="564">
                  <c:v>paraensis-27</c:v>
                </c:pt>
                <c:pt idx="565">
                  <c:v>microstachyum-30</c:v>
                </c:pt>
                <c:pt idx="566">
                  <c:v>tucurensis-31</c:v>
                </c:pt>
                <c:pt idx="567">
                  <c:v>petraeum-31</c:v>
                </c:pt>
                <c:pt idx="568">
                  <c:v>scleroxylon-31</c:v>
                </c:pt>
                <c:pt idx="569">
                  <c:v>mooniana-31</c:v>
                </c:pt>
                <c:pt idx="570">
                  <c:v>poeppigiana-33</c:v>
                </c:pt>
                <c:pt idx="571">
                  <c:v>procera-35</c:v>
                </c:pt>
                <c:pt idx="572">
                  <c:v>flavescens-38</c:v>
                </c:pt>
                <c:pt idx="573">
                  <c:v>solimoesensis-50</c:v>
                </c:pt>
                <c:pt idx="574">
                  <c:v>torta-50</c:v>
                </c:pt>
                <c:pt idx="575">
                  <c:v>excelsa-53</c:v>
                </c:pt>
                <c:pt idx="576">
                  <c:v>excelsa-15</c:v>
                </c:pt>
                <c:pt idx="577">
                  <c:v>racemosa-15</c:v>
                </c:pt>
                <c:pt idx="578">
                  <c:v>brasiliensis-16</c:v>
                </c:pt>
                <c:pt idx="579">
                  <c:v>myrlocarpa-17</c:v>
                </c:pt>
                <c:pt idx="580">
                  <c:v>itauba-26</c:v>
                </c:pt>
                <c:pt idx="581">
                  <c:v>obversa-27</c:v>
                </c:pt>
                <c:pt idx="582">
                  <c:v>truncata-27</c:v>
                </c:pt>
                <c:pt idx="583">
                  <c:v>guineense-29</c:v>
                </c:pt>
                <c:pt idx="584">
                  <c:v>nitida-30</c:v>
                </c:pt>
                <c:pt idx="585">
                  <c:v>albert-smithii-36</c:v>
                </c:pt>
                <c:pt idx="586">
                  <c:v>annulata-36</c:v>
                </c:pt>
                <c:pt idx="587">
                  <c:v>bougainvillei-36</c:v>
                </c:pt>
                <c:pt idx="588">
                  <c:v>pseudopsidium-38</c:v>
                </c:pt>
                <c:pt idx="589">
                  <c:v>oblanceolata-50</c:v>
                </c:pt>
                <c:pt idx="590">
                  <c:v>mildbraedii-53</c:v>
                </c:pt>
                <c:pt idx="591">
                  <c:v>vismiaefolia-59</c:v>
                </c:pt>
                <c:pt idx="592">
                  <c:v>latifolia-15</c:v>
                </c:pt>
                <c:pt idx="593">
                  <c:v>calamansanai-17</c:v>
                </c:pt>
                <c:pt idx="594">
                  <c:v>paniculata-17</c:v>
                </c:pt>
                <c:pt idx="595">
                  <c:v>dioica-26</c:v>
                </c:pt>
                <c:pt idx="596">
                  <c:v>lucida-26</c:v>
                </c:pt>
                <c:pt idx="597">
                  <c:v>organensis-26</c:v>
                </c:pt>
                <c:pt idx="598">
                  <c:v>puberula-26</c:v>
                </c:pt>
                <c:pt idx="599">
                  <c:v>corrugata-27</c:v>
                </c:pt>
                <c:pt idx="600">
                  <c:v>reticulosum-29</c:v>
                </c:pt>
                <c:pt idx="601">
                  <c:v>peregrina-30</c:v>
                </c:pt>
                <c:pt idx="602">
                  <c:v>purpurascens-31</c:v>
                </c:pt>
                <c:pt idx="603">
                  <c:v>latifolius-31</c:v>
                </c:pt>
                <c:pt idx="604">
                  <c:v>pubescens-31</c:v>
                </c:pt>
                <c:pt idx="605">
                  <c:v>divaricata-39</c:v>
                </c:pt>
                <c:pt idx="606">
                  <c:v>sp-50</c:v>
                </c:pt>
                <c:pt idx="607">
                  <c:v>malaccensis-56</c:v>
                </c:pt>
                <c:pt idx="608">
                  <c:v>surinamensis-59</c:v>
                </c:pt>
                <c:pt idx="609">
                  <c:v>impetiginosa-7</c:v>
                </c:pt>
                <c:pt idx="610">
                  <c:v>racemosa-15</c:v>
                </c:pt>
                <c:pt idx="611">
                  <c:v>macrophylla-17</c:v>
                </c:pt>
                <c:pt idx="612">
                  <c:v>palustris-29</c:v>
                </c:pt>
                <c:pt idx="613">
                  <c:v>multijuga-30</c:v>
                </c:pt>
                <c:pt idx="614">
                  <c:v>sp-31</c:v>
                </c:pt>
                <c:pt idx="615">
                  <c:v>madeirana-39</c:v>
                </c:pt>
                <c:pt idx="616">
                  <c:v>laevigata-50</c:v>
                </c:pt>
                <c:pt idx="617">
                  <c:v>forbesii-53</c:v>
                </c:pt>
                <c:pt idx="618">
                  <c:v>warburgianus-56</c:v>
                </c:pt>
                <c:pt idx="619">
                  <c:v>paraensis-59</c:v>
                </c:pt>
                <c:pt idx="620">
                  <c:v>barbata-7</c:v>
                </c:pt>
                <c:pt idx="621">
                  <c:v>bicornis-15</c:v>
                </c:pt>
                <c:pt idx="622">
                  <c:v>polyphylla-26</c:v>
                </c:pt>
                <c:pt idx="623">
                  <c:v>villosa-26</c:v>
                </c:pt>
                <c:pt idx="624">
                  <c:v>fragrantissima-26</c:v>
                </c:pt>
                <c:pt idx="625">
                  <c:v>juruensis-27</c:v>
                </c:pt>
                <c:pt idx="626">
                  <c:v>latifolium-27</c:v>
                </c:pt>
                <c:pt idx="627">
                  <c:v>africana-29</c:v>
                </c:pt>
                <c:pt idx="628">
                  <c:v>pachyloba-29</c:v>
                </c:pt>
                <c:pt idx="629">
                  <c:v>brauna-29</c:v>
                </c:pt>
                <c:pt idx="630">
                  <c:v>macrocarpa-30</c:v>
                </c:pt>
                <c:pt idx="631">
                  <c:v>alba-30</c:v>
                </c:pt>
                <c:pt idx="632">
                  <c:v>sp-31</c:v>
                </c:pt>
                <c:pt idx="633">
                  <c:v>spectabilis-31</c:v>
                </c:pt>
                <c:pt idx="634">
                  <c:v>giganteum-2</c:v>
                </c:pt>
                <c:pt idx="635">
                  <c:v>costaricense-12</c:v>
                </c:pt>
                <c:pt idx="636">
                  <c:v>glandulosa-15</c:v>
                </c:pt>
                <c:pt idx="637">
                  <c:v>urceolaris-15</c:v>
                </c:pt>
                <c:pt idx="638">
                  <c:v>esculenta-16</c:v>
                </c:pt>
                <c:pt idx="639">
                  <c:v>rubiginosa-17</c:v>
                </c:pt>
                <c:pt idx="640">
                  <c:v>obtusa-21</c:v>
                </c:pt>
                <c:pt idx="641">
                  <c:v>celativenia-24</c:v>
                </c:pt>
                <c:pt idx="642">
                  <c:v>paniculatum-29</c:v>
                </c:pt>
                <c:pt idx="643">
                  <c:v>polyphylla-30</c:v>
                </c:pt>
                <c:pt idx="644">
                  <c:v>dimorphandrum-31</c:v>
                </c:pt>
                <c:pt idx="645">
                  <c:v>acapulcensis-31</c:v>
                </c:pt>
                <c:pt idx="646">
                  <c:v>sp-38</c:v>
                </c:pt>
                <c:pt idx="647">
                  <c:v>neriifolius-43</c:v>
                </c:pt>
                <c:pt idx="648">
                  <c:v>guianensis-50</c:v>
                </c:pt>
                <c:pt idx="649">
                  <c:v>gutta-50</c:v>
                </c:pt>
                <c:pt idx="650">
                  <c:v>gracile-2</c:v>
                </c:pt>
                <c:pt idx="651">
                  <c:v>sciadophylla-13</c:v>
                </c:pt>
                <c:pt idx="652">
                  <c:v>arjuna-17</c:v>
                </c:pt>
                <c:pt idx="653">
                  <c:v>gigantifolia-17</c:v>
                </c:pt>
                <c:pt idx="654">
                  <c:v>sumatrana-17</c:v>
                </c:pt>
                <c:pt idx="655">
                  <c:v>latifolia-21</c:v>
                </c:pt>
                <c:pt idx="656">
                  <c:v>armeniaca-26</c:v>
                </c:pt>
                <c:pt idx="657">
                  <c:v>amazonum-26</c:v>
                </c:pt>
                <c:pt idx="658">
                  <c:v>sp-26</c:v>
                </c:pt>
                <c:pt idx="659">
                  <c:v>fendleri-31</c:v>
                </c:pt>
                <c:pt idx="660">
                  <c:v>gardneri-37</c:v>
                </c:pt>
                <c:pt idx="661">
                  <c:v>gorarema-41</c:v>
                </c:pt>
                <c:pt idx="662">
                  <c:v>sp-50</c:v>
                </c:pt>
                <c:pt idx="663">
                  <c:v>boonel-4</c:v>
                </c:pt>
                <c:pt idx="664">
                  <c:v>parvifolium-4</c:v>
                </c:pt>
                <c:pt idx="665">
                  <c:v>burseraefolia-11</c:v>
                </c:pt>
                <c:pt idx="666">
                  <c:v>solomonensis-17</c:v>
                </c:pt>
                <c:pt idx="667">
                  <c:v>tomentosa-17</c:v>
                </c:pt>
                <c:pt idx="668">
                  <c:v>guianensis-24</c:v>
                </c:pt>
                <c:pt idx="669">
                  <c:v>guianensis-27</c:v>
                </c:pt>
                <c:pt idx="670">
                  <c:v>ollaria-27</c:v>
                </c:pt>
                <c:pt idx="671">
                  <c:v>coriaria-29</c:v>
                </c:pt>
                <c:pt idx="672">
                  <c:v>paniculatum-30</c:v>
                </c:pt>
                <c:pt idx="673">
                  <c:v>panamense-31</c:v>
                </c:pt>
                <c:pt idx="674">
                  <c:v>bellengeri-36</c:v>
                </c:pt>
                <c:pt idx="675">
                  <c:v>calimana-36</c:v>
                </c:pt>
                <c:pt idx="676">
                  <c:v>spectabilis-7</c:v>
                </c:pt>
                <c:pt idx="677">
                  <c:v>grandis-17</c:v>
                </c:pt>
                <c:pt idx="678">
                  <c:v>edulis-17</c:v>
                </c:pt>
                <c:pt idx="679">
                  <c:v>microcarpa-17</c:v>
                </c:pt>
                <c:pt idx="680">
                  <c:v>polyantha-27</c:v>
                </c:pt>
                <c:pt idx="681">
                  <c:v>nitens-29</c:v>
                </c:pt>
                <c:pt idx="682">
                  <c:v>paniculata-29</c:v>
                </c:pt>
                <c:pt idx="683">
                  <c:v>virgiliodes-31</c:v>
                </c:pt>
                <c:pt idx="684">
                  <c:v>sericea-31</c:v>
                </c:pt>
                <c:pt idx="685">
                  <c:v>amazonica-33</c:v>
                </c:pt>
                <c:pt idx="686">
                  <c:v>paraensis-47</c:v>
                </c:pt>
                <c:pt idx="687">
                  <c:v>macrophyllus-56</c:v>
                </c:pt>
                <c:pt idx="688">
                  <c:v>spruceanum-2</c:v>
                </c:pt>
                <c:pt idx="689">
                  <c:v>lindaviana-26</c:v>
                </c:pt>
                <c:pt idx="690">
                  <c:v>sassafras-26</c:v>
                </c:pt>
                <c:pt idx="691">
                  <c:v>melanocarpa-29</c:v>
                </c:pt>
                <c:pt idx="692">
                  <c:v>arthropoda-33</c:v>
                </c:pt>
                <c:pt idx="693">
                  <c:v>angustifolia-36</c:v>
                </c:pt>
                <c:pt idx="694">
                  <c:v>reticulata-50</c:v>
                </c:pt>
                <c:pt idx="695">
                  <c:v>ulei-2</c:v>
                </c:pt>
                <c:pt idx="696">
                  <c:v>triplinervia-22</c:v>
                </c:pt>
                <c:pt idx="697">
                  <c:v>colubrina-30</c:v>
                </c:pt>
                <c:pt idx="698">
                  <c:v>pendula-30</c:v>
                </c:pt>
                <c:pt idx="699">
                  <c:v>pulcherrimum-30</c:v>
                </c:pt>
                <c:pt idx="700">
                  <c:v>sp-31</c:v>
                </c:pt>
                <c:pt idx="701">
                  <c:v>guyanensis-50</c:v>
                </c:pt>
                <c:pt idx="702">
                  <c:v>macrophylla-50</c:v>
                </c:pt>
                <c:pt idx="703">
                  <c:v>officinale-60</c:v>
                </c:pt>
                <c:pt idx="704">
                  <c:v>angustiloba-4</c:v>
                </c:pt>
                <c:pt idx="705">
                  <c:v>olanchana-25</c:v>
                </c:pt>
                <c:pt idx="706">
                  <c:v>aurea-26</c:v>
                </c:pt>
                <c:pt idx="707">
                  <c:v>excelsa-30</c:v>
                </c:pt>
                <c:pt idx="708">
                  <c:v>huberi-50</c:v>
                </c:pt>
                <c:pt idx="709">
                  <c:v>cruentum-4</c:v>
                </c:pt>
                <c:pt idx="710">
                  <c:v>morototoni-5</c:v>
                </c:pt>
                <c:pt idx="711">
                  <c:v>acuminata-16</c:v>
                </c:pt>
                <c:pt idx="712">
                  <c:v>lusitanica-18</c:v>
                </c:pt>
                <c:pt idx="713">
                  <c:v>sp-26</c:v>
                </c:pt>
                <c:pt idx="714">
                  <c:v>cyclocarpum-30</c:v>
                </c:pt>
                <c:pt idx="715">
                  <c:v>frondosus-31</c:v>
                </c:pt>
                <c:pt idx="716">
                  <c:v>glomerata-50</c:v>
                </c:pt>
                <c:pt idx="717">
                  <c:v>guianensis-59</c:v>
                </c:pt>
                <c:pt idx="718">
                  <c:v>heterophylla-7</c:v>
                </c:pt>
                <c:pt idx="719">
                  <c:v>dodecandra-10</c:v>
                </c:pt>
                <c:pt idx="720">
                  <c:v>oblongifolia-15</c:v>
                </c:pt>
                <c:pt idx="721">
                  <c:v>nitens-17</c:v>
                </c:pt>
                <c:pt idx="722">
                  <c:v>cf-platyloba-29</c:v>
                </c:pt>
                <c:pt idx="723">
                  <c:v>guianensis-31</c:v>
                </c:pt>
                <c:pt idx="724">
                  <c:v>gaudichaudii-36</c:v>
                </c:pt>
                <c:pt idx="725">
                  <c:v>oleifera-37</c:v>
                </c:pt>
                <c:pt idx="726">
                  <c:v>occidentale-2</c:v>
                </c:pt>
                <c:pt idx="727">
                  <c:v>sp-17</c:v>
                </c:pt>
                <c:pt idx="728">
                  <c:v>quanzensis-29</c:v>
                </c:pt>
                <c:pt idx="729">
                  <c:v>nitida-31</c:v>
                </c:pt>
                <c:pt idx="730">
                  <c:v>sericeus-31</c:v>
                </c:pt>
                <c:pt idx="731">
                  <c:v>sp-33</c:v>
                </c:pt>
                <c:pt idx="732">
                  <c:v>album-4</c:v>
                </c:pt>
                <c:pt idx="733">
                  <c:v>flavescens-7</c:v>
                </c:pt>
                <c:pt idx="734">
                  <c:v>januarensis-17</c:v>
                </c:pt>
                <c:pt idx="735">
                  <c:v>canella-26</c:v>
                </c:pt>
                <c:pt idx="736">
                  <c:v>sp-27</c:v>
                </c:pt>
                <c:pt idx="737">
                  <c:v>angustifolia-35</c:v>
                </c:pt>
                <c:pt idx="738">
                  <c:v>macrocarpa-50</c:v>
                </c:pt>
                <c:pt idx="739">
                  <c:v>ramiflorum-4</c:v>
                </c:pt>
                <c:pt idx="740">
                  <c:v>comintana-17</c:v>
                </c:pt>
                <c:pt idx="741">
                  <c:v>krukovii-27</c:v>
                </c:pt>
                <c:pt idx="742">
                  <c:v>fastigiatus-31</c:v>
                </c:pt>
                <c:pt idx="743">
                  <c:v>macrocarpon-4</c:v>
                </c:pt>
                <c:pt idx="744">
                  <c:v>americana-19</c:v>
                </c:pt>
                <c:pt idx="745">
                  <c:v>hondurensis-31</c:v>
                </c:pt>
                <c:pt idx="746">
                  <c:v>anthotheca-35</c:v>
                </c:pt>
                <c:pt idx="747">
                  <c:v>callophylla-36</c:v>
                </c:pt>
                <c:pt idx="748">
                  <c:v>densiflora-16</c:v>
                </c:pt>
                <c:pt idx="749">
                  <c:v>eburneum-4</c:v>
                </c:pt>
                <c:pt idx="750">
                  <c:v>lucida-17</c:v>
                </c:pt>
                <c:pt idx="751">
                  <c:v>navalium-26</c:v>
                </c:pt>
                <c:pt idx="752">
                  <c:v>bancanus-56</c:v>
                </c:pt>
                <c:pt idx="753">
                  <c:v>albifora-59</c:v>
                </c:pt>
                <c:pt idx="754">
                  <c:v>guatemalensis-59</c:v>
                </c:pt>
                <c:pt idx="755">
                  <c:v>morototoni-5</c:v>
                </c:pt>
                <c:pt idx="756">
                  <c:v>incana-15</c:v>
                </c:pt>
                <c:pt idx="757">
                  <c:v>officinalis-29</c:v>
                </c:pt>
                <c:pt idx="758">
                  <c:v>davisii-29</c:v>
                </c:pt>
                <c:pt idx="759">
                  <c:v>sp-29</c:v>
                </c:pt>
                <c:pt idx="760">
                  <c:v>macracantha-30</c:v>
                </c:pt>
                <c:pt idx="761">
                  <c:v>guianensis-40</c:v>
                </c:pt>
                <c:pt idx="762">
                  <c:v>sp-50</c:v>
                </c:pt>
                <c:pt idx="763">
                  <c:v>licaniaeflora-15</c:v>
                </c:pt>
                <c:pt idx="764">
                  <c:v>dichotoma-17</c:v>
                </c:pt>
                <c:pt idx="765">
                  <c:v>guianensis-26</c:v>
                </c:pt>
                <c:pt idx="766">
                  <c:v>villosum-31</c:v>
                </c:pt>
                <c:pt idx="767">
                  <c:v>melinonii-37</c:v>
                </c:pt>
                <c:pt idx="768">
                  <c:v>araucana-6</c:v>
                </c:pt>
                <c:pt idx="769">
                  <c:v>parviflora-24</c:v>
                </c:pt>
                <c:pt idx="770">
                  <c:v>avellanedae-7</c:v>
                </c:pt>
                <c:pt idx="771">
                  <c:v>caribaea-30</c:v>
                </c:pt>
                <c:pt idx="772">
                  <c:v>triandra-15</c:v>
                </c:pt>
                <c:pt idx="773">
                  <c:v>costulata-26</c:v>
                </c:pt>
                <c:pt idx="774">
                  <c:v>elata-31</c:v>
                </c:pt>
                <c:pt idx="775">
                  <c:v>macrocarpus-31</c:v>
                </c:pt>
                <c:pt idx="776">
                  <c:v>ovalifolia-39</c:v>
                </c:pt>
                <c:pt idx="777">
                  <c:v>macrophylla-50</c:v>
                </c:pt>
                <c:pt idx="778">
                  <c:v>excelsa-50</c:v>
                </c:pt>
                <c:pt idx="779">
                  <c:v>urundeuva-2</c:v>
                </c:pt>
                <c:pt idx="780">
                  <c:v>parviflora-15</c:v>
                </c:pt>
                <c:pt idx="781">
                  <c:v>chebula-17</c:v>
                </c:pt>
                <c:pt idx="782">
                  <c:v>sericea-17</c:v>
                </c:pt>
                <c:pt idx="783">
                  <c:v>jarana-27</c:v>
                </c:pt>
                <c:pt idx="784">
                  <c:v>guianense-36</c:v>
                </c:pt>
                <c:pt idx="785">
                  <c:v>macropylla-4</c:v>
                </c:pt>
                <c:pt idx="786">
                  <c:v>trilocularis-50</c:v>
                </c:pt>
                <c:pt idx="787">
                  <c:v>emarginata-15</c:v>
                </c:pt>
                <c:pt idx="788">
                  <c:v>benghalensis-36</c:v>
                </c:pt>
                <c:pt idx="789">
                  <c:v>tomentosum-4</c:v>
                </c:pt>
                <c:pt idx="790">
                  <c:v>balsamum-31</c:v>
                </c:pt>
                <c:pt idx="791">
                  <c:v>fluminensis-33</c:v>
                </c:pt>
                <c:pt idx="792">
                  <c:v>megalantha-10</c:v>
                </c:pt>
                <c:pt idx="793">
                  <c:v>apetala-15</c:v>
                </c:pt>
                <c:pt idx="794">
                  <c:v>odora-27</c:v>
                </c:pt>
                <c:pt idx="795">
                  <c:v>obionga-17</c:v>
                </c:pt>
                <c:pt idx="796">
                  <c:v>sp-21</c:v>
                </c:pt>
                <c:pt idx="797">
                  <c:v>pisonis-27</c:v>
                </c:pt>
                <c:pt idx="798">
                  <c:v>grandiflora-35</c:v>
                </c:pt>
                <c:pt idx="799">
                  <c:v>congensis-4</c:v>
                </c:pt>
                <c:pt idx="800">
                  <c:v>macrophylla-16</c:v>
                </c:pt>
                <c:pt idx="801">
                  <c:v>estrellensis-27</c:v>
                </c:pt>
                <c:pt idx="802">
                  <c:v>uncinatum-59</c:v>
                </c:pt>
                <c:pt idx="803">
                  <c:v>glauca-51</c:v>
                </c:pt>
                <c:pt idx="804">
                  <c:v>plurijaga-29</c:v>
                </c:pt>
                <c:pt idx="805">
                  <c:v>langsdorfii-29</c:v>
                </c:pt>
                <c:pt idx="806">
                  <c:v>altissima-36</c:v>
                </c:pt>
                <c:pt idx="807">
                  <c:v>britteniana-15</c:v>
                </c:pt>
                <c:pt idx="808">
                  <c:v>polita-15</c:v>
                </c:pt>
                <c:pt idx="809">
                  <c:v>arborea-58</c:v>
                </c:pt>
                <c:pt idx="810">
                  <c:v>sanctum-60</c:v>
                </c:pt>
                <c:pt idx="811">
                  <c:v>ochracea-7</c:v>
                </c:pt>
                <c:pt idx="812">
                  <c:v>senegalensis-35</c:v>
                </c:pt>
                <c:pt idx="813">
                  <c:v>costulata-4</c:v>
                </c:pt>
                <c:pt idx="814">
                  <c:v>cupressoides-18</c:v>
                </c:pt>
                <c:pt idx="815">
                  <c:v>heptaphyllum-11</c:v>
                </c:pt>
                <c:pt idx="816">
                  <c:v>coriacea-27</c:v>
                </c:pt>
                <c:pt idx="817">
                  <c:v>elongata-37</c:v>
                </c:pt>
                <c:pt idx="818">
                  <c:v>ivorensis-17</c:v>
                </c:pt>
                <c:pt idx="819">
                  <c:v>augustifolium-36</c:v>
                </c:pt>
                <c:pt idx="820">
                  <c:v>furcata-50</c:v>
                </c:pt>
                <c:pt idx="821">
                  <c:v>guianensis-36</c:v>
                </c:pt>
                <c:pt idx="822">
                  <c:v>araroba-31</c:v>
                </c:pt>
                <c:pt idx="823">
                  <c:v>anibifolia-50</c:v>
                </c:pt>
                <c:pt idx="824">
                  <c:v>neotropica-25</c:v>
                </c:pt>
                <c:pt idx="825">
                  <c:v>angolensis-31</c:v>
                </c:pt>
                <c:pt idx="826">
                  <c:v>pinnatum-31</c:v>
                </c:pt>
                <c:pt idx="827">
                  <c:v>odorata-31</c:v>
                </c:pt>
                <c:pt idx="828">
                  <c:v>grandis-38</c:v>
                </c:pt>
                <c:pt idx="829">
                  <c:v>sp-38</c:v>
                </c:pt>
                <c:pt idx="830">
                  <c:v>canjerana-35</c:v>
                </c:pt>
                <c:pt idx="831">
                  <c:v>robusta-44</c:v>
                </c:pt>
                <c:pt idx="832">
                  <c:v>superba-17</c:v>
                </c:pt>
                <c:pt idx="833">
                  <c:v>cinerea-25</c:v>
                </c:pt>
                <c:pt idx="834">
                  <c:v>glabra-35</c:v>
                </c:pt>
                <c:pt idx="835">
                  <c:v>humilis-35</c:v>
                </c:pt>
                <c:pt idx="836">
                  <c:v>mahagoni-35</c:v>
                </c:pt>
                <c:pt idx="837">
                  <c:v>pertusa-36</c:v>
                </c:pt>
                <c:pt idx="838">
                  <c:v>robustum-31</c:v>
                </c:pt>
                <c:pt idx="839">
                  <c:v>koschnyi-37</c:v>
                </c:pt>
                <c:pt idx="840">
                  <c:v>echinata-29</c:v>
                </c:pt>
                <c:pt idx="841">
                  <c:v>ipe-7</c:v>
                </c:pt>
                <c:pt idx="842">
                  <c:v>belerica-17</c:v>
                </c:pt>
                <c:pt idx="843">
                  <c:v>excelsa-27</c:v>
                </c:pt>
                <c:pt idx="844">
                  <c:v>sebifera-37</c:v>
                </c:pt>
                <c:pt idx="845">
                  <c:v>villosum-12</c:v>
                </c:pt>
                <c:pt idx="846">
                  <c:v>macrophylla-15</c:v>
                </c:pt>
                <c:pt idx="847">
                  <c:v>guianensis-29</c:v>
                </c:pt>
                <c:pt idx="848">
                  <c:v>legalis-27</c:v>
                </c:pt>
                <c:pt idx="849">
                  <c:v>catenaeformis-30</c:v>
                </c:pt>
                <c:pt idx="850">
                  <c:v>lecointel-2</c:v>
                </c:pt>
                <c:pt idx="851">
                  <c:v>chrysantha-7</c:v>
                </c:pt>
                <c:pt idx="852">
                  <c:v>sp-15</c:v>
                </c:pt>
                <c:pt idx="853">
                  <c:v>americana-29</c:v>
                </c:pt>
                <c:pt idx="854">
                  <c:v>surinamensis-37</c:v>
                </c:pt>
                <c:pt idx="855">
                  <c:v>desmanthum-4</c:v>
                </c:pt>
                <c:pt idx="856">
                  <c:v>cuspidata-54</c:v>
                </c:pt>
                <c:pt idx="857">
                  <c:v>angustifolia-6</c:v>
                </c:pt>
                <c:pt idx="858">
                  <c:v>potabile-36</c:v>
                </c:pt>
                <c:pt idx="859">
                  <c:v>sp-37</c:v>
                </c:pt>
                <c:pt idx="860">
                  <c:v>insignis-16</c:v>
                </c:pt>
                <c:pt idx="861">
                  <c:v>angolensis-31</c:v>
                </c:pt>
                <c:pt idx="862">
                  <c:v>amara-51</c:v>
                </c:pt>
                <c:pt idx="863">
                  <c:v>americana-10</c:v>
                </c:pt>
                <c:pt idx="864">
                  <c:v>octandra-15</c:v>
                </c:pt>
                <c:pt idx="865">
                  <c:v>rodiaei-26</c:v>
                </c:pt>
                <c:pt idx="866">
                  <c:v>polystachyum-31</c:v>
                </c:pt>
                <c:pt idx="867">
                  <c:v>arborea-30</c:v>
                </c:pt>
                <c:pt idx="868">
                  <c:v>acutifolium-36</c:v>
                </c:pt>
                <c:pt idx="869">
                  <c:v>rubra-26</c:v>
                </c:pt>
                <c:pt idx="870">
                  <c:v>macroloba-30</c:v>
                </c:pt>
                <c:pt idx="871">
                  <c:v>maximum-30</c:v>
                </c:pt>
                <c:pt idx="872">
                  <c:v>sp-50</c:v>
                </c:pt>
                <c:pt idx="873">
                  <c:v>guayacan-7</c:v>
                </c:pt>
                <c:pt idx="874">
                  <c:v>rubenscens-36</c:v>
                </c:pt>
                <c:pt idx="875">
                  <c:v>heteromorpha-15</c:v>
                </c:pt>
                <c:pt idx="876">
                  <c:v>cearensis-31</c:v>
                </c:pt>
                <c:pt idx="877">
                  <c:v>parahybum-29</c:v>
                </c:pt>
                <c:pt idx="878">
                  <c:v>scholaris-4</c:v>
                </c:pt>
                <c:pt idx="879">
                  <c:v>peroba-7</c:v>
                </c:pt>
                <c:pt idx="880">
                  <c:v>polyneuron-4</c:v>
                </c:pt>
                <c:pt idx="881">
                  <c:v>trichotoma-10</c:v>
                </c:pt>
                <c:pt idx="882">
                  <c:v>catappa-17</c:v>
                </c:pt>
                <c:pt idx="883">
                  <c:v>indicus-31</c:v>
                </c:pt>
                <c:pt idx="884">
                  <c:v>goeldiana-10</c:v>
                </c:pt>
                <c:pt idx="885">
                  <c:v>sp-26</c:v>
                </c:pt>
                <c:pt idx="886">
                  <c:v>porosa-26</c:v>
                </c:pt>
                <c:pt idx="887">
                  <c:v>capitata-17</c:v>
                </c:pt>
                <c:pt idx="888">
                  <c:v>hondurensis-59</c:v>
                </c:pt>
                <c:pt idx="889">
                  <c:v>excelsum-2</c:v>
                </c:pt>
                <c:pt idx="890">
                  <c:v>nitida-36</c:v>
                </c:pt>
                <c:pt idx="891">
                  <c:v>ferruginea-59</c:v>
                </c:pt>
                <c:pt idx="892">
                  <c:v>quinata-9</c:v>
                </c:pt>
                <c:pt idx="893">
                  <c:v>glabrum-12</c:v>
                </c:pt>
                <c:pt idx="894">
                  <c:v>megalocarpon-4</c:v>
                </c:pt>
                <c:pt idx="895">
                  <c:v>saman-30</c:v>
                </c:pt>
                <c:pt idx="896">
                  <c:v>bidentata-50</c:v>
                </c:pt>
                <c:pt idx="897">
                  <c:v>donneii-smithii-7</c:v>
                </c:pt>
                <c:pt idx="898">
                  <c:v>copaia-7</c:v>
                </c:pt>
                <c:pt idx="899">
                  <c:v>fissilis-35</c:v>
                </c:pt>
                <c:pt idx="900">
                  <c:v>glabra-14</c:v>
                </c:pt>
                <c:pt idx="901">
                  <c:v>rosea-7</c:v>
                </c:pt>
                <c:pt idx="902">
                  <c:v>zapotilla-50</c:v>
                </c:pt>
                <c:pt idx="903">
                  <c:v>serratifolia-7</c:v>
                </c:pt>
                <c:pt idx="904">
                  <c:v>leiocarpa-29</c:v>
                </c:pt>
                <c:pt idx="905">
                  <c:v>simaruba-11</c:v>
                </c:pt>
                <c:pt idx="906">
                  <c:v>guianensis-2</c:v>
                </c:pt>
                <c:pt idx="907">
                  <c:v>sp-17</c:v>
                </c:pt>
                <c:pt idx="908">
                  <c:v>guianense-29</c:v>
                </c:pt>
                <c:pt idx="909">
                  <c:v>amazonia-17</c:v>
                </c:pt>
                <c:pt idx="910">
                  <c:v>schomburgkii-30</c:v>
                </c:pt>
                <c:pt idx="911">
                  <c:v>graveolens-2</c:v>
                </c:pt>
                <c:pt idx="912">
                  <c:v>ivorensis-35</c:v>
                </c:pt>
                <c:pt idx="913">
                  <c:v>pentandra-9</c:v>
                </c:pt>
                <c:pt idx="914">
                  <c:v>alchorneoides-22</c:v>
                </c:pt>
                <c:pt idx="915">
                  <c:v>courbaril-29</c:v>
                </c:pt>
                <c:pt idx="916">
                  <c:v>crepitans-22</c:v>
                </c:pt>
                <c:pt idx="917">
                  <c:v>grandis-58</c:v>
                </c:pt>
                <c:pt idx="918">
                  <c:v>brasiliense-16</c:v>
                </c:pt>
                <c:pt idx="919">
                  <c:v>sp-4</c:v>
                </c:pt>
                <c:pt idx="920">
                  <c:v>odorata-35</c:v>
                </c:pt>
                <c:pt idx="921">
                  <c:v>guianensis-35</c:v>
                </c:pt>
                <c:pt idx="922">
                  <c:v>globulifera-16</c:v>
                </c:pt>
                <c:pt idx="923">
                  <c:v>macrophylla-35</c:v>
                </c:pt>
                <c:pt idx="924">
                  <c:v>alliodora-10</c:v>
                </c:pt>
              </c:strCache>
            </c:strRef>
          </c:cat>
          <c:val>
            <c:numRef>
              <c:f>Taxonomy!$I$2:$I$926</c:f>
              <c:numCache>
                <c:formatCode>#,##0</c:formatCode>
                <c:ptCount val="92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40</c:v>
                </c:pt>
                <c:pt idx="104">
                  <c:v>40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40</c:v>
                </c:pt>
                <c:pt idx="126">
                  <c:v>40</c:v>
                </c:pt>
                <c:pt idx="127">
                  <c:v>40</c:v>
                </c:pt>
                <c:pt idx="128">
                  <c:v>40</c:v>
                </c:pt>
                <c:pt idx="129">
                  <c:v>40</c:v>
                </c:pt>
                <c:pt idx="130">
                  <c:v>40</c:v>
                </c:pt>
                <c:pt idx="131">
                  <c:v>40</c:v>
                </c:pt>
                <c:pt idx="132">
                  <c:v>40</c:v>
                </c:pt>
                <c:pt idx="133">
                  <c:v>40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40</c:v>
                </c:pt>
                <c:pt idx="139">
                  <c:v>40</c:v>
                </c:pt>
                <c:pt idx="140">
                  <c:v>40</c:v>
                </c:pt>
                <c:pt idx="141">
                  <c:v>40</c:v>
                </c:pt>
                <c:pt idx="142">
                  <c:v>40</c:v>
                </c:pt>
                <c:pt idx="143">
                  <c:v>40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60</c:v>
                </c:pt>
                <c:pt idx="276">
                  <c:v>60</c:v>
                </c:pt>
                <c:pt idx="277">
                  <c:v>60</c:v>
                </c:pt>
                <c:pt idx="278">
                  <c:v>60</c:v>
                </c:pt>
                <c:pt idx="279">
                  <c:v>60</c:v>
                </c:pt>
                <c:pt idx="280">
                  <c:v>60</c:v>
                </c:pt>
                <c:pt idx="281">
                  <c:v>60</c:v>
                </c:pt>
                <c:pt idx="282">
                  <c:v>60</c:v>
                </c:pt>
                <c:pt idx="283">
                  <c:v>60</c:v>
                </c:pt>
                <c:pt idx="284">
                  <c:v>60</c:v>
                </c:pt>
                <c:pt idx="285">
                  <c:v>60</c:v>
                </c:pt>
                <c:pt idx="286">
                  <c:v>60</c:v>
                </c:pt>
                <c:pt idx="287">
                  <c:v>60</c:v>
                </c:pt>
                <c:pt idx="288">
                  <c:v>60</c:v>
                </c:pt>
                <c:pt idx="289">
                  <c:v>60</c:v>
                </c:pt>
                <c:pt idx="290">
                  <c:v>60</c:v>
                </c:pt>
                <c:pt idx="291">
                  <c:v>60</c:v>
                </c:pt>
                <c:pt idx="292">
                  <c:v>60</c:v>
                </c:pt>
                <c:pt idx="293">
                  <c:v>60</c:v>
                </c:pt>
                <c:pt idx="294">
                  <c:v>60</c:v>
                </c:pt>
                <c:pt idx="295">
                  <c:v>70</c:v>
                </c:pt>
                <c:pt idx="296">
                  <c:v>70</c:v>
                </c:pt>
                <c:pt idx="297">
                  <c:v>70</c:v>
                </c:pt>
                <c:pt idx="298">
                  <c:v>70</c:v>
                </c:pt>
                <c:pt idx="299">
                  <c:v>70</c:v>
                </c:pt>
                <c:pt idx="300">
                  <c:v>70</c:v>
                </c:pt>
                <c:pt idx="301">
                  <c:v>70</c:v>
                </c:pt>
                <c:pt idx="302">
                  <c:v>70</c:v>
                </c:pt>
                <c:pt idx="303">
                  <c:v>70</c:v>
                </c:pt>
                <c:pt idx="304">
                  <c:v>70</c:v>
                </c:pt>
                <c:pt idx="305">
                  <c:v>70</c:v>
                </c:pt>
                <c:pt idx="306">
                  <c:v>70</c:v>
                </c:pt>
                <c:pt idx="307">
                  <c:v>70</c:v>
                </c:pt>
                <c:pt idx="308">
                  <c:v>70</c:v>
                </c:pt>
                <c:pt idx="309">
                  <c:v>70</c:v>
                </c:pt>
                <c:pt idx="310">
                  <c:v>70</c:v>
                </c:pt>
                <c:pt idx="311">
                  <c:v>70</c:v>
                </c:pt>
                <c:pt idx="312">
                  <c:v>70</c:v>
                </c:pt>
                <c:pt idx="313">
                  <c:v>70</c:v>
                </c:pt>
                <c:pt idx="314">
                  <c:v>70</c:v>
                </c:pt>
                <c:pt idx="315">
                  <c:v>70</c:v>
                </c:pt>
                <c:pt idx="316">
                  <c:v>70</c:v>
                </c:pt>
                <c:pt idx="317">
                  <c:v>70</c:v>
                </c:pt>
                <c:pt idx="318">
                  <c:v>70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70</c:v>
                </c:pt>
                <c:pt idx="323">
                  <c:v>70</c:v>
                </c:pt>
                <c:pt idx="324">
                  <c:v>70</c:v>
                </c:pt>
                <c:pt idx="325">
                  <c:v>70</c:v>
                </c:pt>
                <c:pt idx="326">
                  <c:v>70</c:v>
                </c:pt>
                <c:pt idx="327">
                  <c:v>70</c:v>
                </c:pt>
                <c:pt idx="328">
                  <c:v>70</c:v>
                </c:pt>
                <c:pt idx="329">
                  <c:v>70</c:v>
                </c:pt>
                <c:pt idx="330">
                  <c:v>70</c:v>
                </c:pt>
                <c:pt idx="331">
                  <c:v>70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80</c:v>
                </c:pt>
                <c:pt idx="350">
                  <c:v>80</c:v>
                </c:pt>
                <c:pt idx="351">
                  <c:v>80</c:v>
                </c:pt>
                <c:pt idx="352">
                  <c:v>80</c:v>
                </c:pt>
                <c:pt idx="353">
                  <c:v>80</c:v>
                </c:pt>
                <c:pt idx="354">
                  <c:v>80</c:v>
                </c:pt>
                <c:pt idx="355">
                  <c:v>80</c:v>
                </c:pt>
                <c:pt idx="356">
                  <c:v>80</c:v>
                </c:pt>
                <c:pt idx="357">
                  <c:v>80</c:v>
                </c:pt>
                <c:pt idx="358">
                  <c:v>80</c:v>
                </c:pt>
                <c:pt idx="359">
                  <c:v>80</c:v>
                </c:pt>
                <c:pt idx="360">
                  <c:v>80</c:v>
                </c:pt>
                <c:pt idx="361">
                  <c:v>80</c:v>
                </c:pt>
                <c:pt idx="362">
                  <c:v>80</c:v>
                </c:pt>
                <c:pt idx="363">
                  <c:v>80</c:v>
                </c:pt>
                <c:pt idx="364">
                  <c:v>80</c:v>
                </c:pt>
                <c:pt idx="365">
                  <c:v>80</c:v>
                </c:pt>
                <c:pt idx="366">
                  <c:v>80</c:v>
                </c:pt>
                <c:pt idx="367">
                  <c:v>80</c:v>
                </c:pt>
                <c:pt idx="368">
                  <c:v>80</c:v>
                </c:pt>
                <c:pt idx="369">
                  <c:v>80</c:v>
                </c:pt>
                <c:pt idx="370">
                  <c:v>80</c:v>
                </c:pt>
                <c:pt idx="371">
                  <c:v>80</c:v>
                </c:pt>
                <c:pt idx="372">
                  <c:v>80</c:v>
                </c:pt>
                <c:pt idx="373">
                  <c:v>80</c:v>
                </c:pt>
                <c:pt idx="374">
                  <c:v>80</c:v>
                </c:pt>
                <c:pt idx="375">
                  <c:v>80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80</c:v>
                </c:pt>
                <c:pt idx="380">
                  <c:v>80</c:v>
                </c:pt>
                <c:pt idx="381">
                  <c:v>80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80</c:v>
                </c:pt>
                <c:pt idx="386">
                  <c:v>80</c:v>
                </c:pt>
                <c:pt idx="387">
                  <c:v>80</c:v>
                </c:pt>
                <c:pt idx="388">
                  <c:v>80</c:v>
                </c:pt>
                <c:pt idx="389">
                  <c:v>80</c:v>
                </c:pt>
                <c:pt idx="390">
                  <c:v>90</c:v>
                </c:pt>
                <c:pt idx="391">
                  <c:v>90</c:v>
                </c:pt>
                <c:pt idx="392">
                  <c:v>90</c:v>
                </c:pt>
                <c:pt idx="393">
                  <c:v>90</c:v>
                </c:pt>
                <c:pt idx="394">
                  <c:v>90</c:v>
                </c:pt>
                <c:pt idx="395">
                  <c:v>90</c:v>
                </c:pt>
                <c:pt idx="396">
                  <c:v>90</c:v>
                </c:pt>
                <c:pt idx="397">
                  <c:v>90</c:v>
                </c:pt>
                <c:pt idx="398">
                  <c:v>90</c:v>
                </c:pt>
                <c:pt idx="399">
                  <c:v>90</c:v>
                </c:pt>
                <c:pt idx="400">
                  <c:v>90</c:v>
                </c:pt>
                <c:pt idx="401">
                  <c:v>90</c:v>
                </c:pt>
                <c:pt idx="402">
                  <c:v>90</c:v>
                </c:pt>
                <c:pt idx="403">
                  <c:v>90</c:v>
                </c:pt>
                <c:pt idx="404">
                  <c:v>90</c:v>
                </c:pt>
                <c:pt idx="405">
                  <c:v>90</c:v>
                </c:pt>
                <c:pt idx="406">
                  <c:v>90</c:v>
                </c:pt>
                <c:pt idx="407">
                  <c:v>90</c:v>
                </c:pt>
                <c:pt idx="408">
                  <c:v>90</c:v>
                </c:pt>
                <c:pt idx="409">
                  <c:v>90</c:v>
                </c:pt>
                <c:pt idx="410">
                  <c:v>90</c:v>
                </c:pt>
                <c:pt idx="411">
                  <c:v>90</c:v>
                </c:pt>
                <c:pt idx="412">
                  <c:v>90</c:v>
                </c:pt>
                <c:pt idx="413">
                  <c:v>90</c:v>
                </c:pt>
                <c:pt idx="414">
                  <c:v>90</c:v>
                </c:pt>
                <c:pt idx="415">
                  <c:v>90</c:v>
                </c:pt>
                <c:pt idx="416">
                  <c:v>90</c:v>
                </c:pt>
                <c:pt idx="417">
                  <c:v>90</c:v>
                </c:pt>
                <c:pt idx="418">
                  <c:v>90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110</c:v>
                </c:pt>
                <c:pt idx="455">
                  <c:v>110</c:v>
                </c:pt>
                <c:pt idx="456">
                  <c:v>110</c:v>
                </c:pt>
                <c:pt idx="457">
                  <c:v>110</c:v>
                </c:pt>
                <c:pt idx="458">
                  <c:v>110</c:v>
                </c:pt>
                <c:pt idx="459">
                  <c:v>110</c:v>
                </c:pt>
                <c:pt idx="460">
                  <c:v>110</c:v>
                </c:pt>
                <c:pt idx="461">
                  <c:v>110</c:v>
                </c:pt>
                <c:pt idx="462">
                  <c:v>110</c:v>
                </c:pt>
                <c:pt idx="463">
                  <c:v>110</c:v>
                </c:pt>
                <c:pt idx="464">
                  <c:v>110</c:v>
                </c:pt>
                <c:pt idx="465">
                  <c:v>110</c:v>
                </c:pt>
                <c:pt idx="466">
                  <c:v>110</c:v>
                </c:pt>
                <c:pt idx="467">
                  <c:v>110</c:v>
                </c:pt>
                <c:pt idx="468">
                  <c:v>110</c:v>
                </c:pt>
                <c:pt idx="469">
                  <c:v>110</c:v>
                </c:pt>
                <c:pt idx="470">
                  <c:v>110</c:v>
                </c:pt>
                <c:pt idx="471">
                  <c:v>110</c:v>
                </c:pt>
                <c:pt idx="472">
                  <c:v>110</c:v>
                </c:pt>
                <c:pt idx="473">
                  <c:v>110</c:v>
                </c:pt>
                <c:pt idx="474">
                  <c:v>110</c:v>
                </c:pt>
                <c:pt idx="475">
                  <c:v>110</c:v>
                </c:pt>
                <c:pt idx="476">
                  <c:v>110</c:v>
                </c:pt>
                <c:pt idx="477">
                  <c:v>110</c:v>
                </c:pt>
                <c:pt idx="478">
                  <c:v>110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120</c:v>
                </c:pt>
                <c:pt idx="486">
                  <c:v>120</c:v>
                </c:pt>
                <c:pt idx="487">
                  <c:v>120</c:v>
                </c:pt>
                <c:pt idx="488">
                  <c:v>120</c:v>
                </c:pt>
                <c:pt idx="489">
                  <c:v>120</c:v>
                </c:pt>
                <c:pt idx="490">
                  <c:v>120</c:v>
                </c:pt>
                <c:pt idx="491">
                  <c:v>120</c:v>
                </c:pt>
                <c:pt idx="492">
                  <c:v>120</c:v>
                </c:pt>
                <c:pt idx="493">
                  <c:v>120</c:v>
                </c:pt>
                <c:pt idx="494">
                  <c:v>120</c:v>
                </c:pt>
                <c:pt idx="495">
                  <c:v>120</c:v>
                </c:pt>
                <c:pt idx="496">
                  <c:v>120</c:v>
                </c:pt>
                <c:pt idx="497">
                  <c:v>120</c:v>
                </c:pt>
                <c:pt idx="498">
                  <c:v>120</c:v>
                </c:pt>
                <c:pt idx="499">
                  <c:v>120</c:v>
                </c:pt>
                <c:pt idx="500">
                  <c:v>120</c:v>
                </c:pt>
                <c:pt idx="501">
                  <c:v>120</c:v>
                </c:pt>
                <c:pt idx="502">
                  <c:v>120</c:v>
                </c:pt>
                <c:pt idx="503">
                  <c:v>120</c:v>
                </c:pt>
                <c:pt idx="504">
                  <c:v>120</c:v>
                </c:pt>
                <c:pt idx="505">
                  <c:v>120</c:v>
                </c:pt>
                <c:pt idx="506">
                  <c:v>120</c:v>
                </c:pt>
                <c:pt idx="507">
                  <c:v>120</c:v>
                </c:pt>
                <c:pt idx="508">
                  <c:v>120</c:v>
                </c:pt>
                <c:pt idx="509">
                  <c:v>120</c:v>
                </c:pt>
                <c:pt idx="510">
                  <c:v>130</c:v>
                </c:pt>
                <c:pt idx="511">
                  <c:v>130</c:v>
                </c:pt>
                <c:pt idx="512">
                  <c:v>130</c:v>
                </c:pt>
                <c:pt idx="513">
                  <c:v>130</c:v>
                </c:pt>
                <c:pt idx="514">
                  <c:v>130</c:v>
                </c:pt>
                <c:pt idx="515">
                  <c:v>130</c:v>
                </c:pt>
                <c:pt idx="516">
                  <c:v>130</c:v>
                </c:pt>
                <c:pt idx="517">
                  <c:v>130</c:v>
                </c:pt>
                <c:pt idx="518">
                  <c:v>130</c:v>
                </c:pt>
                <c:pt idx="519">
                  <c:v>130</c:v>
                </c:pt>
                <c:pt idx="520">
                  <c:v>130</c:v>
                </c:pt>
                <c:pt idx="521">
                  <c:v>130</c:v>
                </c:pt>
                <c:pt idx="522">
                  <c:v>130</c:v>
                </c:pt>
                <c:pt idx="523">
                  <c:v>130</c:v>
                </c:pt>
                <c:pt idx="524">
                  <c:v>130</c:v>
                </c:pt>
                <c:pt idx="525">
                  <c:v>130</c:v>
                </c:pt>
                <c:pt idx="526">
                  <c:v>130</c:v>
                </c:pt>
                <c:pt idx="527">
                  <c:v>130</c:v>
                </c:pt>
                <c:pt idx="528">
                  <c:v>130</c:v>
                </c:pt>
                <c:pt idx="529">
                  <c:v>130</c:v>
                </c:pt>
                <c:pt idx="530">
                  <c:v>130</c:v>
                </c:pt>
                <c:pt idx="531">
                  <c:v>130</c:v>
                </c:pt>
                <c:pt idx="532">
                  <c:v>130</c:v>
                </c:pt>
                <c:pt idx="533">
                  <c:v>140</c:v>
                </c:pt>
                <c:pt idx="534">
                  <c:v>140</c:v>
                </c:pt>
                <c:pt idx="535">
                  <c:v>140</c:v>
                </c:pt>
                <c:pt idx="536">
                  <c:v>140</c:v>
                </c:pt>
                <c:pt idx="537">
                  <c:v>140</c:v>
                </c:pt>
                <c:pt idx="538">
                  <c:v>140</c:v>
                </c:pt>
                <c:pt idx="539">
                  <c:v>140</c:v>
                </c:pt>
                <c:pt idx="540">
                  <c:v>140</c:v>
                </c:pt>
                <c:pt idx="541">
                  <c:v>140</c:v>
                </c:pt>
                <c:pt idx="542">
                  <c:v>140</c:v>
                </c:pt>
                <c:pt idx="543">
                  <c:v>140</c:v>
                </c:pt>
                <c:pt idx="544">
                  <c:v>140</c:v>
                </c:pt>
                <c:pt idx="545">
                  <c:v>140</c:v>
                </c:pt>
                <c:pt idx="546">
                  <c:v>140</c:v>
                </c:pt>
                <c:pt idx="547">
                  <c:v>140</c:v>
                </c:pt>
                <c:pt idx="548">
                  <c:v>140</c:v>
                </c:pt>
                <c:pt idx="549">
                  <c:v>140</c:v>
                </c:pt>
                <c:pt idx="550">
                  <c:v>140</c:v>
                </c:pt>
                <c:pt idx="551">
                  <c:v>140</c:v>
                </c:pt>
                <c:pt idx="552">
                  <c:v>140</c:v>
                </c:pt>
                <c:pt idx="553">
                  <c:v>140</c:v>
                </c:pt>
                <c:pt idx="554">
                  <c:v>140</c:v>
                </c:pt>
                <c:pt idx="555">
                  <c:v>150</c:v>
                </c:pt>
                <c:pt idx="556">
                  <c:v>150</c:v>
                </c:pt>
                <c:pt idx="557">
                  <c:v>150</c:v>
                </c:pt>
                <c:pt idx="558">
                  <c:v>150</c:v>
                </c:pt>
                <c:pt idx="559">
                  <c:v>150</c:v>
                </c:pt>
                <c:pt idx="560">
                  <c:v>150</c:v>
                </c:pt>
                <c:pt idx="561">
                  <c:v>150</c:v>
                </c:pt>
                <c:pt idx="562">
                  <c:v>150</c:v>
                </c:pt>
                <c:pt idx="563">
                  <c:v>150</c:v>
                </c:pt>
                <c:pt idx="564">
                  <c:v>150</c:v>
                </c:pt>
                <c:pt idx="565">
                  <c:v>150</c:v>
                </c:pt>
                <c:pt idx="566">
                  <c:v>150</c:v>
                </c:pt>
                <c:pt idx="567">
                  <c:v>150</c:v>
                </c:pt>
                <c:pt idx="568">
                  <c:v>150</c:v>
                </c:pt>
                <c:pt idx="569">
                  <c:v>150</c:v>
                </c:pt>
                <c:pt idx="570">
                  <c:v>150</c:v>
                </c:pt>
                <c:pt idx="571">
                  <c:v>150</c:v>
                </c:pt>
                <c:pt idx="572">
                  <c:v>150</c:v>
                </c:pt>
                <c:pt idx="573">
                  <c:v>150</c:v>
                </c:pt>
                <c:pt idx="574">
                  <c:v>150</c:v>
                </c:pt>
                <c:pt idx="575">
                  <c:v>150</c:v>
                </c:pt>
                <c:pt idx="576">
                  <c:v>160</c:v>
                </c:pt>
                <c:pt idx="577">
                  <c:v>160</c:v>
                </c:pt>
                <c:pt idx="578">
                  <c:v>160</c:v>
                </c:pt>
                <c:pt idx="579">
                  <c:v>160</c:v>
                </c:pt>
                <c:pt idx="580">
                  <c:v>160</c:v>
                </c:pt>
                <c:pt idx="581">
                  <c:v>160</c:v>
                </c:pt>
                <c:pt idx="582">
                  <c:v>160</c:v>
                </c:pt>
                <c:pt idx="583">
                  <c:v>160</c:v>
                </c:pt>
                <c:pt idx="584">
                  <c:v>160</c:v>
                </c:pt>
                <c:pt idx="585">
                  <c:v>160</c:v>
                </c:pt>
                <c:pt idx="586">
                  <c:v>160</c:v>
                </c:pt>
                <c:pt idx="587">
                  <c:v>160</c:v>
                </c:pt>
                <c:pt idx="588">
                  <c:v>160</c:v>
                </c:pt>
                <c:pt idx="589">
                  <c:v>160</c:v>
                </c:pt>
                <c:pt idx="590">
                  <c:v>160</c:v>
                </c:pt>
                <c:pt idx="591">
                  <c:v>160</c:v>
                </c:pt>
                <c:pt idx="592">
                  <c:v>170</c:v>
                </c:pt>
                <c:pt idx="593">
                  <c:v>170</c:v>
                </c:pt>
                <c:pt idx="594">
                  <c:v>170</c:v>
                </c:pt>
                <c:pt idx="595">
                  <c:v>170</c:v>
                </c:pt>
                <c:pt idx="596">
                  <c:v>170</c:v>
                </c:pt>
                <c:pt idx="597">
                  <c:v>170</c:v>
                </c:pt>
                <c:pt idx="598">
                  <c:v>170</c:v>
                </c:pt>
                <c:pt idx="599">
                  <c:v>170</c:v>
                </c:pt>
                <c:pt idx="600">
                  <c:v>170</c:v>
                </c:pt>
                <c:pt idx="601">
                  <c:v>170</c:v>
                </c:pt>
                <c:pt idx="602">
                  <c:v>170</c:v>
                </c:pt>
                <c:pt idx="603">
                  <c:v>170</c:v>
                </c:pt>
                <c:pt idx="604">
                  <c:v>170</c:v>
                </c:pt>
                <c:pt idx="605">
                  <c:v>170</c:v>
                </c:pt>
                <c:pt idx="606">
                  <c:v>170</c:v>
                </c:pt>
                <c:pt idx="607">
                  <c:v>170</c:v>
                </c:pt>
                <c:pt idx="608">
                  <c:v>170</c:v>
                </c:pt>
                <c:pt idx="609">
                  <c:v>180</c:v>
                </c:pt>
                <c:pt idx="610">
                  <c:v>180</c:v>
                </c:pt>
                <c:pt idx="611">
                  <c:v>180</c:v>
                </c:pt>
                <c:pt idx="612">
                  <c:v>180</c:v>
                </c:pt>
                <c:pt idx="613">
                  <c:v>180</c:v>
                </c:pt>
                <c:pt idx="614">
                  <c:v>180</c:v>
                </c:pt>
                <c:pt idx="615">
                  <c:v>180</c:v>
                </c:pt>
                <c:pt idx="616">
                  <c:v>180</c:v>
                </c:pt>
                <c:pt idx="617">
                  <c:v>180</c:v>
                </c:pt>
                <c:pt idx="618">
                  <c:v>180</c:v>
                </c:pt>
                <c:pt idx="619">
                  <c:v>180</c:v>
                </c:pt>
                <c:pt idx="620">
                  <c:v>190</c:v>
                </c:pt>
                <c:pt idx="621">
                  <c:v>190</c:v>
                </c:pt>
                <c:pt idx="622">
                  <c:v>190</c:v>
                </c:pt>
                <c:pt idx="623">
                  <c:v>190</c:v>
                </c:pt>
                <c:pt idx="624">
                  <c:v>190</c:v>
                </c:pt>
                <c:pt idx="625">
                  <c:v>190</c:v>
                </c:pt>
                <c:pt idx="626">
                  <c:v>190</c:v>
                </c:pt>
                <c:pt idx="627">
                  <c:v>190</c:v>
                </c:pt>
                <c:pt idx="628">
                  <c:v>190</c:v>
                </c:pt>
                <c:pt idx="629">
                  <c:v>190</c:v>
                </c:pt>
                <c:pt idx="630">
                  <c:v>190</c:v>
                </c:pt>
                <c:pt idx="631">
                  <c:v>190</c:v>
                </c:pt>
                <c:pt idx="632">
                  <c:v>190</c:v>
                </c:pt>
                <c:pt idx="633">
                  <c:v>190</c:v>
                </c:pt>
                <c:pt idx="634">
                  <c:v>200</c:v>
                </c:pt>
                <c:pt idx="635">
                  <c:v>200</c:v>
                </c:pt>
                <c:pt idx="636">
                  <c:v>200</c:v>
                </c:pt>
                <c:pt idx="637">
                  <c:v>200</c:v>
                </c:pt>
                <c:pt idx="638">
                  <c:v>200</c:v>
                </c:pt>
                <c:pt idx="639">
                  <c:v>200</c:v>
                </c:pt>
                <c:pt idx="640">
                  <c:v>200</c:v>
                </c:pt>
                <c:pt idx="641">
                  <c:v>200</c:v>
                </c:pt>
                <c:pt idx="642">
                  <c:v>200</c:v>
                </c:pt>
                <c:pt idx="643">
                  <c:v>200</c:v>
                </c:pt>
                <c:pt idx="644">
                  <c:v>200</c:v>
                </c:pt>
                <c:pt idx="645">
                  <c:v>200</c:v>
                </c:pt>
                <c:pt idx="646">
                  <c:v>200</c:v>
                </c:pt>
                <c:pt idx="647">
                  <c:v>200</c:v>
                </c:pt>
                <c:pt idx="648">
                  <c:v>200</c:v>
                </c:pt>
                <c:pt idx="649">
                  <c:v>200</c:v>
                </c:pt>
                <c:pt idx="650">
                  <c:v>210</c:v>
                </c:pt>
                <c:pt idx="651">
                  <c:v>210</c:v>
                </c:pt>
                <c:pt idx="652">
                  <c:v>210</c:v>
                </c:pt>
                <c:pt idx="653">
                  <c:v>210</c:v>
                </c:pt>
                <c:pt idx="654">
                  <c:v>210</c:v>
                </c:pt>
                <c:pt idx="655">
                  <c:v>210</c:v>
                </c:pt>
                <c:pt idx="656">
                  <c:v>210</c:v>
                </c:pt>
                <c:pt idx="657">
                  <c:v>210</c:v>
                </c:pt>
                <c:pt idx="658">
                  <c:v>210</c:v>
                </c:pt>
                <c:pt idx="659">
                  <c:v>210</c:v>
                </c:pt>
                <c:pt idx="660">
                  <c:v>210</c:v>
                </c:pt>
                <c:pt idx="661">
                  <c:v>210</c:v>
                </c:pt>
                <c:pt idx="662">
                  <c:v>210</c:v>
                </c:pt>
                <c:pt idx="663">
                  <c:v>220</c:v>
                </c:pt>
                <c:pt idx="664">
                  <c:v>220</c:v>
                </c:pt>
                <c:pt idx="665">
                  <c:v>220</c:v>
                </c:pt>
                <c:pt idx="666">
                  <c:v>220</c:v>
                </c:pt>
                <c:pt idx="667">
                  <c:v>220</c:v>
                </c:pt>
                <c:pt idx="668">
                  <c:v>220</c:v>
                </c:pt>
                <c:pt idx="669">
                  <c:v>220</c:v>
                </c:pt>
                <c:pt idx="670">
                  <c:v>220</c:v>
                </c:pt>
                <c:pt idx="671">
                  <c:v>220</c:v>
                </c:pt>
                <c:pt idx="672">
                  <c:v>220</c:v>
                </c:pt>
                <c:pt idx="673">
                  <c:v>220</c:v>
                </c:pt>
                <c:pt idx="674">
                  <c:v>220</c:v>
                </c:pt>
                <c:pt idx="675">
                  <c:v>220</c:v>
                </c:pt>
                <c:pt idx="676">
                  <c:v>230</c:v>
                </c:pt>
                <c:pt idx="677">
                  <c:v>230</c:v>
                </c:pt>
                <c:pt idx="678">
                  <c:v>230</c:v>
                </c:pt>
                <c:pt idx="679">
                  <c:v>230</c:v>
                </c:pt>
                <c:pt idx="680">
                  <c:v>230</c:v>
                </c:pt>
                <c:pt idx="681">
                  <c:v>230</c:v>
                </c:pt>
                <c:pt idx="682">
                  <c:v>230</c:v>
                </c:pt>
                <c:pt idx="683">
                  <c:v>230</c:v>
                </c:pt>
                <c:pt idx="684">
                  <c:v>230</c:v>
                </c:pt>
                <c:pt idx="685">
                  <c:v>230</c:v>
                </c:pt>
                <c:pt idx="686">
                  <c:v>230</c:v>
                </c:pt>
                <c:pt idx="687">
                  <c:v>230</c:v>
                </c:pt>
                <c:pt idx="688">
                  <c:v>240</c:v>
                </c:pt>
                <c:pt idx="689">
                  <c:v>240</c:v>
                </c:pt>
                <c:pt idx="690">
                  <c:v>240</c:v>
                </c:pt>
                <c:pt idx="691">
                  <c:v>240</c:v>
                </c:pt>
                <c:pt idx="692">
                  <c:v>240</c:v>
                </c:pt>
                <c:pt idx="693">
                  <c:v>240</c:v>
                </c:pt>
                <c:pt idx="694">
                  <c:v>240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260</c:v>
                </c:pt>
                <c:pt idx="705">
                  <c:v>260</c:v>
                </c:pt>
                <c:pt idx="706">
                  <c:v>260</c:v>
                </c:pt>
                <c:pt idx="707">
                  <c:v>260</c:v>
                </c:pt>
                <c:pt idx="708">
                  <c:v>260</c:v>
                </c:pt>
                <c:pt idx="709">
                  <c:v>270</c:v>
                </c:pt>
                <c:pt idx="710">
                  <c:v>270</c:v>
                </c:pt>
                <c:pt idx="711">
                  <c:v>270</c:v>
                </c:pt>
                <c:pt idx="712">
                  <c:v>270</c:v>
                </c:pt>
                <c:pt idx="713">
                  <c:v>270</c:v>
                </c:pt>
                <c:pt idx="714">
                  <c:v>270</c:v>
                </c:pt>
                <c:pt idx="715">
                  <c:v>270</c:v>
                </c:pt>
                <c:pt idx="716">
                  <c:v>270</c:v>
                </c:pt>
                <c:pt idx="717">
                  <c:v>270</c:v>
                </c:pt>
                <c:pt idx="718">
                  <c:v>280</c:v>
                </c:pt>
                <c:pt idx="719">
                  <c:v>280</c:v>
                </c:pt>
                <c:pt idx="720">
                  <c:v>280</c:v>
                </c:pt>
                <c:pt idx="721">
                  <c:v>280</c:v>
                </c:pt>
                <c:pt idx="722">
                  <c:v>280</c:v>
                </c:pt>
                <c:pt idx="723">
                  <c:v>280</c:v>
                </c:pt>
                <c:pt idx="724">
                  <c:v>280</c:v>
                </c:pt>
                <c:pt idx="725">
                  <c:v>280</c:v>
                </c:pt>
                <c:pt idx="726">
                  <c:v>290</c:v>
                </c:pt>
                <c:pt idx="727">
                  <c:v>290</c:v>
                </c:pt>
                <c:pt idx="728">
                  <c:v>290</c:v>
                </c:pt>
                <c:pt idx="729">
                  <c:v>290</c:v>
                </c:pt>
                <c:pt idx="730">
                  <c:v>290</c:v>
                </c:pt>
                <c:pt idx="731">
                  <c:v>290</c:v>
                </c:pt>
                <c:pt idx="732">
                  <c:v>300</c:v>
                </c:pt>
                <c:pt idx="733">
                  <c:v>300</c:v>
                </c:pt>
                <c:pt idx="734">
                  <c:v>300</c:v>
                </c:pt>
                <c:pt idx="735">
                  <c:v>300</c:v>
                </c:pt>
                <c:pt idx="736">
                  <c:v>300</c:v>
                </c:pt>
                <c:pt idx="737">
                  <c:v>300</c:v>
                </c:pt>
                <c:pt idx="738">
                  <c:v>300</c:v>
                </c:pt>
                <c:pt idx="739">
                  <c:v>310</c:v>
                </c:pt>
                <c:pt idx="740">
                  <c:v>310</c:v>
                </c:pt>
                <c:pt idx="741">
                  <c:v>310</c:v>
                </c:pt>
                <c:pt idx="742">
                  <c:v>310</c:v>
                </c:pt>
                <c:pt idx="743">
                  <c:v>320</c:v>
                </c:pt>
                <c:pt idx="744">
                  <c:v>320</c:v>
                </c:pt>
                <c:pt idx="745">
                  <c:v>320</c:v>
                </c:pt>
                <c:pt idx="746">
                  <c:v>320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340</c:v>
                </c:pt>
                <c:pt idx="751">
                  <c:v>340</c:v>
                </c:pt>
                <c:pt idx="752">
                  <c:v>340</c:v>
                </c:pt>
                <c:pt idx="753">
                  <c:v>340</c:v>
                </c:pt>
                <c:pt idx="754">
                  <c:v>340</c:v>
                </c:pt>
                <c:pt idx="755">
                  <c:v>350</c:v>
                </c:pt>
                <c:pt idx="756">
                  <c:v>350</c:v>
                </c:pt>
                <c:pt idx="757">
                  <c:v>350</c:v>
                </c:pt>
                <c:pt idx="758">
                  <c:v>350</c:v>
                </c:pt>
                <c:pt idx="759">
                  <c:v>350</c:v>
                </c:pt>
                <c:pt idx="760">
                  <c:v>350</c:v>
                </c:pt>
                <c:pt idx="761">
                  <c:v>350</c:v>
                </c:pt>
                <c:pt idx="762">
                  <c:v>350</c:v>
                </c:pt>
                <c:pt idx="763">
                  <c:v>360</c:v>
                </c:pt>
                <c:pt idx="764">
                  <c:v>360</c:v>
                </c:pt>
                <c:pt idx="765">
                  <c:v>360</c:v>
                </c:pt>
                <c:pt idx="766">
                  <c:v>360</c:v>
                </c:pt>
                <c:pt idx="767">
                  <c:v>360</c:v>
                </c:pt>
                <c:pt idx="768">
                  <c:v>370</c:v>
                </c:pt>
                <c:pt idx="769">
                  <c:v>370</c:v>
                </c:pt>
                <c:pt idx="770">
                  <c:v>380</c:v>
                </c:pt>
                <c:pt idx="771">
                  <c:v>380</c:v>
                </c:pt>
                <c:pt idx="772">
                  <c:v>390</c:v>
                </c:pt>
                <c:pt idx="773">
                  <c:v>390</c:v>
                </c:pt>
                <c:pt idx="774">
                  <c:v>390</c:v>
                </c:pt>
                <c:pt idx="775">
                  <c:v>390</c:v>
                </c:pt>
                <c:pt idx="776">
                  <c:v>390</c:v>
                </c:pt>
                <c:pt idx="777">
                  <c:v>390</c:v>
                </c:pt>
                <c:pt idx="778">
                  <c:v>390</c:v>
                </c:pt>
                <c:pt idx="779">
                  <c:v>400</c:v>
                </c:pt>
                <c:pt idx="780">
                  <c:v>400</c:v>
                </c:pt>
                <c:pt idx="781">
                  <c:v>400</c:v>
                </c:pt>
                <c:pt idx="782">
                  <c:v>400</c:v>
                </c:pt>
                <c:pt idx="783">
                  <c:v>400</c:v>
                </c:pt>
                <c:pt idx="784">
                  <c:v>400</c:v>
                </c:pt>
                <c:pt idx="785">
                  <c:v>410</c:v>
                </c:pt>
                <c:pt idx="786">
                  <c:v>410</c:v>
                </c:pt>
                <c:pt idx="787">
                  <c:v>420</c:v>
                </c:pt>
                <c:pt idx="788">
                  <c:v>420</c:v>
                </c:pt>
                <c:pt idx="789">
                  <c:v>440</c:v>
                </c:pt>
                <c:pt idx="790">
                  <c:v>440</c:v>
                </c:pt>
                <c:pt idx="791">
                  <c:v>440</c:v>
                </c:pt>
                <c:pt idx="792">
                  <c:v>450</c:v>
                </c:pt>
                <c:pt idx="793">
                  <c:v>450</c:v>
                </c:pt>
                <c:pt idx="794">
                  <c:v>450</c:v>
                </c:pt>
                <c:pt idx="795">
                  <c:v>470</c:v>
                </c:pt>
                <c:pt idx="796">
                  <c:v>470</c:v>
                </c:pt>
                <c:pt idx="797">
                  <c:v>470</c:v>
                </c:pt>
                <c:pt idx="798">
                  <c:v>470</c:v>
                </c:pt>
                <c:pt idx="799">
                  <c:v>480</c:v>
                </c:pt>
                <c:pt idx="800">
                  <c:v>480</c:v>
                </c:pt>
                <c:pt idx="801">
                  <c:v>480</c:v>
                </c:pt>
                <c:pt idx="802">
                  <c:v>480</c:v>
                </c:pt>
                <c:pt idx="803">
                  <c:v>490</c:v>
                </c:pt>
                <c:pt idx="804">
                  <c:v>500</c:v>
                </c:pt>
                <c:pt idx="805">
                  <c:v>500</c:v>
                </c:pt>
                <c:pt idx="806">
                  <c:v>500</c:v>
                </c:pt>
                <c:pt idx="807">
                  <c:v>510</c:v>
                </c:pt>
                <c:pt idx="808">
                  <c:v>510</c:v>
                </c:pt>
                <c:pt idx="809">
                  <c:v>510</c:v>
                </c:pt>
                <c:pt idx="810">
                  <c:v>520</c:v>
                </c:pt>
                <c:pt idx="811">
                  <c:v>530</c:v>
                </c:pt>
                <c:pt idx="812">
                  <c:v>530</c:v>
                </c:pt>
                <c:pt idx="813">
                  <c:v>540</c:v>
                </c:pt>
                <c:pt idx="814">
                  <c:v>540</c:v>
                </c:pt>
                <c:pt idx="815">
                  <c:v>550</c:v>
                </c:pt>
                <c:pt idx="816">
                  <c:v>550</c:v>
                </c:pt>
                <c:pt idx="817">
                  <c:v>550</c:v>
                </c:pt>
                <c:pt idx="818">
                  <c:v>560</c:v>
                </c:pt>
                <c:pt idx="819">
                  <c:v>560</c:v>
                </c:pt>
                <c:pt idx="820">
                  <c:v>560</c:v>
                </c:pt>
                <c:pt idx="821">
                  <c:v>570</c:v>
                </c:pt>
                <c:pt idx="822">
                  <c:v>580</c:v>
                </c:pt>
                <c:pt idx="823">
                  <c:v>580</c:v>
                </c:pt>
                <c:pt idx="824">
                  <c:v>590</c:v>
                </c:pt>
                <c:pt idx="825">
                  <c:v>590</c:v>
                </c:pt>
                <c:pt idx="826">
                  <c:v>600</c:v>
                </c:pt>
                <c:pt idx="827">
                  <c:v>610</c:v>
                </c:pt>
                <c:pt idx="828">
                  <c:v>610</c:v>
                </c:pt>
                <c:pt idx="829">
                  <c:v>620</c:v>
                </c:pt>
                <c:pt idx="830">
                  <c:v>630</c:v>
                </c:pt>
                <c:pt idx="831">
                  <c:v>630</c:v>
                </c:pt>
                <c:pt idx="832">
                  <c:v>640</c:v>
                </c:pt>
                <c:pt idx="833">
                  <c:v>650</c:v>
                </c:pt>
                <c:pt idx="834">
                  <c:v>650</c:v>
                </c:pt>
                <c:pt idx="835">
                  <c:v>650</c:v>
                </c:pt>
                <c:pt idx="836">
                  <c:v>650</c:v>
                </c:pt>
                <c:pt idx="837">
                  <c:v>650</c:v>
                </c:pt>
                <c:pt idx="838">
                  <c:v>680</c:v>
                </c:pt>
                <c:pt idx="839">
                  <c:v>700</c:v>
                </c:pt>
                <c:pt idx="840">
                  <c:v>710</c:v>
                </c:pt>
                <c:pt idx="841">
                  <c:v>720</c:v>
                </c:pt>
                <c:pt idx="842">
                  <c:v>720</c:v>
                </c:pt>
                <c:pt idx="843">
                  <c:v>720</c:v>
                </c:pt>
                <c:pt idx="844">
                  <c:v>720</c:v>
                </c:pt>
                <c:pt idx="845">
                  <c:v>740</c:v>
                </c:pt>
                <c:pt idx="846">
                  <c:v>740</c:v>
                </c:pt>
                <c:pt idx="847">
                  <c:v>740</c:v>
                </c:pt>
                <c:pt idx="848">
                  <c:v>750</c:v>
                </c:pt>
                <c:pt idx="849">
                  <c:v>780</c:v>
                </c:pt>
                <c:pt idx="850">
                  <c:v>800</c:v>
                </c:pt>
                <c:pt idx="851">
                  <c:v>800</c:v>
                </c:pt>
                <c:pt idx="852">
                  <c:v>800</c:v>
                </c:pt>
                <c:pt idx="853">
                  <c:v>800</c:v>
                </c:pt>
                <c:pt idx="854">
                  <c:v>800</c:v>
                </c:pt>
                <c:pt idx="855">
                  <c:v>820</c:v>
                </c:pt>
                <c:pt idx="856">
                  <c:v>830</c:v>
                </c:pt>
                <c:pt idx="857">
                  <c:v>850</c:v>
                </c:pt>
                <c:pt idx="858">
                  <c:v>850</c:v>
                </c:pt>
                <c:pt idx="859">
                  <c:v>850</c:v>
                </c:pt>
                <c:pt idx="860">
                  <c:v>870</c:v>
                </c:pt>
                <c:pt idx="861">
                  <c:v>870</c:v>
                </c:pt>
                <c:pt idx="862">
                  <c:v>890</c:v>
                </c:pt>
                <c:pt idx="863">
                  <c:v>910</c:v>
                </c:pt>
                <c:pt idx="864">
                  <c:v>910</c:v>
                </c:pt>
                <c:pt idx="865">
                  <c:v>950</c:v>
                </c:pt>
                <c:pt idx="866">
                  <c:v>990</c:v>
                </c:pt>
                <c:pt idx="867">
                  <c:v>1010</c:v>
                </c:pt>
                <c:pt idx="868">
                  <c:v>1020</c:v>
                </c:pt>
                <c:pt idx="869">
                  <c:v>1090</c:v>
                </c:pt>
                <c:pt idx="870">
                  <c:v>1130</c:v>
                </c:pt>
                <c:pt idx="871">
                  <c:v>1150</c:v>
                </c:pt>
                <c:pt idx="872">
                  <c:v>1150</c:v>
                </c:pt>
                <c:pt idx="873">
                  <c:v>1190</c:v>
                </c:pt>
                <c:pt idx="874">
                  <c:v>1190</c:v>
                </c:pt>
                <c:pt idx="875">
                  <c:v>1210</c:v>
                </c:pt>
                <c:pt idx="876">
                  <c:v>1220</c:v>
                </c:pt>
                <c:pt idx="877">
                  <c:v>1240</c:v>
                </c:pt>
                <c:pt idx="878">
                  <c:v>1280</c:v>
                </c:pt>
                <c:pt idx="879">
                  <c:v>1300</c:v>
                </c:pt>
                <c:pt idx="880">
                  <c:v>1330</c:v>
                </c:pt>
                <c:pt idx="881">
                  <c:v>1340</c:v>
                </c:pt>
                <c:pt idx="882">
                  <c:v>1350</c:v>
                </c:pt>
                <c:pt idx="883">
                  <c:v>1380</c:v>
                </c:pt>
                <c:pt idx="884">
                  <c:v>1410</c:v>
                </c:pt>
                <c:pt idx="885">
                  <c:v>1420</c:v>
                </c:pt>
                <c:pt idx="886">
                  <c:v>1420</c:v>
                </c:pt>
                <c:pt idx="887">
                  <c:v>1480</c:v>
                </c:pt>
                <c:pt idx="888">
                  <c:v>1490</c:v>
                </c:pt>
                <c:pt idx="889">
                  <c:v>1500</c:v>
                </c:pt>
                <c:pt idx="890">
                  <c:v>1500</c:v>
                </c:pt>
                <c:pt idx="891">
                  <c:v>1540</c:v>
                </c:pt>
                <c:pt idx="892">
                  <c:v>1570</c:v>
                </c:pt>
                <c:pt idx="893">
                  <c:v>1570</c:v>
                </c:pt>
                <c:pt idx="894">
                  <c:v>1580</c:v>
                </c:pt>
                <c:pt idx="895">
                  <c:v>1600</c:v>
                </c:pt>
                <c:pt idx="896">
                  <c:v>1710</c:v>
                </c:pt>
                <c:pt idx="897">
                  <c:v>1730</c:v>
                </c:pt>
                <c:pt idx="898">
                  <c:v>1750</c:v>
                </c:pt>
                <c:pt idx="899">
                  <c:v>2110</c:v>
                </c:pt>
                <c:pt idx="900">
                  <c:v>2210</c:v>
                </c:pt>
                <c:pt idx="901">
                  <c:v>2250</c:v>
                </c:pt>
                <c:pt idx="902">
                  <c:v>2290</c:v>
                </c:pt>
                <c:pt idx="903">
                  <c:v>2300</c:v>
                </c:pt>
                <c:pt idx="904">
                  <c:v>2320</c:v>
                </c:pt>
                <c:pt idx="905">
                  <c:v>2380</c:v>
                </c:pt>
                <c:pt idx="906">
                  <c:v>2620</c:v>
                </c:pt>
                <c:pt idx="907">
                  <c:v>2820</c:v>
                </c:pt>
                <c:pt idx="908">
                  <c:v>3200</c:v>
                </c:pt>
                <c:pt idx="909">
                  <c:v>3270</c:v>
                </c:pt>
                <c:pt idx="910">
                  <c:v>3540</c:v>
                </c:pt>
                <c:pt idx="911">
                  <c:v>3620</c:v>
                </c:pt>
                <c:pt idx="912">
                  <c:v>3640</c:v>
                </c:pt>
                <c:pt idx="913">
                  <c:v>3660</c:v>
                </c:pt>
                <c:pt idx="914">
                  <c:v>3900</c:v>
                </c:pt>
                <c:pt idx="915">
                  <c:v>4010</c:v>
                </c:pt>
                <c:pt idx="916">
                  <c:v>4250</c:v>
                </c:pt>
                <c:pt idx="917">
                  <c:v>4390</c:v>
                </c:pt>
                <c:pt idx="918">
                  <c:v>5020</c:v>
                </c:pt>
                <c:pt idx="919">
                  <c:v>5200</c:v>
                </c:pt>
                <c:pt idx="920">
                  <c:v>5380</c:v>
                </c:pt>
                <c:pt idx="921">
                  <c:v>5600</c:v>
                </c:pt>
                <c:pt idx="922">
                  <c:v>6340</c:v>
                </c:pt>
                <c:pt idx="923">
                  <c:v>7330</c:v>
                </c:pt>
                <c:pt idx="924">
                  <c:v>11320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43-4430-AF3A-5D3010027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279712"/>
        <c:axId val="1001281632"/>
      </c:barChart>
      <c:catAx>
        <c:axId val="100127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81632"/>
        <c:crosses val="autoZero"/>
        <c:auto val="1"/>
        <c:lblAlgn val="ctr"/>
        <c:lblOffset val="100"/>
        <c:noMultiLvlLbl val="0"/>
      </c:catAx>
      <c:valAx>
        <c:axId val="100128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79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Taxonomy!$H$2:$H$925</c:f>
              <c:strCache>
                <c:ptCount val="924"/>
                <c:pt idx="0">
                  <c:v>inundata-52</c:v>
                </c:pt>
                <c:pt idx="1">
                  <c:v>enneandra-15</c:v>
                </c:pt>
                <c:pt idx="2">
                  <c:v>cf-parvifolia-29</c:v>
                </c:pt>
                <c:pt idx="3">
                  <c:v>auriculata-30</c:v>
                </c:pt>
                <c:pt idx="4">
                  <c:v>ampelos-36</c:v>
                </c:pt>
                <c:pt idx="5">
                  <c:v>caballina-36</c:v>
                </c:pt>
                <c:pt idx="6">
                  <c:v>lambertii-43</c:v>
                </c:pt>
                <c:pt idx="7">
                  <c:v>tenulfolium-2</c:v>
                </c:pt>
                <c:pt idx="8">
                  <c:v>cf-guayacan-7</c:v>
                </c:pt>
                <c:pt idx="9">
                  <c:v>cf-heptaphilla-7</c:v>
                </c:pt>
                <c:pt idx="10">
                  <c:v>aff-simaruba-11</c:v>
                </c:pt>
                <c:pt idx="11">
                  <c:v>alata-17</c:v>
                </c:pt>
                <c:pt idx="12">
                  <c:v>quadrivalvis-21</c:v>
                </c:pt>
                <c:pt idx="13">
                  <c:v>peruviana-27</c:v>
                </c:pt>
                <c:pt idx="14">
                  <c:v>schlerocarpa-29</c:v>
                </c:pt>
                <c:pt idx="15">
                  <c:v>oleifera-28</c:v>
                </c:pt>
                <c:pt idx="16">
                  <c:v>laxiflorus-31</c:v>
                </c:pt>
                <c:pt idx="17">
                  <c:v>atropurpureus-31</c:v>
                </c:pt>
                <c:pt idx="18">
                  <c:v>neuroscapha-31</c:v>
                </c:pt>
                <c:pt idx="19">
                  <c:v>punctatus-31</c:v>
                </c:pt>
                <c:pt idx="20">
                  <c:v>whitfordii-31</c:v>
                </c:pt>
                <c:pt idx="21">
                  <c:v>amazonum-31</c:v>
                </c:pt>
                <c:pt idx="22">
                  <c:v>tinctoria-36</c:v>
                </c:pt>
                <c:pt idx="23">
                  <c:v>brasiliensis-38</c:v>
                </c:pt>
                <c:pt idx="24">
                  <c:v>clinocarpa-38</c:v>
                </c:pt>
                <c:pt idx="25">
                  <c:v>confusa-38</c:v>
                </c:pt>
                <c:pt idx="26">
                  <c:v>quadrijuga-38</c:v>
                </c:pt>
                <c:pt idx="27">
                  <c:v>riparia-38</c:v>
                </c:pt>
                <c:pt idx="28">
                  <c:v>spruceana-39</c:v>
                </c:pt>
                <c:pt idx="29">
                  <c:v>decorticans-50</c:v>
                </c:pt>
                <c:pt idx="30">
                  <c:v>ovata-50</c:v>
                </c:pt>
                <c:pt idx="31">
                  <c:v>myriantha-2</c:v>
                </c:pt>
                <c:pt idx="32">
                  <c:v>cylindrocarpon-4</c:v>
                </c:pt>
                <c:pt idx="33">
                  <c:v>melanocalix-4</c:v>
                </c:pt>
                <c:pt idx="34">
                  <c:v>monterol-4</c:v>
                </c:pt>
                <c:pt idx="35">
                  <c:v>rufescens-7</c:v>
                </c:pt>
                <c:pt idx="36">
                  <c:v>juranylana-13</c:v>
                </c:pt>
                <c:pt idx="37">
                  <c:v>obtusa-13</c:v>
                </c:pt>
                <c:pt idx="38">
                  <c:v>robusta-15</c:v>
                </c:pt>
                <c:pt idx="39">
                  <c:v>bracteatum-16</c:v>
                </c:pt>
                <c:pt idx="40">
                  <c:v>brownii-17</c:v>
                </c:pt>
                <c:pt idx="41">
                  <c:v>macroptera-17</c:v>
                </c:pt>
                <c:pt idx="42">
                  <c:v>pellucida-17</c:v>
                </c:pt>
                <c:pt idx="43">
                  <c:v>ruspolii-17</c:v>
                </c:pt>
                <c:pt idx="44">
                  <c:v>martiniana-26</c:v>
                </c:pt>
                <c:pt idx="45">
                  <c:v>glomerata-26</c:v>
                </c:pt>
                <c:pt idx="46">
                  <c:v>sp-26</c:v>
                </c:pt>
                <c:pt idx="47">
                  <c:v>corrugata-27</c:v>
                </c:pt>
                <c:pt idx="48">
                  <c:v>zabucaja-27</c:v>
                </c:pt>
                <c:pt idx="49">
                  <c:v>pulcherrima-29</c:v>
                </c:pt>
                <c:pt idx="50">
                  <c:v>ebano-29</c:v>
                </c:pt>
                <c:pt idx="51">
                  <c:v>maranhensis-29</c:v>
                </c:pt>
                <c:pt idx="52">
                  <c:v>sp-29</c:v>
                </c:pt>
                <c:pt idx="53">
                  <c:v>mangium-30</c:v>
                </c:pt>
                <c:pt idx="54">
                  <c:v>platycephala-30</c:v>
                </c:pt>
                <c:pt idx="55">
                  <c:v>foliolosa-30</c:v>
                </c:pt>
                <c:pt idx="56">
                  <c:v>polyphylla-30</c:v>
                </c:pt>
                <c:pt idx="57">
                  <c:v>greveana-31</c:v>
                </c:pt>
                <c:pt idx="58">
                  <c:v>latifolia-31</c:v>
                </c:pt>
                <c:pt idx="59">
                  <c:v>polyphylla-31</c:v>
                </c:pt>
                <c:pt idx="60">
                  <c:v>heterocarpum-31</c:v>
                </c:pt>
                <c:pt idx="61">
                  <c:v>michelianus-31</c:v>
                </c:pt>
                <c:pt idx="62">
                  <c:v>muehlenbergianus-31</c:v>
                </c:pt>
                <c:pt idx="63">
                  <c:v>rugosus-31</c:v>
                </c:pt>
                <c:pt idx="64">
                  <c:v>angustifolium-31</c:v>
                </c:pt>
                <c:pt idx="65">
                  <c:v>floribundum-31</c:v>
                </c:pt>
                <c:pt idx="66">
                  <c:v>grandifolium-31</c:v>
                </c:pt>
                <c:pt idx="67">
                  <c:v>latialatum-31</c:v>
                </c:pt>
                <c:pt idx="68">
                  <c:v>ulei-31</c:v>
                </c:pt>
                <c:pt idx="69">
                  <c:v>guedesii-35</c:v>
                </c:pt>
                <c:pt idx="70">
                  <c:v>maxima-36</c:v>
                </c:pt>
                <c:pt idx="71">
                  <c:v>nymphaeafolia-36</c:v>
                </c:pt>
                <c:pt idx="72">
                  <c:v>flexuosa-37</c:v>
                </c:pt>
                <c:pt idx="73">
                  <c:v>malaccensis-38</c:v>
                </c:pt>
                <c:pt idx="74">
                  <c:v>stipitata-38</c:v>
                </c:pt>
                <c:pt idx="75">
                  <c:v>aeruginosa-39</c:v>
                </c:pt>
                <c:pt idx="76">
                  <c:v>uberrima-39</c:v>
                </c:pt>
                <c:pt idx="77">
                  <c:v>lanceolata-50</c:v>
                </c:pt>
                <c:pt idx="78">
                  <c:v>purusiana-50</c:v>
                </c:pt>
                <c:pt idx="79">
                  <c:v>franciscana-50</c:v>
                </c:pt>
                <c:pt idx="80">
                  <c:v>gomphiifolia-50</c:v>
                </c:pt>
                <c:pt idx="81">
                  <c:v>laurifolia-50</c:v>
                </c:pt>
                <c:pt idx="82">
                  <c:v>pachycarpa-4</c:v>
                </c:pt>
                <c:pt idx="83">
                  <c:v>marcgravianum-4</c:v>
                </c:pt>
                <c:pt idx="84">
                  <c:v>dugandii-7</c:v>
                </c:pt>
                <c:pt idx="85">
                  <c:v>arborea-8</c:v>
                </c:pt>
                <c:pt idx="86">
                  <c:v>edule-12</c:v>
                </c:pt>
                <c:pt idx="87">
                  <c:v>sp-12</c:v>
                </c:pt>
                <c:pt idx="88">
                  <c:v>bureaniana-13</c:v>
                </c:pt>
                <c:pt idx="89">
                  <c:v>concolor-13</c:v>
                </c:pt>
                <c:pt idx="90">
                  <c:v>bullata-15</c:v>
                </c:pt>
                <c:pt idx="91">
                  <c:v>punctillata-15</c:v>
                </c:pt>
                <c:pt idx="92">
                  <c:v>kunthiana-15</c:v>
                </c:pt>
                <c:pt idx="93">
                  <c:v>piresii-15</c:v>
                </c:pt>
                <c:pt idx="94">
                  <c:v>rondonii-15</c:v>
                </c:pt>
                <c:pt idx="95">
                  <c:v>benzoin-17</c:v>
                </c:pt>
                <c:pt idx="96">
                  <c:v>ovocarpa-17</c:v>
                </c:pt>
                <c:pt idx="97">
                  <c:v>travancoricus-17</c:v>
                </c:pt>
                <c:pt idx="98">
                  <c:v>fendieriana-21</c:v>
                </c:pt>
                <c:pt idx="99">
                  <c:v>sapotifolia-23</c:v>
                </c:pt>
                <c:pt idx="100">
                  <c:v>cissiflora-26</c:v>
                </c:pt>
                <c:pt idx="101">
                  <c:v>canaliculata-26</c:v>
                </c:pt>
                <c:pt idx="102">
                  <c:v>caudata-26</c:v>
                </c:pt>
                <c:pt idx="103">
                  <c:v>maguireana-26</c:v>
                </c:pt>
                <c:pt idx="104">
                  <c:v>sericiflora-26</c:v>
                </c:pt>
                <c:pt idx="105">
                  <c:v>langsdortii-29</c:v>
                </c:pt>
                <c:pt idx="106">
                  <c:v>exaltata-29</c:v>
                </c:pt>
                <c:pt idx="107">
                  <c:v>hymenaefolia-29</c:v>
                </c:pt>
                <c:pt idx="108">
                  <c:v>chysophyllum-29</c:v>
                </c:pt>
                <c:pt idx="109">
                  <c:v>myrmecophila-29</c:v>
                </c:pt>
                <c:pt idx="110">
                  <c:v>cf. glomerosa-30</c:v>
                </c:pt>
                <c:pt idx="111">
                  <c:v>sp-30</c:v>
                </c:pt>
                <c:pt idx="112">
                  <c:v>adiantoides-30</c:v>
                </c:pt>
                <c:pt idx="113">
                  <c:v>glomerosa-30</c:v>
                </c:pt>
                <c:pt idx="114">
                  <c:v>barbatimao-30</c:v>
                </c:pt>
                <c:pt idx="115">
                  <c:v>coriaceum-30</c:v>
                </c:pt>
                <c:pt idx="116">
                  <c:v>madagascariensis-31</c:v>
                </c:pt>
                <c:pt idx="117">
                  <c:v>complicatum-31</c:v>
                </c:pt>
                <c:pt idx="118">
                  <c:v>crucisrubienae-31</c:v>
                </c:pt>
                <c:pt idx="119">
                  <c:v>arboreum-31</c:v>
                </c:pt>
                <c:pt idx="120">
                  <c:v>coriacea-33</c:v>
                </c:pt>
                <c:pt idx="121">
                  <c:v>obsersa-33</c:v>
                </c:pt>
                <c:pt idx="122">
                  <c:v>aurea-36</c:v>
                </c:pt>
                <c:pt idx="123">
                  <c:v>enormis-36</c:v>
                </c:pt>
                <c:pt idx="124">
                  <c:v>pulchelia-36</c:v>
                </c:pt>
                <c:pt idx="125">
                  <c:v>radula-36</c:v>
                </c:pt>
                <c:pt idx="126">
                  <c:v>retusa-36</c:v>
                </c:pt>
                <c:pt idx="127">
                  <c:v>carinata-37</c:v>
                </c:pt>
                <c:pt idx="128">
                  <c:v>macrocarpa-37</c:v>
                </c:pt>
                <c:pt idx="129">
                  <c:v>molissima-37</c:v>
                </c:pt>
                <c:pt idx="130">
                  <c:v>chartacea-38</c:v>
                </c:pt>
                <c:pt idx="131">
                  <c:v>egensis-38</c:v>
                </c:pt>
                <c:pt idx="132">
                  <c:v>florida-38</c:v>
                </c:pt>
                <c:pt idx="133">
                  <c:v>tapacumensis-38</c:v>
                </c:pt>
                <c:pt idx="134">
                  <c:v>krukovii-39</c:v>
                </c:pt>
                <c:pt idx="135">
                  <c:v>punctata-40</c:v>
                </c:pt>
                <c:pt idx="136">
                  <c:v>oocarpa-42</c:v>
                </c:pt>
                <c:pt idx="137">
                  <c:v>wightiana-48</c:v>
                </c:pt>
                <c:pt idx="138">
                  <c:v>platyphylla-50</c:v>
                </c:pt>
                <c:pt idx="139">
                  <c:v>aff-reticulata-50</c:v>
                </c:pt>
                <c:pt idx="140">
                  <c:v>cuspidata-50</c:v>
                </c:pt>
                <c:pt idx="141">
                  <c:v>lasiocarpa-50</c:v>
                </c:pt>
                <c:pt idx="142">
                  <c:v>trichopoda-50</c:v>
                </c:pt>
                <c:pt idx="143">
                  <c:v>sinensis-56</c:v>
                </c:pt>
                <c:pt idx="144">
                  <c:v>centrala-4</c:v>
                </c:pt>
                <c:pt idx="145">
                  <c:v>occidentale-4</c:v>
                </c:pt>
                <c:pt idx="146">
                  <c:v>subincanum-4</c:v>
                </c:pt>
                <c:pt idx="147">
                  <c:v>argentea-7</c:v>
                </c:pt>
                <c:pt idx="148">
                  <c:v>haemantha-7</c:v>
                </c:pt>
                <c:pt idx="149">
                  <c:v>leptopoda-7</c:v>
                </c:pt>
                <c:pt idx="150">
                  <c:v>rigida-7</c:v>
                </c:pt>
                <c:pt idx="151">
                  <c:v>duckel-15</c:v>
                </c:pt>
                <c:pt idx="152">
                  <c:v>latifolia-17</c:v>
                </c:pt>
                <c:pt idx="153">
                  <c:v>mauritiana-17</c:v>
                </c:pt>
                <c:pt idx="154">
                  <c:v>mollis-17</c:v>
                </c:pt>
                <c:pt idx="155">
                  <c:v>pocarpa-17</c:v>
                </c:pt>
                <c:pt idx="156">
                  <c:v>quintala-17</c:v>
                </c:pt>
                <c:pt idx="157">
                  <c:v>rhodesica-17</c:v>
                </c:pt>
                <c:pt idx="158">
                  <c:v>samoensis-17</c:v>
                </c:pt>
                <c:pt idx="159">
                  <c:v>steenisiana-17</c:v>
                </c:pt>
                <c:pt idx="160">
                  <c:v>durissima-21</c:v>
                </c:pt>
                <c:pt idx="161">
                  <c:v>reticulata-21</c:v>
                </c:pt>
                <c:pt idx="162">
                  <c:v>princeps-22</c:v>
                </c:pt>
                <c:pt idx="163">
                  <c:v>rosaeodora-26</c:v>
                </c:pt>
                <c:pt idx="164">
                  <c:v>nitida-26</c:v>
                </c:pt>
                <c:pt idx="165">
                  <c:v>froesii-26</c:v>
                </c:pt>
                <c:pt idx="166">
                  <c:v>globifera-26</c:v>
                </c:pt>
                <c:pt idx="167">
                  <c:v>marmellensis-26</c:v>
                </c:pt>
                <c:pt idx="168">
                  <c:v>froesii-27</c:v>
                </c:pt>
                <c:pt idx="169">
                  <c:v>matamata-27</c:v>
                </c:pt>
                <c:pt idx="170">
                  <c:v>gigantea-27</c:v>
                </c:pt>
                <c:pt idx="171">
                  <c:v>bipindensis-29</c:v>
                </c:pt>
                <c:pt idx="172">
                  <c:v>bahamensis-29</c:v>
                </c:pt>
                <c:pt idx="173">
                  <c:v>paraguariensis-29</c:v>
                </c:pt>
                <c:pt idx="174">
                  <c:v>sp-29</c:v>
                </c:pt>
                <c:pt idx="175">
                  <c:v>punctata-29</c:v>
                </c:pt>
                <c:pt idx="176">
                  <c:v>glomerosa-30</c:v>
                </c:pt>
                <c:pt idx="177">
                  <c:v>schomburgkii-30</c:v>
                </c:pt>
                <c:pt idx="178">
                  <c:v>pedicellare-30</c:v>
                </c:pt>
                <c:pt idx="179">
                  <c:v>excelsa-31</c:v>
                </c:pt>
                <c:pt idx="180">
                  <c:v>stevensonii-31</c:v>
                </c:pt>
                <c:pt idx="181">
                  <c:v>tricolor-31</c:v>
                </c:pt>
                <c:pt idx="182">
                  <c:v>capassa-31</c:v>
                </c:pt>
                <c:pt idx="183">
                  <c:v>cf-dipteroneurus-31</c:v>
                </c:pt>
                <c:pt idx="184">
                  <c:v>denutatus-31</c:v>
                </c:pt>
                <c:pt idx="185">
                  <c:v>hedyosmus-31</c:v>
                </c:pt>
                <c:pt idx="186">
                  <c:v>salvadorensis-31</c:v>
                </c:pt>
                <c:pt idx="187">
                  <c:v>amphymenium-31</c:v>
                </c:pt>
                <c:pt idx="188">
                  <c:v>sp-35</c:v>
                </c:pt>
                <c:pt idx="189">
                  <c:v>anthelmintica-36</c:v>
                </c:pt>
                <c:pt idx="190">
                  <c:v>asperrima-36</c:v>
                </c:pt>
                <c:pt idx="191">
                  <c:v>benjamina-36</c:v>
                </c:pt>
                <c:pt idx="192">
                  <c:v>capensis-36</c:v>
                </c:pt>
                <c:pt idx="193">
                  <c:v>glabrata-36</c:v>
                </c:pt>
                <c:pt idx="194">
                  <c:v>calophylla-37</c:v>
                </c:pt>
                <c:pt idx="195">
                  <c:v>multicostata-37</c:v>
                </c:pt>
                <c:pt idx="196">
                  <c:v>officinalis-37</c:v>
                </c:pt>
                <c:pt idx="197">
                  <c:v>pavanis-37</c:v>
                </c:pt>
                <c:pt idx="198">
                  <c:v>jambolana-38</c:v>
                </c:pt>
                <c:pt idx="199">
                  <c:v>macrocalyx-38</c:v>
                </c:pt>
                <c:pt idx="200">
                  <c:v>involucratus-38</c:v>
                </c:pt>
                <c:pt idx="201">
                  <c:v>cauliflora-39</c:v>
                </c:pt>
                <c:pt idx="202">
                  <c:v>macrophylla-39</c:v>
                </c:pt>
                <c:pt idx="203">
                  <c:v>sp-39</c:v>
                </c:pt>
                <c:pt idx="204">
                  <c:v>tristis-39</c:v>
                </c:pt>
                <c:pt idx="205">
                  <c:v>ambigua-39</c:v>
                </c:pt>
                <c:pt idx="206">
                  <c:v>oliveri-46</c:v>
                </c:pt>
                <c:pt idx="207">
                  <c:v>sp-46</c:v>
                </c:pt>
                <c:pt idx="208">
                  <c:v>arborea-48</c:v>
                </c:pt>
                <c:pt idx="209">
                  <c:v>esculenta-49</c:v>
                </c:pt>
                <c:pt idx="210">
                  <c:v>krukoffii-50</c:v>
                </c:pt>
                <c:pt idx="211">
                  <c:v>solimoesensis-50</c:v>
                </c:pt>
                <c:pt idx="212">
                  <c:v>salicifolia-50</c:v>
                </c:pt>
                <c:pt idx="213">
                  <c:v>cubensis-52</c:v>
                </c:pt>
                <c:pt idx="214">
                  <c:v>macrocarpa-53</c:v>
                </c:pt>
                <c:pt idx="215">
                  <c:v>maingayi-56</c:v>
                </c:pt>
                <c:pt idx="216">
                  <c:v>philippensis-56</c:v>
                </c:pt>
                <c:pt idx="217">
                  <c:v>cf-ferruginea-59</c:v>
                </c:pt>
                <c:pt idx="218">
                  <c:v>lanceolata-3</c:v>
                </c:pt>
                <c:pt idx="219">
                  <c:v>albun-4</c:v>
                </c:pt>
                <c:pt idx="220">
                  <c:v>maingayi-4</c:v>
                </c:pt>
                <c:pt idx="221">
                  <c:v>aurea-7</c:v>
                </c:pt>
                <c:pt idx="222">
                  <c:v>cf-dugandii-7</c:v>
                </c:pt>
                <c:pt idx="223">
                  <c:v>gaudichaudii-7</c:v>
                </c:pt>
                <c:pt idx="224">
                  <c:v>jacaranda-7</c:v>
                </c:pt>
                <c:pt idx="225">
                  <c:v>lepidophylla-7</c:v>
                </c:pt>
                <c:pt idx="226">
                  <c:v>prieurii-7</c:v>
                </c:pt>
                <c:pt idx="227">
                  <c:v>bicolor-13</c:v>
                </c:pt>
                <c:pt idx="228">
                  <c:v>hebeciada-15</c:v>
                </c:pt>
                <c:pt idx="229">
                  <c:v>rasa-15</c:v>
                </c:pt>
                <c:pt idx="230">
                  <c:v>eriandra-15</c:v>
                </c:pt>
                <c:pt idx="231">
                  <c:v>longistyla-15</c:v>
                </c:pt>
                <c:pt idx="232">
                  <c:v>maxima-15</c:v>
                </c:pt>
                <c:pt idx="233">
                  <c:v>niloi-15</c:v>
                </c:pt>
                <c:pt idx="234">
                  <c:v>sclerophylla-15</c:v>
                </c:pt>
                <c:pt idx="235">
                  <c:v>uniguiculata-15</c:v>
                </c:pt>
                <c:pt idx="236">
                  <c:v>fanshawei-17</c:v>
                </c:pt>
                <c:pt idx="237">
                  <c:v>brachystemma-17</c:v>
                </c:pt>
                <c:pt idx="238">
                  <c:v>crenulata-17</c:v>
                </c:pt>
                <c:pt idx="239">
                  <c:v>erici-rosenii-17</c:v>
                </c:pt>
                <c:pt idx="240">
                  <c:v>hayesii-17</c:v>
                </c:pt>
                <c:pt idx="241">
                  <c:v>sp-20</c:v>
                </c:pt>
                <c:pt idx="242">
                  <c:v>dentata-21</c:v>
                </c:pt>
                <c:pt idx="243">
                  <c:v>grandiflora-21</c:v>
                </c:pt>
                <c:pt idx="244">
                  <c:v>uchi-24</c:v>
                </c:pt>
                <c:pt idx="245">
                  <c:v>cuneato-cordata-26</c:v>
                </c:pt>
                <c:pt idx="246">
                  <c:v>grandiflora-26</c:v>
                </c:pt>
                <c:pt idx="247">
                  <c:v>pardo-26</c:v>
                </c:pt>
                <c:pt idx="248">
                  <c:v>superba-26</c:v>
                </c:pt>
                <c:pt idx="249">
                  <c:v>stellata-27</c:v>
                </c:pt>
                <c:pt idx="250">
                  <c:v>albiflora-27</c:v>
                </c:pt>
                <c:pt idx="251">
                  <c:v>blanchetiana-27</c:v>
                </c:pt>
                <c:pt idx="252">
                  <c:v>cf-atropetiolata-27</c:v>
                </c:pt>
                <c:pt idx="253">
                  <c:v>longipes-27</c:v>
                </c:pt>
                <c:pt idx="254">
                  <c:v>brasiliensis-29</c:v>
                </c:pt>
                <c:pt idx="255">
                  <c:v>ferrugineum-29</c:v>
                </c:pt>
                <c:pt idx="256">
                  <c:v>sp-29</c:v>
                </c:pt>
                <c:pt idx="257">
                  <c:v>sp-29</c:v>
                </c:pt>
                <c:pt idx="258">
                  <c:v>subbullatum-29</c:v>
                </c:pt>
                <c:pt idx="259">
                  <c:v>sp-29</c:v>
                </c:pt>
                <c:pt idx="260">
                  <c:v>sp-30</c:v>
                </c:pt>
                <c:pt idx="261">
                  <c:v>ingens-30</c:v>
                </c:pt>
                <c:pt idx="262">
                  <c:v>peregrina-30</c:v>
                </c:pt>
                <c:pt idx="263">
                  <c:v>baroni-31</c:v>
                </c:pt>
                <c:pt idx="264">
                  <c:v>cf-pseudocarone-31</c:v>
                </c:pt>
                <c:pt idx="265">
                  <c:v>cf-petraeum-31</c:v>
                </c:pt>
                <c:pt idx="266">
                  <c:v>ernesti-31</c:v>
                </c:pt>
                <c:pt idx="267">
                  <c:v>nitidus-31</c:v>
                </c:pt>
                <c:pt idx="268">
                  <c:v>acutifolium-31</c:v>
                </c:pt>
                <c:pt idx="269">
                  <c:v>bovinaefolium-31</c:v>
                </c:pt>
                <c:pt idx="270">
                  <c:v>brasiliensis-31</c:v>
                </c:pt>
                <c:pt idx="271">
                  <c:v>capote-31</c:v>
                </c:pt>
                <c:pt idx="272">
                  <c:v>millei-31</c:v>
                </c:pt>
                <c:pt idx="273">
                  <c:v>stenophyllum-31</c:v>
                </c:pt>
                <c:pt idx="274">
                  <c:v>laxiflora-31</c:v>
                </c:pt>
                <c:pt idx="275">
                  <c:v>santalinus-31</c:v>
                </c:pt>
                <c:pt idx="276">
                  <c:v>sp-31</c:v>
                </c:pt>
                <c:pt idx="277">
                  <c:v>crassifolia-33</c:v>
                </c:pt>
                <c:pt idx="278">
                  <c:v>lilloi-35</c:v>
                </c:pt>
                <c:pt idx="279">
                  <c:v>tonduzii-35</c:v>
                </c:pt>
                <c:pt idx="280">
                  <c:v>cf-ivorensis-35</c:v>
                </c:pt>
                <c:pt idx="281">
                  <c:v>begoniifolia-36</c:v>
                </c:pt>
                <c:pt idx="282">
                  <c:v>glaucescens-36</c:v>
                </c:pt>
                <c:pt idx="283">
                  <c:v>calophylloidea-37</c:v>
                </c:pt>
                <c:pt idx="284">
                  <c:v>aerosa-38</c:v>
                </c:pt>
                <c:pt idx="285">
                  <c:v>rostrifolia-38</c:v>
                </c:pt>
                <c:pt idx="286">
                  <c:v>koralensis-42</c:v>
                </c:pt>
                <c:pt idx="287">
                  <c:v>caribaea-42</c:v>
                </c:pt>
                <c:pt idx="288">
                  <c:v>sellowiana-45</c:v>
                </c:pt>
                <c:pt idx="289">
                  <c:v>riedelianum-47</c:v>
                </c:pt>
                <c:pt idx="290">
                  <c:v>ramiflora-50</c:v>
                </c:pt>
                <c:pt idx="291">
                  <c:v>surumuensis-50</c:v>
                </c:pt>
                <c:pt idx="292">
                  <c:v>venosa-50</c:v>
                </c:pt>
                <c:pt idx="293">
                  <c:v>amazonica-53</c:v>
                </c:pt>
                <c:pt idx="294">
                  <c:v>floribunda-59</c:v>
                </c:pt>
                <c:pt idx="295">
                  <c:v>perata-4</c:v>
                </c:pt>
                <c:pt idx="296">
                  <c:v>angustata-7</c:v>
                </c:pt>
                <c:pt idx="297">
                  <c:v>bilbergii-7</c:v>
                </c:pt>
                <c:pt idx="298">
                  <c:v>heterotricha-7</c:v>
                </c:pt>
                <c:pt idx="299">
                  <c:v>longipes-7</c:v>
                </c:pt>
                <c:pt idx="300">
                  <c:v>palmeri-7</c:v>
                </c:pt>
                <c:pt idx="301">
                  <c:v>sauvallei-7</c:v>
                </c:pt>
                <c:pt idx="302">
                  <c:v>purusana-13</c:v>
                </c:pt>
                <c:pt idx="303">
                  <c:v>duckel-15</c:v>
                </c:pt>
                <c:pt idx="304">
                  <c:v>rodriguesii-15</c:v>
                </c:pt>
                <c:pt idx="305">
                  <c:v>floribunda-15</c:v>
                </c:pt>
                <c:pt idx="306">
                  <c:v>fritschii-15</c:v>
                </c:pt>
                <c:pt idx="307">
                  <c:v>minutiflora-15</c:v>
                </c:pt>
                <c:pt idx="308">
                  <c:v>ovalifolia-15</c:v>
                </c:pt>
                <c:pt idx="309">
                  <c:v>benthamiana-16</c:v>
                </c:pt>
                <c:pt idx="310">
                  <c:v>argentea-17</c:v>
                </c:pt>
                <c:pt idx="311">
                  <c:v>batocana-20</c:v>
                </c:pt>
                <c:pt idx="312">
                  <c:v>rubrivenium-22</c:v>
                </c:pt>
                <c:pt idx="313">
                  <c:v>lanceolata-26</c:v>
                </c:pt>
                <c:pt idx="314">
                  <c:v>krukovii-26</c:v>
                </c:pt>
                <c:pt idx="315">
                  <c:v>amara-27</c:v>
                </c:pt>
                <c:pt idx="316">
                  <c:v>rhododendrifolia-27</c:v>
                </c:pt>
                <c:pt idx="317">
                  <c:v>cochinchinensis-29</c:v>
                </c:pt>
                <c:pt idx="318">
                  <c:v>sappan-29</c:v>
                </c:pt>
                <c:pt idx="319">
                  <c:v>ferruginea-29</c:v>
                </c:pt>
                <c:pt idx="320">
                  <c:v>martii-29</c:v>
                </c:pt>
                <c:pt idx="321">
                  <c:v>glabrifolia-29</c:v>
                </c:pt>
                <c:pt idx="322">
                  <c:v>aff-ferrea-29</c:v>
                </c:pt>
                <c:pt idx="323">
                  <c:v>vogelianum-29</c:v>
                </c:pt>
                <c:pt idx="324">
                  <c:v>bracatinga-30</c:v>
                </c:pt>
                <c:pt idx="325">
                  <c:v>peregrina-30</c:v>
                </c:pt>
                <c:pt idx="326">
                  <c:v>louvelii-31</c:v>
                </c:pt>
                <c:pt idx="327">
                  <c:v>toxicaria-31</c:v>
                </c:pt>
                <c:pt idx="328">
                  <c:v>albiflorus-31</c:v>
                </c:pt>
                <c:pt idx="329">
                  <c:v>ehrenbergii-31</c:v>
                </c:pt>
                <c:pt idx="330">
                  <c:v>longistylus-31</c:v>
                </c:pt>
                <c:pt idx="331">
                  <c:v>oaxacensis-35</c:v>
                </c:pt>
                <c:pt idx="332">
                  <c:v>gemina-36</c:v>
                </c:pt>
                <c:pt idx="333">
                  <c:v>gomelleira-36</c:v>
                </c:pt>
                <c:pt idx="334">
                  <c:v>ramiflora-36</c:v>
                </c:pt>
                <c:pt idx="335">
                  <c:v>regularis-36</c:v>
                </c:pt>
                <c:pt idx="336">
                  <c:v>tapajozensis-36</c:v>
                </c:pt>
                <c:pt idx="337">
                  <c:v>multinervia-37</c:v>
                </c:pt>
                <c:pt idx="338">
                  <c:v>tenuifolia-48</c:v>
                </c:pt>
                <c:pt idx="339">
                  <c:v>obtusifolia-50</c:v>
                </c:pt>
                <c:pt idx="340">
                  <c:v>sp-50</c:v>
                </c:pt>
                <c:pt idx="341">
                  <c:v>glomerata-50</c:v>
                </c:pt>
                <c:pt idx="342">
                  <c:v>aff-gongrijpii-50</c:v>
                </c:pt>
                <c:pt idx="343">
                  <c:v>jariensis-50</c:v>
                </c:pt>
                <c:pt idx="344">
                  <c:v>procera-50</c:v>
                </c:pt>
                <c:pt idx="345">
                  <c:v>oppositifolia-50</c:v>
                </c:pt>
                <c:pt idx="346">
                  <c:v>amara-51</c:v>
                </c:pt>
                <c:pt idx="347">
                  <c:v>bequaertii-53</c:v>
                </c:pt>
                <c:pt idx="348">
                  <c:v>obidensis-59</c:v>
                </c:pt>
                <c:pt idx="349">
                  <c:v>olivaceum-4</c:v>
                </c:pt>
                <c:pt idx="350">
                  <c:v>sessiliflora-4</c:v>
                </c:pt>
                <c:pt idx="351">
                  <c:v>chrysotricha-7</c:v>
                </c:pt>
                <c:pt idx="352">
                  <c:v>dielsiana-13</c:v>
                </c:pt>
                <c:pt idx="353">
                  <c:v>canescens-15</c:v>
                </c:pt>
                <c:pt idx="354">
                  <c:v>davillaefolia-15</c:v>
                </c:pt>
                <c:pt idx="355">
                  <c:v>paraensis-15</c:v>
                </c:pt>
                <c:pt idx="356">
                  <c:v>inophyllum-16</c:v>
                </c:pt>
                <c:pt idx="357">
                  <c:v>ochroprumna-17</c:v>
                </c:pt>
                <c:pt idx="358">
                  <c:v>avicennioides-17</c:v>
                </c:pt>
                <c:pt idx="359">
                  <c:v>oreadum-17</c:v>
                </c:pt>
                <c:pt idx="360">
                  <c:v>fasciculata-26</c:v>
                </c:pt>
                <c:pt idx="361">
                  <c:v>macrothyrsus-26</c:v>
                </c:pt>
                <c:pt idx="362">
                  <c:v>pretiosa-26</c:v>
                </c:pt>
                <c:pt idx="363">
                  <c:v>nobile-26</c:v>
                </c:pt>
                <c:pt idx="364">
                  <c:v>amazonica-27</c:v>
                </c:pt>
                <c:pt idx="365">
                  <c:v>pedicellata-27</c:v>
                </c:pt>
                <c:pt idx="366">
                  <c:v>ferrea-29</c:v>
                </c:pt>
                <c:pt idx="367">
                  <c:v>granadillo-29</c:v>
                </c:pt>
                <c:pt idx="368">
                  <c:v>paniculata-29</c:v>
                </c:pt>
                <c:pt idx="369">
                  <c:v>igneiflora-30</c:v>
                </c:pt>
                <c:pt idx="370">
                  <c:v>sp-30</c:v>
                </c:pt>
                <c:pt idx="371">
                  <c:v>nigra-31</c:v>
                </c:pt>
                <c:pt idx="372">
                  <c:v>blaini-31</c:v>
                </c:pt>
                <c:pt idx="373">
                  <c:v>margaritensis-31</c:v>
                </c:pt>
                <c:pt idx="374">
                  <c:v>aculeatum-31</c:v>
                </c:pt>
                <c:pt idx="375">
                  <c:v>ovata-32</c:v>
                </c:pt>
                <c:pt idx="376">
                  <c:v>montana-35</c:v>
                </c:pt>
                <c:pt idx="377">
                  <c:v>utile-36</c:v>
                </c:pt>
                <c:pt idx="378">
                  <c:v>alicastrum-36</c:v>
                </c:pt>
                <c:pt idx="379">
                  <c:v>alba-36</c:v>
                </c:pt>
                <c:pt idx="380">
                  <c:v>archeri-36</c:v>
                </c:pt>
                <c:pt idx="381">
                  <c:v>paraensis-36</c:v>
                </c:pt>
                <c:pt idx="382">
                  <c:v>venosa-37</c:v>
                </c:pt>
                <c:pt idx="383">
                  <c:v>muricata-38</c:v>
                </c:pt>
                <c:pt idx="384">
                  <c:v>altissima-39</c:v>
                </c:pt>
                <c:pt idx="385">
                  <c:v>krukovii-50</c:v>
                </c:pt>
                <c:pt idx="386">
                  <c:v>sp-50</c:v>
                </c:pt>
                <c:pt idx="387">
                  <c:v>trigonosperma-50</c:v>
                </c:pt>
                <c:pt idx="388">
                  <c:v>pachycarpa-50</c:v>
                </c:pt>
                <c:pt idx="389">
                  <c:v>trinerve-57</c:v>
                </c:pt>
                <c:pt idx="390">
                  <c:v>pneumatophora-4</c:v>
                </c:pt>
                <c:pt idx="391">
                  <c:v>camporum-4</c:v>
                </c:pt>
                <c:pt idx="392">
                  <c:v>pallida-7</c:v>
                </c:pt>
                <c:pt idx="393">
                  <c:v>sp-13</c:v>
                </c:pt>
                <c:pt idx="394">
                  <c:v>engleri-15</c:v>
                </c:pt>
                <c:pt idx="395">
                  <c:v>oxycarpa-17</c:v>
                </c:pt>
                <c:pt idx="396">
                  <c:v>arbuscula-17</c:v>
                </c:pt>
                <c:pt idx="397">
                  <c:v>crassiramea-17</c:v>
                </c:pt>
                <c:pt idx="398">
                  <c:v>sp-22</c:v>
                </c:pt>
                <c:pt idx="399">
                  <c:v>multiflora-26</c:v>
                </c:pt>
                <c:pt idx="400">
                  <c:v>grata-27</c:v>
                </c:pt>
                <c:pt idx="401">
                  <c:v>amazonum-27</c:v>
                </c:pt>
                <c:pt idx="402">
                  <c:v>xylocarpa-29</c:v>
                </c:pt>
                <c:pt idx="403">
                  <c:v>cavipes-29</c:v>
                </c:pt>
                <c:pt idx="404">
                  <c:v>gonoacantha-30</c:v>
                </c:pt>
                <c:pt idx="405">
                  <c:v>loritensis-30</c:v>
                </c:pt>
                <c:pt idx="406">
                  <c:v>arbutifolia-31</c:v>
                </c:pt>
                <c:pt idx="407">
                  <c:v>alata-31</c:v>
                </c:pt>
                <c:pt idx="408">
                  <c:v>domingensis-31</c:v>
                </c:pt>
                <c:pt idx="409">
                  <c:v>incorruptible-31</c:v>
                </c:pt>
                <c:pt idx="410">
                  <c:v>parinarioides-36</c:v>
                </c:pt>
                <c:pt idx="411">
                  <c:v>racemosa-36</c:v>
                </c:pt>
                <c:pt idx="412">
                  <c:v>erythrosticta-36</c:v>
                </c:pt>
                <c:pt idx="413">
                  <c:v>gracilis-37</c:v>
                </c:pt>
                <c:pt idx="414">
                  <c:v>guatemalensis-37</c:v>
                </c:pt>
                <c:pt idx="415">
                  <c:v>loretensis-37</c:v>
                </c:pt>
                <c:pt idx="416">
                  <c:v>gardneriana-50</c:v>
                </c:pt>
                <c:pt idx="417">
                  <c:v>macrocarpa-50</c:v>
                </c:pt>
                <c:pt idx="418">
                  <c:v>alata-53</c:v>
                </c:pt>
                <c:pt idx="419">
                  <c:v>calucina-3</c:v>
                </c:pt>
                <c:pt idx="420">
                  <c:v>egensis-15</c:v>
                </c:pt>
                <c:pt idx="421">
                  <c:v>hispidula-15</c:v>
                </c:pt>
                <c:pt idx="422">
                  <c:v>altissima-17</c:v>
                </c:pt>
                <c:pt idx="423">
                  <c:v>gulanensis-17</c:v>
                </c:pt>
                <c:pt idx="424">
                  <c:v>kilimandsharica-17</c:v>
                </c:pt>
                <c:pt idx="425">
                  <c:v>obovata-17</c:v>
                </c:pt>
                <c:pt idx="426">
                  <c:v>prunoides-17</c:v>
                </c:pt>
                <c:pt idx="427">
                  <c:v>seriocarpa-17</c:v>
                </c:pt>
                <c:pt idx="428">
                  <c:v>wchinocarpus-22</c:v>
                </c:pt>
                <c:pt idx="429">
                  <c:v>macrocarpa-24</c:v>
                </c:pt>
                <c:pt idx="430">
                  <c:v>appelii-26</c:v>
                </c:pt>
                <c:pt idx="431">
                  <c:v>pisi-26</c:v>
                </c:pt>
                <c:pt idx="432">
                  <c:v>reticulata-26</c:v>
                </c:pt>
                <c:pt idx="433">
                  <c:v>pachysepala-27</c:v>
                </c:pt>
                <c:pt idx="434">
                  <c:v>rhomboidea-29</c:v>
                </c:pt>
                <c:pt idx="435">
                  <c:v>multijuga-29</c:v>
                </c:pt>
                <c:pt idx="436">
                  <c:v>stilbocarpa-29</c:v>
                </c:pt>
                <c:pt idx="437">
                  <c:v>contortisiliquum-30</c:v>
                </c:pt>
                <c:pt idx="438">
                  <c:v>velutina-30</c:v>
                </c:pt>
                <c:pt idx="439">
                  <c:v>plystachyum-30</c:v>
                </c:pt>
                <c:pt idx="440">
                  <c:v>pterocarpifolia-31</c:v>
                </c:pt>
                <c:pt idx="441">
                  <c:v>benthamianus-31</c:v>
                </c:pt>
                <c:pt idx="442">
                  <c:v>sanctae-marthae-31</c:v>
                </c:pt>
                <c:pt idx="443">
                  <c:v>carica-36</c:v>
                </c:pt>
                <c:pt idx="444">
                  <c:v>cf-costata-38</c:v>
                </c:pt>
                <c:pt idx="445">
                  <c:v>feijoi-38</c:v>
                </c:pt>
                <c:pt idx="446">
                  <c:v>patrisii-38</c:v>
                </c:pt>
                <c:pt idx="447">
                  <c:v>tinctoria-46</c:v>
                </c:pt>
                <c:pt idx="448">
                  <c:v>pariry-50</c:v>
                </c:pt>
                <c:pt idx="449">
                  <c:v>elata-50</c:v>
                </c:pt>
                <c:pt idx="450">
                  <c:v>filipes-50</c:v>
                </c:pt>
                <c:pt idx="451">
                  <c:v>ephedrantha-50</c:v>
                </c:pt>
                <c:pt idx="452">
                  <c:v>procera-50</c:v>
                </c:pt>
                <c:pt idx="453">
                  <c:v>coulteri-60</c:v>
                </c:pt>
                <c:pt idx="454">
                  <c:v>conspicua-7</c:v>
                </c:pt>
                <c:pt idx="455">
                  <c:v>elongata-15</c:v>
                </c:pt>
                <c:pt idx="456">
                  <c:v>hostmanni-15</c:v>
                </c:pt>
                <c:pt idx="457">
                  <c:v>longifolia-16</c:v>
                </c:pt>
                <c:pt idx="458">
                  <c:v>procera-17</c:v>
                </c:pt>
                <c:pt idx="459">
                  <c:v>guianensis-21</c:v>
                </c:pt>
                <c:pt idx="460">
                  <c:v>decurrens-26</c:v>
                </c:pt>
                <c:pt idx="461">
                  <c:v>macrosperma-27</c:v>
                </c:pt>
                <c:pt idx="462">
                  <c:v>rorida-27</c:v>
                </c:pt>
                <c:pt idx="463">
                  <c:v>hians-27</c:v>
                </c:pt>
                <c:pt idx="464">
                  <c:v>molaris-29</c:v>
                </c:pt>
                <c:pt idx="465">
                  <c:v>parvifolia-29</c:v>
                </c:pt>
                <c:pt idx="466">
                  <c:v>corymbosa-29</c:v>
                </c:pt>
                <c:pt idx="467">
                  <c:v>cf-excelsa-30</c:v>
                </c:pt>
                <c:pt idx="468">
                  <c:v>rigida-30</c:v>
                </c:pt>
                <c:pt idx="469">
                  <c:v>leucopterium-31</c:v>
                </c:pt>
                <c:pt idx="470">
                  <c:v>lilacinum-31</c:v>
                </c:pt>
                <c:pt idx="471">
                  <c:v>cf-cambodianus-31</c:v>
                </c:pt>
                <c:pt idx="472">
                  <c:v>cf-macrocarpa-31</c:v>
                </c:pt>
                <c:pt idx="473">
                  <c:v>crispa-33</c:v>
                </c:pt>
                <c:pt idx="474">
                  <c:v>intermedia-33</c:v>
                </c:pt>
                <c:pt idx="475">
                  <c:v>cf-macrophylla-35</c:v>
                </c:pt>
                <c:pt idx="476">
                  <c:v>brevifolia-36</c:v>
                </c:pt>
                <c:pt idx="477">
                  <c:v>floribunda-39</c:v>
                </c:pt>
                <c:pt idx="478">
                  <c:v>sinense-55</c:v>
                </c:pt>
                <c:pt idx="479">
                  <c:v>gomesianum-4</c:v>
                </c:pt>
                <c:pt idx="480">
                  <c:v>lowii-4</c:v>
                </c:pt>
                <c:pt idx="481">
                  <c:v>capitata-7</c:v>
                </c:pt>
                <c:pt idx="482">
                  <c:v>cf-catinga-7</c:v>
                </c:pt>
                <c:pt idx="483">
                  <c:v>cf-rufescens-7</c:v>
                </c:pt>
                <c:pt idx="484">
                  <c:v>ellipticum-9</c:v>
                </c:pt>
                <c:pt idx="485">
                  <c:v>egensis-15</c:v>
                </c:pt>
                <c:pt idx="486">
                  <c:v>australis-17</c:v>
                </c:pt>
                <c:pt idx="487">
                  <c:v>chocharronia-17</c:v>
                </c:pt>
                <c:pt idx="488">
                  <c:v>pyrifoli-17</c:v>
                </c:pt>
                <c:pt idx="489">
                  <c:v>uviferum-18</c:v>
                </c:pt>
                <c:pt idx="490">
                  <c:v>pseudodentata-21</c:v>
                </c:pt>
                <c:pt idx="491">
                  <c:v>pterocarpa-25</c:v>
                </c:pt>
                <c:pt idx="492">
                  <c:v>curpidata-26</c:v>
                </c:pt>
                <c:pt idx="493">
                  <c:v>laevis-26</c:v>
                </c:pt>
                <c:pt idx="494">
                  <c:v>barcellensis-26</c:v>
                </c:pt>
                <c:pt idx="495">
                  <c:v>dissimilis-26</c:v>
                </c:pt>
                <c:pt idx="496">
                  <c:v>surinamensis-27</c:v>
                </c:pt>
                <c:pt idx="497">
                  <c:v>bracteata-29</c:v>
                </c:pt>
                <c:pt idx="498">
                  <c:v>oblongifolia-29</c:v>
                </c:pt>
                <c:pt idx="499">
                  <c:v>cf-arborea-30</c:v>
                </c:pt>
                <c:pt idx="500">
                  <c:v>flava-30</c:v>
                </c:pt>
                <c:pt idx="501">
                  <c:v>cf-margaritensis-31</c:v>
                </c:pt>
                <c:pt idx="502">
                  <c:v>sp-31</c:v>
                </c:pt>
                <c:pt idx="503">
                  <c:v>parviflora-31</c:v>
                </c:pt>
                <c:pt idx="504">
                  <c:v>spicata-33</c:v>
                </c:pt>
                <c:pt idx="505">
                  <c:v>chamissoana-34</c:v>
                </c:pt>
                <c:pt idx="506">
                  <c:v>lactescens-36</c:v>
                </c:pt>
                <c:pt idx="507">
                  <c:v>hispida-50</c:v>
                </c:pt>
                <c:pt idx="508">
                  <c:v>plicata-50</c:v>
                </c:pt>
                <c:pt idx="509">
                  <c:v>horsfieldii-53</c:v>
                </c:pt>
                <c:pt idx="510">
                  <c:v>incana-7</c:v>
                </c:pt>
                <c:pt idx="511">
                  <c:v>hispidula-15</c:v>
                </c:pt>
                <c:pt idx="512">
                  <c:v>micrantha-15</c:v>
                </c:pt>
                <c:pt idx="513">
                  <c:v>mollis-15</c:v>
                </c:pt>
                <c:pt idx="514">
                  <c:v>acuminata-17</c:v>
                </c:pt>
                <c:pt idx="515">
                  <c:v>bialata-17</c:v>
                </c:pt>
                <c:pt idx="516">
                  <c:v>mespiliformis-20</c:v>
                </c:pt>
                <c:pt idx="517">
                  <c:v>cordiformis-25</c:v>
                </c:pt>
                <c:pt idx="518">
                  <c:v>longifolia-26</c:v>
                </c:pt>
                <c:pt idx="519">
                  <c:v>pallida-26</c:v>
                </c:pt>
                <c:pt idx="520">
                  <c:v>guianensis-27</c:v>
                </c:pt>
                <c:pt idx="521">
                  <c:v>iquitesensis-27</c:v>
                </c:pt>
                <c:pt idx="522">
                  <c:v>cuanzensis-29</c:v>
                </c:pt>
                <c:pt idx="523">
                  <c:v>psilophylla-29</c:v>
                </c:pt>
                <c:pt idx="524">
                  <c:v>reticulata-29</c:v>
                </c:pt>
                <c:pt idx="525">
                  <c:v>decussata-30</c:v>
                </c:pt>
                <c:pt idx="526">
                  <c:v>tocantina-30</c:v>
                </c:pt>
                <c:pt idx="527">
                  <c:v>robiniifolium-31</c:v>
                </c:pt>
                <c:pt idx="528">
                  <c:v>duckei-31</c:v>
                </c:pt>
                <c:pt idx="529">
                  <c:v>grandiflora-35</c:v>
                </c:pt>
                <c:pt idx="530">
                  <c:v>parvifolia-40</c:v>
                </c:pt>
                <c:pt idx="531">
                  <c:v>egensis-50</c:v>
                </c:pt>
                <c:pt idx="532">
                  <c:v>divaricata-57</c:v>
                </c:pt>
                <c:pt idx="533">
                  <c:v>insignis-7</c:v>
                </c:pt>
                <c:pt idx="534">
                  <c:v>tessmannii-13</c:v>
                </c:pt>
                <c:pt idx="535">
                  <c:v>gardneriana-16</c:v>
                </c:pt>
                <c:pt idx="536">
                  <c:v>tanibouca-17</c:v>
                </c:pt>
                <c:pt idx="537">
                  <c:v>velutina-17</c:v>
                </c:pt>
                <c:pt idx="538">
                  <c:v>spathulata-21</c:v>
                </c:pt>
                <c:pt idx="539">
                  <c:v>mexicana-25</c:v>
                </c:pt>
                <c:pt idx="540">
                  <c:v>amara-26</c:v>
                </c:pt>
                <c:pt idx="541">
                  <c:v>aciphylla-26</c:v>
                </c:pt>
                <c:pt idx="542">
                  <c:v>obtecta-27</c:v>
                </c:pt>
                <c:pt idx="543">
                  <c:v>paraensis-29</c:v>
                </c:pt>
                <c:pt idx="544">
                  <c:v>oppositifolia-30</c:v>
                </c:pt>
                <c:pt idx="545">
                  <c:v>ulei-30</c:v>
                </c:pt>
                <c:pt idx="546">
                  <c:v>melanoxylon-31</c:v>
                </c:pt>
                <c:pt idx="547">
                  <c:v>castilloi-31</c:v>
                </c:pt>
                <c:pt idx="548">
                  <c:v>moritzianum-31</c:v>
                </c:pt>
                <c:pt idx="549">
                  <c:v>violaceum-31</c:v>
                </c:pt>
                <c:pt idx="550">
                  <c:v>fusca-31</c:v>
                </c:pt>
                <c:pt idx="551">
                  <c:v>leiocarpa-47</c:v>
                </c:pt>
                <c:pt idx="552">
                  <c:v>sp-50</c:v>
                </c:pt>
                <c:pt idx="553">
                  <c:v>venulosa-50</c:v>
                </c:pt>
                <c:pt idx="554">
                  <c:v>vestita-50</c:v>
                </c:pt>
                <c:pt idx="555">
                  <c:v>rigidum-4</c:v>
                </c:pt>
                <c:pt idx="556">
                  <c:v>stenocalyx-7</c:v>
                </c:pt>
                <c:pt idx="557">
                  <c:v>bicolor-10</c:v>
                </c:pt>
                <c:pt idx="558">
                  <c:v>pallida-15</c:v>
                </c:pt>
                <c:pt idx="559">
                  <c:v>citrina-17</c:v>
                </c:pt>
                <c:pt idx="560">
                  <c:v>copelandii-17</c:v>
                </c:pt>
                <c:pt idx="561">
                  <c:v>manii-17</c:v>
                </c:pt>
                <c:pt idx="562">
                  <c:v>cupularis-24</c:v>
                </c:pt>
                <c:pt idx="563">
                  <c:v>robusta-26</c:v>
                </c:pt>
                <c:pt idx="564">
                  <c:v>paraensis-27</c:v>
                </c:pt>
                <c:pt idx="565">
                  <c:v>microstachyum-30</c:v>
                </c:pt>
                <c:pt idx="566">
                  <c:v>tucurensis-31</c:v>
                </c:pt>
                <c:pt idx="567">
                  <c:v>petraeum-31</c:v>
                </c:pt>
                <c:pt idx="568">
                  <c:v>scleroxylon-31</c:v>
                </c:pt>
                <c:pt idx="569">
                  <c:v>mooniana-31</c:v>
                </c:pt>
                <c:pt idx="570">
                  <c:v>poeppigiana-33</c:v>
                </c:pt>
                <c:pt idx="571">
                  <c:v>procera-35</c:v>
                </c:pt>
                <c:pt idx="572">
                  <c:v>flavescens-38</c:v>
                </c:pt>
                <c:pt idx="573">
                  <c:v>solimoesensis-50</c:v>
                </c:pt>
                <c:pt idx="574">
                  <c:v>torta-50</c:v>
                </c:pt>
                <c:pt idx="575">
                  <c:v>excelsa-53</c:v>
                </c:pt>
                <c:pt idx="576">
                  <c:v>excelsa-15</c:v>
                </c:pt>
                <c:pt idx="577">
                  <c:v>racemosa-15</c:v>
                </c:pt>
                <c:pt idx="578">
                  <c:v>brasiliensis-16</c:v>
                </c:pt>
                <c:pt idx="579">
                  <c:v>myrlocarpa-17</c:v>
                </c:pt>
                <c:pt idx="580">
                  <c:v>itauba-26</c:v>
                </c:pt>
                <c:pt idx="581">
                  <c:v>obversa-27</c:v>
                </c:pt>
                <c:pt idx="582">
                  <c:v>truncata-27</c:v>
                </c:pt>
                <c:pt idx="583">
                  <c:v>guineense-29</c:v>
                </c:pt>
                <c:pt idx="584">
                  <c:v>nitida-30</c:v>
                </c:pt>
                <c:pt idx="585">
                  <c:v>albert-smithii-36</c:v>
                </c:pt>
                <c:pt idx="586">
                  <c:v>annulata-36</c:v>
                </c:pt>
                <c:pt idx="587">
                  <c:v>bougainvillei-36</c:v>
                </c:pt>
                <c:pt idx="588">
                  <c:v>pseudopsidium-38</c:v>
                </c:pt>
                <c:pt idx="589">
                  <c:v>oblanceolata-50</c:v>
                </c:pt>
                <c:pt idx="590">
                  <c:v>mildbraedii-53</c:v>
                </c:pt>
                <c:pt idx="591">
                  <c:v>vismiaefolia-59</c:v>
                </c:pt>
                <c:pt idx="592">
                  <c:v>latifolia-15</c:v>
                </c:pt>
                <c:pt idx="593">
                  <c:v>calamansanai-17</c:v>
                </c:pt>
                <c:pt idx="594">
                  <c:v>paniculata-17</c:v>
                </c:pt>
                <c:pt idx="595">
                  <c:v>dioica-26</c:v>
                </c:pt>
                <c:pt idx="596">
                  <c:v>lucida-26</c:v>
                </c:pt>
                <c:pt idx="597">
                  <c:v>organensis-26</c:v>
                </c:pt>
                <c:pt idx="598">
                  <c:v>puberula-26</c:v>
                </c:pt>
                <c:pt idx="599">
                  <c:v>corrugata-27</c:v>
                </c:pt>
                <c:pt idx="600">
                  <c:v>reticulosum-29</c:v>
                </c:pt>
                <c:pt idx="601">
                  <c:v>peregrina-30</c:v>
                </c:pt>
                <c:pt idx="602">
                  <c:v>purpurascens-31</c:v>
                </c:pt>
                <c:pt idx="603">
                  <c:v>latifolius-31</c:v>
                </c:pt>
                <c:pt idx="604">
                  <c:v>pubescens-31</c:v>
                </c:pt>
                <c:pt idx="605">
                  <c:v>divaricata-39</c:v>
                </c:pt>
                <c:pt idx="606">
                  <c:v>sp-50</c:v>
                </c:pt>
                <c:pt idx="607">
                  <c:v>malaccensis-56</c:v>
                </c:pt>
                <c:pt idx="608">
                  <c:v>surinamensis-59</c:v>
                </c:pt>
                <c:pt idx="609">
                  <c:v>impetiginosa-7</c:v>
                </c:pt>
                <c:pt idx="610">
                  <c:v>racemosa-15</c:v>
                </c:pt>
                <c:pt idx="611">
                  <c:v>macrophylla-17</c:v>
                </c:pt>
                <c:pt idx="612">
                  <c:v>palustris-29</c:v>
                </c:pt>
                <c:pt idx="613">
                  <c:v>multijuga-30</c:v>
                </c:pt>
                <c:pt idx="614">
                  <c:v>sp-31</c:v>
                </c:pt>
                <c:pt idx="615">
                  <c:v>madeirana-39</c:v>
                </c:pt>
                <c:pt idx="616">
                  <c:v>laevigata-50</c:v>
                </c:pt>
                <c:pt idx="617">
                  <c:v>forbesii-53</c:v>
                </c:pt>
                <c:pt idx="618">
                  <c:v>warburgianus-56</c:v>
                </c:pt>
                <c:pt idx="619">
                  <c:v>paraensis-59</c:v>
                </c:pt>
                <c:pt idx="620">
                  <c:v>barbata-7</c:v>
                </c:pt>
                <c:pt idx="621">
                  <c:v>bicornis-15</c:v>
                </c:pt>
                <c:pt idx="622">
                  <c:v>polyphylla-26</c:v>
                </c:pt>
                <c:pt idx="623">
                  <c:v>villosa-26</c:v>
                </c:pt>
                <c:pt idx="624">
                  <c:v>fragrantissima-26</c:v>
                </c:pt>
                <c:pt idx="625">
                  <c:v>juruensis-27</c:v>
                </c:pt>
                <c:pt idx="626">
                  <c:v>latifolium-27</c:v>
                </c:pt>
                <c:pt idx="627">
                  <c:v>africana-29</c:v>
                </c:pt>
                <c:pt idx="628">
                  <c:v>pachyloba-29</c:v>
                </c:pt>
                <c:pt idx="629">
                  <c:v>brauna-29</c:v>
                </c:pt>
                <c:pt idx="630">
                  <c:v>macrocarpa-30</c:v>
                </c:pt>
                <c:pt idx="631">
                  <c:v>alba-30</c:v>
                </c:pt>
                <c:pt idx="632">
                  <c:v>sp-31</c:v>
                </c:pt>
                <c:pt idx="633">
                  <c:v>spectabilis-31</c:v>
                </c:pt>
                <c:pt idx="634">
                  <c:v>giganteum-2</c:v>
                </c:pt>
                <c:pt idx="635">
                  <c:v>costaricense-12</c:v>
                </c:pt>
                <c:pt idx="636">
                  <c:v>glandulosa-15</c:v>
                </c:pt>
                <c:pt idx="637">
                  <c:v>urceolaris-15</c:v>
                </c:pt>
                <c:pt idx="638">
                  <c:v>esculenta-16</c:v>
                </c:pt>
                <c:pt idx="639">
                  <c:v>rubiginosa-17</c:v>
                </c:pt>
                <c:pt idx="640">
                  <c:v>obtusa-21</c:v>
                </c:pt>
                <c:pt idx="641">
                  <c:v>celativenia-24</c:v>
                </c:pt>
                <c:pt idx="642">
                  <c:v>paniculatum-29</c:v>
                </c:pt>
                <c:pt idx="643">
                  <c:v>polyphylla-30</c:v>
                </c:pt>
                <c:pt idx="644">
                  <c:v>dimorphandrum-31</c:v>
                </c:pt>
                <c:pt idx="645">
                  <c:v>acapulcensis-31</c:v>
                </c:pt>
                <c:pt idx="646">
                  <c:v>sp-38</c:v>
                </c:pt>
                <c:pt idx="647">
                  <c:v>neriifolius-43</c:v>
                </c:pt>
                <c:pt idx="648">
                  <c:v>guianensis-50</c:v>
                </c:pt>
                <c:pt idx="649">
                  <c:v>gutta-50</c:v>
                </c:pt>
                <c:pt idx="650">
                  <c:v>gracile-2</c:v>
                </c:pt>
                <c:pt idx="651">
                  <c:v>sciadophylla-13</c:v>
                </c:pt>
                <c:pt idx="652">
                  <c:v>arjuna-17</c:v>
                </c:pt>
                <c:pt idx="653">
                  <c:v>gigantifolia-17</c:v>
                </c:pt>
                <c:pt idx="654">
                  <c:v>sumatrana-17</c:v>
                </c:pt>
                <c:pt idx="655">
                  <c:v>latifolia-21</c:v>
                </c:pt>
                <c:pt idx="656">
                  <c:v>armeniaca-26</c:v>
                </c:pt>
                <c:pt idx="657">
                  <c:v>amazonum-26</c:v>
                </c:pt>
                <c:pt idx="658">
                  <c:v>sp-26</c:v>
                </c:pt>
                <c:pt idx="659">
                  <c:v>fendleri-31</c:v>
                </c:pt>
                <c:pt idx="660">
                  <c:v>gardneri-37</c:v>
                </c:pt>
                <c:pt idx="661">
                  <c:v>gorarema-41</c:v>
                </c:pt>
                <c:pt idx="662">
                  <c:v>sp-50</c:v>
                </c:pt>
                <c:pt idx="663">
                  <c:v>boonel-4</c:v>
                </c:pt>
                <c:pt idx="664">
                  <c:v>parvifolium-4</c:v>
                </c:pt>
                <c:pt idx="665">
                  <c:v>burseraefolia-11</c:v>
                </c:pt>
                <c:pt idx="666">
                  <c:v>solomonensis-17</c:v>
                </c:pt>
                <c:pt idx="667">
                  <c:v>tomentosa-17</c:v>
                </c:pt>
                <c:pt idx="668">
                  <c:v>guianensis-24</c:v>
                </c:pt>
                <c:pt idx="669">
                  <c:v>guianensis-27</c:v>
                </c:pt>
                <c:pt idx="670">
                  <c:v>ollaria-27</c:v>
                </c:pt>
                <c:pt idx="671">
                  <c:v>coriaria-29</c:v>
                </c:pt>
                <c:pt idx="672">
                  <c:v>paniculatum-30</c:v>
                </c:pt>
                <c:pt idx="673">
                  <c:v>panamense-31</c:v>
                </c:pt>
                <c:pt idx="674">
                  <c:v>bellengeri-36</c:v>
                </c:pt>
                <c:pt idx="675">
                  <c:v>calimana-36</c:v>
                </c:pt>
                <c:pt idx="676">
                  <c:v>spectabilis-7</c:v>
                </c:pt>
                <c:pt idx="677">
                  <c:v>grandis-17</c:v>
                </c:pt>
                <c:pt idx="678">
                  <c:v>edulis-17</c:v>
                </c:pt>
                <c:pt idx="679">
                  <c:v>microcarpa-17</c:v>
                </c:pt>
                <c:pt idx="680">
                  <c:v>polyantha-27</c:v>
                </c:pt>
                <c:pt idx="681">
                  <c:v>nitens-29</c:v>
                </c:pt>
                <c:pt idx="682">
                  <c:v>paniculata-29</c:v>
                </c:pt>
                <c:pt idx="683">
                  <c:v>virgiliodes-31</c:v>
                </c:pt>
                <c:pt idx="684">
                  <c:v>sericea-31</c:v>
                </c:pt>
                <c:pt idx="685">
                  <c:v>amazonica-33</c:v>
                </c:pt>
                <c:pt idx="686">
                  <c:v>paraensis-47</c:v>
                </c:pt>
                <c:pt idx="687">
                  <c:v>macrophyllus-56</c:v>
                </c:pt>
                <c:pt idx="688">
                  <c:v>spruceanum-2</c:v>
                </c:pt>
                <c:pt idx="689">
                  <c:v>lindaviana-26</c:v>
                </c:pt>
                <c:pt idx="690">
                  <c:v>sassafras-26</c:v>
                </c:pt>
                <c:pt idx="691">
                  <c:v>melanocarpa-29</c:v>
                </c:pt>
                <c:pt idx="692">
                  <c:v>arthropoda-33</c:v>
                </c:pt>
                <c:pt idx="693">
                  <c:v>angustifolia-36</c:v>
                </c:pt>
                <c:pt idx="694">
                  <c:v>reticulata-50</c:v>
                </c:pt>
                <c:pt idx="695">
                  <c:v>ulei-2</c:v>
                </c:pt>
                <c:pt idx="696">
                  <c:v>triplinervia-22</c:v>
                </c:pt>
                <c:pt idx="697">
                  <c:v>colubrina-30</c:v>
                </c:pt>
                <c:pt idx="698">
                  <c:v>pendula-30</c:v>
                </c:pt>
                <c:pt idx="699">
                  <c:v>pulcherrimum-30</c:v>
                </c:pt>
                <c:pt idx="700">
                  <c:v>sp-31</c:v>
                </c:pt>
                <c:pt idx="701">
                  <c:v>guyanensis-50</c:v>
                </c:pt>
                <c:pt idx="702">
                  <c:v>macrophylla-50</c:v>
                </c:pt>
                <c:pt idx="703">
                  <c:v>officinale-60</c:v>
                </c:pt>
                <c:pt idx="704">
                  <c:v>angustiloba-4</c:v>
                </c:pt>
                <c:pt idx="705">
                  <c:v>olanchana-25</c:v>
                </c:pt>
                <c:pt idx="706">
                  <c:v>aurea-26</c:v>
                </c:pt>
                <c:pt idx="707">
                  <c:v>excelsa-30</c:v>
                </c:pt>
                <c:pt idx="708">
                  <c:v>huberi-50</c:v>
                </c:pt>
                <c:pt idx="709">
                  <c:v>cruentum-4</c:v>
                </c:pt>
                <c:pt idx="710">
                  <c:v>morototoni-5</c:v>
                </c:pt>
                <c:pt idx="711">
                  <c:v>acuminata-16</c:v>
                </c:pt>
                <c:pt idx="712">
                  <c:v>lusitanica-18</c:v>
                </c:pt>
                <c:pt idx="713">
                  <c:v>sp-26</c:v>
                </c:pt>
                <c:pt idx="714">
                  <c:v>cyclocarpum-30</c:v>
                </c:pt>
                <c:pt idx="715">
                  <c:v>frondosus-31</c:v>
                </c:pt>
                <c:pt idx="716">
                  <c:v>glomerata-50</c:v>
                </c:pt>
                <c:pt idx="717">
                  <c:v>guianensis-59</c:v>
                </c:pt>
                <c:pt idx="718">
                  <c:v>heterophylla-7</c:v>
                </c:pt>
                <c:pt idx="719">
                  <c:v>dodecandra-10</c:v>
                </c:pt>
                <c:pt idx="720">
                  <c:v>oblongifolia-15</c:v>
                </c:pt>
                <c:pt idx="721">
                  <c:v>nitens-17</c:v>
                </c:pt>
                <c:pt idx="722">
                  <c:v>cf-platyloba-29</c:v>
                </c:pt>
                <c:pt idx="723">
                  <c:v>guianensis-31</c:v>
                </c:pt>
                <c:pt idx="724">
                  <c:v>gaudichaudii-36</c:v>
                </c:pt>
                <c:pt idx="725">
                  <c:v>oleifera-37</c:v>
                </c:pt>
                <c:pt idx="726">
                  <c:v>occidentale-2</c:v>
                </c:pt>
                <c:pt idx="727">
                  <c:v>sp-17</c:v>
                </c:pt>
                <c:pt idx="728">
                  <c:v>quanzensis-29</c:v>
                </c:pt>
                <c:pt idx="729">
                  <c:v>nitida-31</c:v>
                </c:pt>
                <c:pt idx="730">
                  <c:v>sericeus-31</c:v>
                </c:pt>
                <c:pt idx="731">
                  <c:v>sp-33</c:v>
                </c:pt>
                <c:pt idx="732">
                  <c:v>album-4</c:v>
                </c:pt>
                <c:pt idx="733">
                  <c:v>flavescens-7</c:v>
                </c:pt>
                <c:pt idx="734">
                  <c:v>januarensis-17</c:v>
                </c:pt>
                <c:pt idx="735">
                  <c:v>canella-26</c:v>
                </c:pt>
                <c:pt idx="736">
                  <c:v>sp-27</c:v>
                </c:pt>
                <c:pt idx="737">
                  <c:v>angustifolia-35</c:v>
                </c:pt>
                <c:pt idx="738">
                  <c:v>macrocarpa-50</c:v>
                </c:pt>
                <c:pt idx="739">
                  <c:v>ramiflorum-4</c:v>
                </c:pt>
                <c:pt idx="740">
                  <c:v>comintana-17</c:v>
                </c:pt>
                <c:pt idx="741">
                  <c:v>krukovii-27</c:v>
                </c:pt>
                <c:pt idx="742">
                  <c:v>fastigiatus-31</c:v>
                </c:pt>
                <c:pt idx="743">
                  <c:v>macrocarpon-4</c:v>
                </c:pt>
                <c:pt idx="744">
                  <c:v>americana-19</c:v>
                </c:pt>
                <c:pt idx="745">
                  <c:v>hondurensis-31</c:v>
                </c:pt>
                <c:pt idx="746">
                  <c:v>anthotheca-35</c:v>
                </c:pt>
                <c:pt idx="747">
                  <c:v>callophylla-36</c:v>
                </c:pt>
                <c:pt idx="748">
                  <c:v>densiflora-16</c:v>
                </c:pt>
                <c:pt idx="749">
                  <c:v>eburneum-4</c:v>
                </c:pt>
                <c:pt idx="750">
                  <c:v>lucida-17</c:v>
                </c:pt>
                <c:pt idx="751">
                  <c:v>navalium-26</c:v>
                </c:pt>
                <c:pt idx="752">
                  <c:v>bancanus-56</c:v>
                </c:pt>
                <c:pt idx="753">
                  <c:v>albifora-59</c:v>
                </c:pt>
                <c:pt idx="754">
                  <c:v>guatemalensis-59</c:v>
                </c:pt>
                <c:pt idx="755">
                  <c:v>morototoni-5</c:v>
                </c:pt>
                <c:pt idx="756">
                  <c:v>incana-15</c:v>
                </c:pt>
                <c:pt idx="757">
                  <c:v>officinalis-29</c:v>
                </c:pt>
                <c:pt idx="758">
                  <c:v>davisii-29</c:v>
                </c:pt>
                <c:pt idx="759">
                  <c:v>sp-29</c:v>
                </c:pt>
                <c:pt idx="760">
                  <c:v>macracantha-30</c:v>
                </c:pt>
                <c:pt idx="761">
                  <c:v>guianensis-40</c:v>
                </c:pt>
                <c:pt idx="762">
                  <c:v>sp-50</c:v>
                </c:pt>
                <c:pt idx="763">
                  <c:v>licaniaeflora-15</c:v>
                </c:pt>
                <c:pt idx="764">
                  <c:v>dichotoma-17</c:v>
                </c:pt>
                <c:pt idx="765">
                  <c:v>guianensis-26</c:v>
                </c:pt>
                <c:pt idx="766">
                  <c:v>villosum-31</c:v>
                </c:pt>
                <c:pt idx="767">
                  <c:v>melinonii-37</c:v>
                </c:pt>
                <c:pt idx="768">
                  <c:v>araucana-6</c:v>
                </c:pt>
                <c:pt idx="769">
                  <c:v>parviflora-24</c:v>
                </c:pt>
                <c:pt idx="770">
                  <c:v>avellanedae-7</c:v>
                </c:pt>
                <c:pt idx="771">
                  <c:v>caribaea-30</c:v>
                </c:pt>
                <c:pt idx="772">
                  <c:v>triandra-15</c:v>
                </c:pt>
                <c:pt idx="773">
                  <c:v>costulata-26</c:v>
                </c:pt>
                <c:pt idx="774">
                  <c:v>elata-31</c:v>
                </c:pt>
                <c:pt idx="775">
                  <c:v>macrocarpus-31</c:v>
                </c:pt>
                <c:pt idx="776">
                  <c:v>ovalifolia-39</c:v>
                </c:pt>
                <c:pt idx="777">
                  <c:v>macrophylla-50</c:v>
                </c:pt>
                <c:pt idx="778">
                  <c:v>excelsa-50</c:v>
                </c:pt>
                <c:pt idx="779">
                  <c:v>urundeuva-2</c:v>
                </c:pt>
                <c:pt idx="780">
                  <c:v>parviflora-15</c:v>
                </c:pt>
                <c:pt idx="781">
                  <c:v>chebula-17</c:v>
                </c:pt>
                <c:pt idx="782">
                  <c:v>sericea-17</c:v>
                </c:pt>
                <c:pt idx="783">
                  <c:v>jarana-27</c:v>
                </c:pt>
                <c:pt idx="784">
                  <c:v>guianense-36</c:v>
                </c:pt>
                <c:pt idx="785">
                  <c:v>macropylla-4</c:v>
                </c:pt>
                <c:pt idx="786">
                  <c:v>trilocularis-50</c:v>
                </c:pt>
                <c:pt idx="787">
                  <c:v>emarginata-15</c:v>
                </c:pt>
                <c:pt idx="788">
                  <c:v>benghalensis-36</c:v>
                </c:pt>
                <c:pt idx="789">
                  <c:v>tomentosum-4</c:v>
                </c:pt>
                <c:pt idx="790">
                  <c:v>balsamum-31</c:v>
                </c:pt>
                <c:pt idx="791">
                  <c:v>fluminensis-33</c:v>
                </c:pt>
                <c:pt idx="792">
                  <c:v>megalantha-10</c:v>
                </c:pt>
                <c:pt idx="793">
                  <c:v>apetala-15</c:v>
                </c:pt>
                <c:pt idx="794">
                  <c:v>odora-27</c:v>
                </c:pt>
                <c:pt idx="795">
                  <c:v>obionga-17</c:v>
                </c:pt>
                <c:pt idx="796">
                  <c:v>sp-21</c:v>
                </c:pt>
                <c:pt idx="797">
                  <c:v>pisonis-27</c:v>
                </c:pt>
                <c:pt idx="798">
                  <c:v>grandiflora-35</c:v>
                </c:pt>
                <c:pt idx="799">
                  <c:v>congensis-4</c:v>
                </c:pt>
                <c:pt idx="800">
                  <c:v>macrophylla-16</c:v>
                </c:pt>
                <c:pt idx="801">
                  <c:v>estrellensis-27</c:v>
                </c:pt>
                <c:pt idx="802">
                  <c:v>uncinatum-59</c:v>
                </c:pt>
                <c:pt idx="803">
                  <c:v>glauca-51</c:v>
                </c:pt>
                <c:pt idx="804">
                  <c:v>plurijaga-29</c:v>
                </c:pt>
                <c:pt idx="805">
                  <c:v>langsdorfii-29</c:v>
                </c:pt>
                <c:pt idx="806">
                  <c:v>altissima-36</c:v>
                </c:pt>
                <c:pt idx="807">
                  <c:v>britteniana-15</c:v>
                </c:pt>
                <c:pt idx="808">
                  <c:v>polita-15</c:v>
                </c:pt>
                <c:pt idx="809">
                  <c:v>arborea-58</c:v>
                </c:pt>
                <c:pt idx="810">
                  <c:v>sanctum-60</c:v>
                </c:pt>
                <c:pt idx="811">
                  <c:v>ochracea-7</c:v>
                </c:pt>
                <c:pt idx="812">
                  <c:v>senegalensis-35</c:v>
                </c:pt>
                <c:pt idx="813">
                  <c:v>costulata-4</c:v>
                </c:pt>
                <c:pt idx="814">
                  <c:v>cupressoides-18</c:v>
                </c:pt>
                <c:pt idx="815">
                  <c:v>heptaphyllum-11</c:v>
                </c:pt>
                <c:pt idx="816">
                  <c:v>coriacea-27</c:v>
                </c:pt>
                <c:pt idx="817">
                  <c:v>elongata-37</c:v>
                </c:pt>
                <c:pt idx="818">
                  <c:v>ivorensis-17</c:v>
                </c:pt>
                <c:pt idx="819">
                  <c:v>augustifolium-36</c:v>
                </c:pt>
                <c:pt idx="820">
                  <c:v>furcata-50</c:v>
                </c:pt>
                <c:pt idx="821">
                  <c:v>guianensis-36</c:v>
                </c:pt>
                <c:pt idx="822">
                  <c:v>araroba-31</c:v>
                </c:pt>
                <c:pt idx="823">
                  <c:v>anibifolia-50</c:v>
                </c:pt>
                <c:pt idx="824">
                  <c:v>neotropica-25</c:v>
                </c:pt>
                <c:pt idx="825">
                  <c:v>angolensis-31</c:v>
                </c:pt>
                <c:pt idx="826">
                  <c:v>pinnatum-31</c:v>
                </c:pt>
                <c:pt idx="827">
                  <c:v>odorata-31</c:v>
                </c:pt>
                <c:pt idx="828">
                  <c:v>grandis-38</c:v>
                </c:pt>
                <c:pt idx="829">
                  <c:v>sp-38</c:v>
                </c:pt>
                <c:pt idx="830">
                  <c:v>canjerana-35</c:v>
                </c:pt>
                <c:pt idx="831">
                  <c:v>robusta-44</c:v>
                </c:pt>
                <c:pt idx="832">
                  <c:v>superba-17</c:v>
                </c:pt>
                <c:pt idx="833">
                  <c:v>cinerea-25</c:v>
                </c:pt>
                <c:pt idx="834">
                  <c:v>glabra-35</c:v>
                </c:pt>
                <c:pt idx="835">
                  <c:v>humilis-35</c:v>
                </c:pt>
                <c:pt idx="836">
                  <c:v>mahagoni-35</c:v>
                </c:pt>
                <c:pt idx="837">
                  <c:v>pertusa-36</c:v>
                </c:pt>
                <c:pt idx="838">
                  <c:v>robustum-31</c:v>
                </c:pt>
                <c:pt idx="839">
                  <c:v>koschnyi-37</c:v>
                </c:pt>
                <c:pt idx="840">
                  <c:v>echinata-29</c:v>
                </c:pt>
                <c:pt idx="841">
                  <c:v>ipe-7</c:v>
                </c:pt>
                <c:pt idx="842">
                  <c:v>belerica-17</c:v>
                </c:pt>
                <c:pt idx="843">
                  <c:v>excelsa-27</c:v>
                </c:pt>
                <c:pt idx="844">
                  <c:v>sebifera-37</c:v>
                </c:pt>
                <c:pt idx="845">
                  <c:v>villosum-12</c:v>
                </c:pt>
                <c:pt idx="846">
                  <c:v>macrophylla-15</c:v>
                </c:pt>
                <c:pt idx="847">
                  <c:v>guianensis-29</c:v>
                </c:pt>
                <c:pt idx="848">
                  <c:v>legalis-27</c:v>
                </c:pt>
                <c:pt idx="849">
                  <c:v>catenaeformis-30</c:v>
                </c:pt>
                <c:pt idx="850">
                  <c:v>lecointel-2</c:v>
                </c:pt>
                <c:pt idx="851">
                  <c:v>chrysantha-7</c:v>
                </c:pt>
                <c:pt idx="852">
                  <c:v>sp-15</c:v>
                </c:pt>
                <c:pt idx="853">
                  <c:v>americana-29</c:v>
                </c:pt>
                <c:pt idx="854">
                  <c:v>surinamensis-37</c:v>
                </c:pt>
                <c:pt idx="855">
                  <c:v>desmanthum-4</c:v>
                </c:pt>
                <c:pt idx="856">
                  <c:v>cuspidata-54</c:v>
                </c:pt>
                <c:pt idx="857">
                  <c:v>angustifolia-6</c:v>
                </c:pt>
                <c:pt idx="858">
                  <c:v>potabile-36</c:v>
                </c:pt>
                <c:pt idx="859">
                  <c:v>sp-37</c:v>
                </c:pt>
                <c:pt idx="860">
                  <c:v>insignis-16</c:v>
                </c:pt>
                <c:pt idx="861">
                  <c:v>angolensis-31</c:v>
                </c:pt>
                <c:pt idx="862">
                  <c:v>amara-51</c:v>
                </c:pt>
                <c:pt idx="863">
                  <c:v>americana-10</c:v>
                </c:pt>
                <c:pt idx="864">
                  <c:v>octandra-15</c:v>
                </c:pt>
                <c:pt idx="865">
                  <c:v>rodiaei-26</c:v>
                </c:pt>
                <c:pt idx="866">
                  <c:v>polystachyum-31</c:v>
                </c:pt>
                <c:pt idx="867">
                  <c:v>arborea-30</c:v>
                </c:pt>
                <c:pt idx="868">
                  <c:v>acutifolium-36</c:v>
                </c:pt>
                <c:pt idx="869">
                  <c:v>rubra-26</c:v>
                </c:pt>
                <c:pt idx="870">
                  <c:v>macroloba-30</c:v>
                </c:pt>
                <c:pt idx="871">
                  <c:v>maximum-30</c:v>
                </c:pt>
                <c:pt idx="872">
                  <c:v>sp-50</c:v>
                </c:pt>
                <c:pt idx="873">
                  <c:v>guayacan-7</c:v>
                </c:pt>
                <c:pt idx="874">
                  <c:v>rubenscens-36</c:v>
                </c:pt>
                <c:pt idx="875">
                  <c:v>heteromorpha-15</c:v>
                </c:pt>
                <c:pt idx="876">
                  <c:v>cearensis-31</c:v>
                </c:pt>
                <c:pt idx="877">
                  <c:v>parahybum-29</c:v>
                </c:pt>
                <c:pt idx="878">
                  <c:v>scholaris-4</c:v>
                </c:pt>
                <c:pt idx="879">
                  <c:v>peroba-7</c:v>
                </c:pt>
                <c:pt idx="880">
                  <c:v>polyneuron-4</c:v>
                </c:pt>
                <c:pt idx="881">
                  <c:v>trichotoma-10</c:v>
                </c:pt>
                <c:pt idx="882">
                  <c:v>catappa-17</c:v>
                </c:pt>
                <c:pt idx="883">
                  <c:v>indicus-31</c:v>
                </c:pt>
                <c:pt idx="884">
                  <c:v>goeldiana-10</c:v>
                </c:pt>
                <c:pt idx="885">
                  <c:v>sp-26</c:v>
                </c:pt>
                <c:pt idx="886">
                  <c:v>porosa-26</c:v>
                </c:pt>
                <c:pt idx="887">
                  <c:v>capitata-17</c:v>
                </c:pt>
                <c:pt idx="888">
                  <c:v>hondurensis-59</c:v>
                </c:pt>
                <c:pt idx="889">
                  <c:v>excelsum-2</c:v>
                </c:pt>
                <c:pt idx="890">
                  <c:v>nitida-36</c:v>
                </c:pt>
                <c:pt idx="891">
                  <c:v>ferruginea-59</c:v>
                </c:pt>
                <c:pt idx="892">
                  <c:v>quinata-9</c:v>
                </c:pt>
                <c:pt idx="893">
                  <c:v>glabrum-12</c:v>
                </c:pt>
                <c:pt idx="894">
                  <c:v>megalocarpon-4</c:v>
                </c:pt>
                <c:pt idx="895">
                  <c:v>saman-30</c:v>
                </c:pt>
                <c:pt idx="896">
                  <c:v>bidentata-50</c:v>
                </c:pt>
                <c:pt idx="897">
                  <c:v>donneii-smithii-7</c:v>
                </c:pt>
                <c:pt idx="898">
                  <c:v>copaia-7</c:v>
                </c:pt>
                <c:pt idx="899">
                  <c:v>fissilis-35</c:v>
                </c:pt>
                <c:pt idx="900">
                  <c:v>glabra-14</c:v>
                </c:pt>
                <c:pt idx="901">
                  <c:v>rosea-7</c:v>
                </c:pt>
                <c:pt idx="902">
                  <c:v>zapotilla-50</c:v>
                </c:pt>
                <c:pt idx="903">
                  <c:v>serratifolia-7</c:v>
                </c:pt>
                <c:pt idx="904">
                  <c:v>leiocarpa-29</c:v>
                </c:pt>
                <c:pt idx="905">
                  <c:v>simaruba-11</c:v>
                </c:pt>
                <c:pt idx="906">
                  <c:v>guianensis-2</c:v>
                </c:pt>
                <c:pt idx="907">
                  <c:v>sp-17</c:v>
                </c:pt>
                <c:pt idx="908">
                  <c:v>guianense-29</c:v>
                </c:pt>
                <c:pt idx="909">
                  <c:v>amazonia-17</c:v>
                </c:pt>
                <c:pt idx="910">
                  <c:v>schomburgkii-30</c:v>
                </c:pt>
                <c:pt idx="911">
                  <c:v>graveolens-2</c:v>
                </c:pt>
                <c:pt idx="912">
                  <c:v>ivorensis-35</c:v>
                </c:pt>
                <c:pt idx="913">
                  <c:v>pentandra-9</c:v>
                </c:pt>
                <c:pt idx="914">
                  <c:v>alchorneoides-22</c:v>
                </c:pt>
                <c:pt idx="915">
                  <c:v>courbaril-29</c:v>
                </c:pt>
                <c:pt idx="916">
                  <c:v>crepitans-22</c:v>
                </c:pt>
                <c:pt idx="917">
                  <c:v>grandis-58</c:v>
                </c:pt>
                <c:pt idx="918">
                  <c:v>brasiliense-16</c:v>
                </c:pt>
                <c:pt idx="919">
                  <c:v>sp-4</c:v>
                </c:pt>
                <c:pt idx="920">
                  <c:v>odorata-35</c:v>
                </c:pt>
                <c:pt idx="921">
                  <c:v>guianensis-35</c:v>
                </c:pt>
                <c:pt idx="922">
                  <c:v>globulifera-16</c:v>
                </c:pt>
                <c:pt idx="923">
                  <c:v>macrophylla-35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Taxonomy!$H$926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3-4DE4-90BC-3C7B8BFAF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7923296"/>
        <c:axId val="1127921376"/>
      </c:barChart>
      <c:catAx>
        <c:axId val="1127923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1376"/>
        <c:crosses val="autoZero"/>
        <c:auto val="1"/>
        <c:lblAlgn val="ctr"/>
        <c:lblOffset val="100"/>
        <c:noMultiLvlLbl val="0"/>
      </c:catAx>
      <c:valAx>
        <c:axId val="11279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3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Species by Observation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Taxonomy!$I$1</c:f>
              <c:strCache>
                <c:ptCount val="1"/>
                <c:pt idx="0">
                  <c:v> Nrows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Taxonomy!$H$2:$H$926</c:f>
              <c:strCache>
                <c:ptCount val="925"/>
                <c:pt idx="0">
                  <c:v>inundata-52</c:v>
                </c:pt>
                <c:pt idx="1">
                  <c:v>enneandra-15</c:v>
                </c:pt>
                <c:pt idx="2">
                  <c:v>cf-parvifolia-29</c:v>
                </c:pt>
                <c:pt idx="3">
                  <c:v>auriculata-30</c:v>
                </c:pt>
                <c:pt idx="4">
                  <c:v>ampelos-36</c:v>
                </c:pt>
                <c:pt idx="5">
                  <c:v>caballina-36</c:v>
                </c:pt>
                <c:pt idx="6">
                  <c:v>lambertii-43</c:v>
                </c:pt>
                <c:pt idx="7">
                  <c:v>tenulfolium-2</c:v>
                </c:pt>
                <c:pt idx="8">
                  <c:v>cf-guayacan-7</c:v>
                </c:pt>
                <c:pt idx="9">
                  <c:v>cf-heptaphilla-7</c:v>
                </c:pt>
                <c:pt idx="10">
                  <c:v>aff-simaruba-11</c:v>
                </c:pt>
                <c:pt idx="11">
                  <c:v>alata-17</c:v>
                </c:pt>
                <c:pt idx="12">
                  <c:v>quadrivalvis-21</c:v>
                </c:pt>
                <c:pt idx="13">
                  <c:v>peruviana-27</c:v>
                </c:pt>
                <c:pt idx="14">
                  <c:v>schlerocarpa-29</c:v>
                </c:pt>
                <c:pt idx="15">
                  <c:v>oleifera-28</c:v>
                </c:pt>
                <c:pt idx="16">
                  <c:v>laxiflorus-31</c:v>
                </c:pt>
                <c:pt idx="17">
                  <c:v>atropurpureus-31</c:v>
                </c:pt>
                <c:pt idx="18">
                  <c:v>neuroscapha-31</c:v>
                </c:pt>
                <c:pt idx="19">
                  <c:v>punctatus-31</c:v>
                </c:pt>
                <c:pt idx="20">
                  <c:v>whitfordii-31</c:v>
                </c:pt>
                <c:pt idx="21">
                  <c:v>amazonum-31</c:v>
                </c:pt>
                <c:pt idx="22">
                  <c:v>tinctoria-36</c:v>
                </c:pt>
                <c:pt idx="23">
                  <c:v>brasiliensis-38</c:v>
                </c:pt>
                <c:pt idx="24">
                  <c:v>clinocarpa-38</c:v>
                </c:pt>
                <c:pt idx="25">
                  <c:v>confusa-38</c:v>
                </c:pt>
                <c:pt idx="26">
                  <c:v>quadrijuga-38</c:v>
                </c:pt>
                <c:pt idx="27">
                  <c:v>riparia-38</c:v>
                </c:pt>
                <c:pt idx="28">
                  <c:v>spruceana-39</c:v>
                </c:pt>
                <c:pt idx="29">
                  <c:v>decorticans-50</c:v>
                </c:pt>
                <c:pt idx="30">
                  <c:v>ovata-50</c:v>
                </c:pt>
                <c:pt idx="31">
                  <c:v>myriantha-2</c:v>
                </c:pt>
                <c:pt idx="32">
                  <c:v>cylindrocarpon-4</c:v>
                </c:pt>
                <c:pt idx="33">
                  <c:v>melanocalix-4</c:v>
                </c:pt>
                <c:pt idx="34">
                  <c:v>monterol-4</c:v>
                </c:pt>
                <c:pt idx="35">
                  <c:v>rufescens-7</c:v>
                </c:pt>
                <c:pt idx="36">
                  <c:v>juranylana-13</c:v>
                </c:pt>
                <c:pt idx="37">
                  <c:v>obtusa-13</c:v>
                </c:pt>
                <c:pt idx="38">
                  <c:v>robusta-15</c:v>
                </c:pt>
                <c:pt idx="39">
                  <c:v>bracteatum-16</c:v>
                </c:pt>
                <c:pt idx="40">
                  <c:v>brownii-17</c:v>
                </c:pt>
                <c:pt idx="41">
                  <c:v>macroptera-17</c:v>
                </c:pt>
                <c:pt idx="42">
                  <c:v>pellucida-17</c:v>
                </c:pt>
                <c:pt idx="43">
                  <c:v>ruspolii-17</c:v>
                </c:pt>
                <c:pt idx="44">
                  <c:v>martiniana-26</c:v>
                </c:pt>
                <c:pt idx="45">
                  <c:v>glomerata-26</c:v>
                </c:pt>
                <c:pt idx="46">
                  <c:v>sp-26</c:v>
                </c:pt>
                <c:pt idx="47">
                  <c:v>corrugata-27</c:v>
                </c:pt>
                <c:pt idx="48">
                  <c:v>zabucaja-27</c:v>
                </c:pt>
                <c:pt idx="49">
                  <c:v>pulcherrima-29</c:v>
                </c:pt>
                <c:pt idx="50">
                  <c:v>ebano-29</c:v>
                </c:pt>
                <c:pt idx="51">
                  <c:v>maranhensis-29</c:v>
                </c:pt>
                <c:pt idx="52">
                  <c:v>sp-29</c:v>
                </c:pt>
                <c:pt idx="53">
                  <c:v>mangium-30</c:v>
                </c:pt>
                <c:pt idx="54">
                  <c:v>platycephala-30</c:v>
                </c:pt>
                <c:pt idx="55">
                  <c:v>foliolosa-30</c:v>
                </c:pt>
                <c:pt idx="56">
                  <c:v>polyphylla-30</c:v>
                </c:pt>
                <c:pt idx="57">
                  <c:v>greveana-31</c:v>
                </c:pt>
                <c:pt idx="58">
                  <c:v>latifolia-31</c:v>
                </c:pt>
                <c:pt idx="59">
                  <c:v>polyphylla-31</c:v>
                </c:pt>
                <c:pt idx="60">
                  <c:v>heterocarpum-31</c:v>
                </c:pt>
                <c:pt idx="61">
                  <c:v>michelianus-31</c:v>
                </c:pt>
                <c:pt idx="62">
                  <c:v>muehlenbergianus-31</c:v>
                </c:pt>
                <c:pt idx="63">
                  <c:v>rugosus-31</c:v>
                </c:pt>
                <c:pt idx="64">
                  <c:v>angustifolium-31</c:v>
                </c:pt>
                <c:pt idx="65">
                  <c:v>floribundum-31</c:v>
                </c:pt>
                <c:pt idx="66">
                  <c:v>grandifolium-31</c:v>
                </c:pt>
                <c:pt idx="67">
                  <c:v>latialatum-31</c:v>
                </c:pt>
                <c:pt idx="68">
                  <c:v>ulei-31</c:v>
                </c:pt>
                <c:pt idx="69">
                  <c:v>guedesii-35</c:v>
                </c:pt>
                <c:pt idx="70">
                  <c:v>maxima-36</c:v>
                </c:pt>
                <c:pt idx="71">
                  <c:v>nymphaeafolia-36</c:v>
                </c:pt>
                <c:pt idx="72">
                  <c:v>flexuosa-37</c:v>
                </c:pt>
                <c:pt idx="73">
                  <c:v>malaccensis-38</c:v>
                </c:pt>
                <c:pt idx="74">
                  <c:v>stipitata-38</c:v>
                </c:pt>
                <c:pt idx="75">
                  <c:v>aeruginosa-39</c:v>
                </c:pt>
                <c:pt idx="76">
                  <c:v>uberrima-39</c:v>
                </c:pt>
                <c:pt idx="77">
                  <c:v>lanceolata-50</c:v>
                </c:pt>
                <c:pt idx="78">
                  <c:v>purusiana-50</c:v>
                </c:pt>
                <c:pt idx="79">
                  <c:v>franciscana-50</c:v>
                </c:pt>
                <c:pt idx="80">
                  <c:v>gomphiifolia-50</c:v>
                </c:pt>
                <c:pt idx="81">
                  <c:v>laurifolia-50</c:v>
                </c:pt>
                <c:pt idx="82">
                  <c:v>pachycarpa-4</c:v>
                </c:pt>
                <c:pt idx="83">
                  <c:v>marcgravianum-4</c:v>
                </c:pt>
                <c:pt idx="84">
                  <c:v>dugandii-7</c:v>
                </c:pt>
                <c:pt idx="85">
                  <c:v>arborea-8</c:v>
                </c:pt>
                <c:pt idx="86">
                  <c:v>edule-12</c:v>
                </c:pt>
                <c:pt idx="87">
                  <c:v>sp-12</c:v>
                </c:pt>
                <c:pt idx="88">
                  <c:v>bureaniana-13</c:v>
                </c:pt>
                <c:pt idx="89">
                  <c:v>concolor-13</c:v>
                </c:pt>
                <c:pt idx="90">
                  <c:v>bullata-15</c:v>
                </c:pt>
                <c:pt idx="91">
                  <c:v>punctillata-15</c:v>
                </c:pt>
                <c:pt idx="92">
                  <c:v>kunthiana-15</c:v>
                </c:pt>
                <c:pt idx="93">
                  <c:v>piresii-15</c:v>
                </c:pt>
                <c:pt idx="94">
                  <c:v>rondonii-15</c:v>
                </c:pt>
                <c:pt idx="95">
                  <c:v>benzoin-17</c:v>
                </c:pt>
                <c:pt idx="96">
                  <c:v>ovocarpa-17</c:v>
                </c:pt>
                <c:pt idx="97">
                  <c:v>travancoricus-17</c:v>
                </c:pt>
                <c:pt idx="98">
                  <c:v>fendieriana-21</c:v>
                </c:pt>
                <c:pt idx="99">
                  <c:v>sapotifolia-23</c:v>
                </c:pt>
                <c:pt idx="100">
                  <c:v>cissiflora-26</c:v>
                </c:pt>
                <c:pt idx="101">
                  <c:v>canaliculata-26</c:v>
                </c:pt>
                <c:pt idx="102">
                  <c:v>caudata-26</c:v>
                </c:pt>
                <c:pt idx="103">
                  <c:v>maguireana-26</c:v>
                </c:pt>
                <c:pt idx="104">
                  <c:v>sericiflora-26</c:v>
                </c:pt>
                <c:pt idx="105">
                  <c:v>langsdortii-29</c:v>
                </c:pt>
                <c:pt idx="106">
                  <c:v>exaltata-29</c:v>
                </c:pt>
                <c:pt idx="107">
                  <c:v>hymenaefolia-29</c:v>
                </c:pt>
                <c:pt idx="108">
                  <c:v>chysophyllum-29</c:v>
                </c:pt>
                <c:pt idx="109">
                  <c:v>myrmecophila-29</c:v>
                </c:pt>
                <c:pt idx="110">
                  <c:v>cf. glomerosa-30</c:v>
                </c:pt>
                <c:pt idx="111">
                  <c:v>sp-30</c:v>
                </c:pt>
                <c:pt idx="112">
                  <c:v>adiantoides-30</c:v>
                </c:pt>
                <c:pt idx="113">
                  <c:v>glomerosa-30</c:v>
                </c:pt>
                <c:pt idx="114">
                  <c:v>barbatimao-30</c:v>
                </c:pt>
                <c:pt idx="115">
                  <c:v>coriaceum-30</c:v>
                </c:pt>
                <c:pt idx="116">
                  <c:v>madagascariensis-31</c:v>
                </c:pt>
                <c:pt idx="117">
                  <c:v>complicatum-31</c:v>
                </c:pt>
                <c:pt idx="118">
                  <c:v>crucisrubienae-31</c:v>
                </c:pt>
                <c:pt idx="119">
                  <c:v>arboreum-31</c:v>
                </c:pt>
                <c:pt idx="120">
                  <c:v>coriacea-33</c:v>
                </c:pt>
                <c:pt idx="121">
                  <c:v>obsersa-33</c:v>
                </c:pt>
                <c:pt idx="122">
                  <c:v>aurea-36</c:v>
                </c:pt>
                <c:pt idx="123">
                  <c:v>enormis-36</c:v>
                </c:pt>
                <c:pt idx="124">
                  <c:v>pulchelia-36</c:v>
                </c:pt>
                <c:pt idx="125">
                  <c:v>radula-36</c:v>
                </c:pt>
                <c:pt idx="126">
                  <c:v>retusa-36</c:v>
                </c:pt>
                <c:pt idx="127">
                  <c:v>carinata-37</c:v>
                </c:pt>
                <c:pt idx="128">
                  <c:v>macrocarpa-37</c:v>
                </c:pt>
                <c:pt idx="129">
                  <c:v>molissima-37</c:v>
                </c:pt>
                <c:pt idx="130">
                  <c:v>chartacea-38</c:v>
                </c:pt>
                <c:pt idx="131">
                  <c:v>egensis-38</c:v>
                </c:pt>
                <c:pt idx="132">
                  <c:v>florida-38</c:v>
                </c:pt>
                <c:pt idx="133">
                  <c:v>tapacumensis-38</c:v>
                </c:pt>
                <c:pt idx="134">
                  <c:v>krukovii-39</c:v>
                </c:pt>
                <c:pt idx="135">
                  <c:v>punctata-40</c:v>
                </c:pt>
                <c:pt idx="136">
                  <c:v>oocarpa-42</c:v>
                </c:pt>
                <c:pt idx="137">
                  <c:v>wightiana-48</c:v>
                </c:pt>
                <c:pt idx="138">
                  <c:v>platyphylla-50</c:v>
                </c:pt>
                <c:pt idx="139">
                  <c:v>aff-reticulata-50</c:v>
                </c:pt>
                <c:pt idx="140">
                  <c:v>cuspidata-50</c:v>
                </c:pt>
                <c:pt idx="141">
                  <c:v>lasiocarpa-50</c:v>
                </c:pt>
                <c:pt idx="142">
                  <c:v>trichopoda-50</c:v>
                </c:pt>
                <c:pt idx="143">
                  <c:v>sinensis-56</c:v>
                </c:pt>
                <c:pt idx="144">
                  <c:v>centrala-4</c:v>
                </c:pt>
                <c:pt idx="145">
                  <c:v>occidentale-4</c:v>
                </c:pt>
                <c:pt idx="146">
                  <c:v>subincanum-4</c:v>
                </c:pt>
                <c:pt idx="147">
                  <c:v>argentea-7</c:v>
                </c:pt>
                <c:pt idx="148">
                  <c:v>haemantha-7</c:v>
                </c:pt>
                <c:pt idx="149">
                  <c:v>leptopoda-7</c:v>
                </c:pt>
                <c:pt idx="150">
                  <c:v>rigida-7</c:v>
                </c:pt>
                <c:pt idx="151">
                  <c:v>duckel-15</c:v>
                </c:pt>
                <c:pt idx="152">
                  <c:v>latifolia-17</c:v>
                </c:pt>
                <c:pt idx="153">
                  <c:v>mauritiana-17</c:v>
                </c:pt>
                <c:pt idx="154">
                  <c:v>mollis-17</c:v>
                </c:pt>
                <c:pt idx="155">
                  <c:v>pocarpa-17</c:v>
                </c:pt>
                <c:pt idx="156">
                  <c:v>quintala-17</c:v>
                </c:pt>
                <c:pt idx="157">
                  <c:v>rhodesica-17</c:v>
                </c:pt>
                <c:pt idx="158">
                  <c:v>samoensis-17</c:v>
                </c:pt>
                <c:pt idx="159">
                  <c:v>steenisiana-17</c:v>
                </c:pt>
                <c:pt idx="160">
                  <c:v>durissima-21</c:v>
                </c:pt>
                <c:pt idx="161">
                  <c:v>reticulata-21</c:v>
                </c:pt>
                <c:pt idx="162">
                  <c:v>princeps-22</c:v>
                </c:pt>
                <c:pt idx="163">
                  <c:v>rosaeodora-26</c:v>
                </c:pt>
                <c:pt idx="164">
                  <c:v>nitida-26</c:v>
                </c:pt>
                <c:pt idx="165">
                  <c:v>froesii-26</c:v>
                </c:pt>
                <c:pt idx="166">
                  <c:v>globifera-26</c:v>
                </c:pt>
                <c:pt idx="167">
                  <c:v>marmellensis-26</c:v>
                </c:pt>
                <c:pt idx="168">
                  <c:v>froesii-27</c:v>
                </c:pt>
                <c:pt idx="169">
                  <c:v>matamata-27</c:v>
                </c:pt>
                <c:pt idx="170">
                  <c:v>gigantea-27</c:v>
                </c:pt>
                <c:pt idx="171">
                  <c:v>bipindensis-29</c:v>
                </c:pt>
                <c:pt idx="172">
                  <c:v>bahamensis-29</c:v>
                </c:pt>
                <c:pt idx="173">
                  <c:v>paraguariensis-29</c:v>
                </c:pt>
                <c:pt idx="174">
                  <c:v>sp-29</c:v>
                </c:pt>
                <c:pt idx="175">
                  <c:v>punctata-29</c:v>
                </c:pt>
                <c:pt idx="176">
                  <c:v>glomerosa-30</c:v>
                </c:pt>
                <c:pt idx="177">
                  <c:v>schomburgkii-30</c:v>
                </c:pt>
                <c:pt idx="178">
                  <c:v>pedicellare-30</c:v>
                </c:pt>
                <c:pt idx="179">
                  <c:v>excelsa-31</c:v>
                </c:pt>
                <c:pt idx="180">
                  <c:v>stevensonii-31</c:v>
                </c:pt>
                <c:pt idx="181">
                  <c:v>tricolor-31</c:v>
                </c:pt>
                <c:pt idx="182">
                  <c:v>capassa-31</c:v>
                </c:pt>
                <c:pt idx="183">
                  <c:v>cf-dipteroneurus-31</c:v>
                </c:pt>
                <c:pt idx="184">
                  <c:v>denutatus-31</c:v>
                </c:pt>
                <c:pt idx="185">
                  <c:v>hedyosmus-31</c:v>
                </c:pt>
                <c:pt idx="186">
                  <c:v>salvadorensis-31</c:v>
                </c:pt>
                <c:pt idx="187">
                  <c:v>amphymenium-31</c:v>
                </c:pt>
                <c:pt idx="188">
                  <c:v>sp-35</c:v>
                </c:pt>
                <c:pt idx="189">
                  <c:v>anthelmintica-36</c:v>
                </c:pt>
                <c:pt idx="190">
                  <c:v>asperrima-36</c:v>
                </c:pt>
                <c:pt idx="191">
                  <c:v>benjamina-36</c:v>
                </c:pt>
                <c:pt idx="192">
                  <c:v>capensis-36</c:v>
                </c:pt>
                <c:pt idx="193">
                  <c:v>glabrata-36</c:v>
                </c:pt>
                <c:pt idx="194">
                  <c:v>calophylla-37</c:v>
                </c:pt>
                <c:pt idx="195">
                  <c:v>multicostata-37</c:v>
                </c:pt>
                <c:pt idx="196">
                  <c:v>officinalis-37</c:v>
                </c:pt>
                <c:pt idx="197">
                  <c:v>pavanis-37</c:v>
                </c:pt>
                <c:pt idx="198">
                  <c:v>jambolana-38</c:v>
                </c:pt>
                <c:pt idx="199">
                  <c:v>macrocalyx-38</c:v>
                </c:pt>
                <c:pt idx="200">
                  <c:v>involucratus-38</c:v>
                </c:pt>
                <c:pt idx="201">
                  <c:v>cauliflora-39</c:v>
                </c:pt>
                <c:pt idx="202">
                  <c:v>macrophylla-39</c:v>
                </c:pt>
                <c:pt idx="203">
                  <c:v>sp-39</c:v>
                </c:pt>
                <c:pt idx="204">
                  <c:v>tristis-39</c:v>
                </c:pt>
                <c:pt idx="205">
                  <c:v>ambigua-39</c:v>
                </c:pt>
                <c:pt idx="206">
                  <c:v>oliveri-46</c:v>
                </c:pt>
                <c:pt idx="207">
                  <c:v>sp-46</c:v>
                </c:pt>
                <c:pt idx="208">
                  <c:v>arborea-48</c:v>
                </c:pt>
                <c:pt idx="209">
                  <c:v>esculenta-49</c:v>
                </c:pt>
                <c:pt idx="210">
                  <c:v>krukoffii-50</c:v>
                </c:pt>
                <c:pt idx="211">
                  <c:v>solimoesensis-50</c:v>
                </c:pt>
                <c:pt idx="212">
                  <c:v>salicifolia-50</c:v>
                </c:pt>
                <c:pt idx="213">
                  <c:v>cubensis-52</c:v>
                </c:pt>
                <c:pt idx="214">
                  <c:v>macrocarpa-53</c:v>
                </c:pt>
                <c:pt idx="215">
                  <c:v>maingayi-56</c:v>
                </c:pt>
                <c:pt idx="216">
                  <c:v>philippensis-56</c:v>
                </c:pt>
                <c:pt idx="217">
                  <c:v>cf-ferruginea-59</c:v>
                </c:pt>
                <c:pt idx="218">
                  <c:v>lanceolata-3</c:v>
                </c:pt>
                <c:pt idx="219">
                  <c:v>albun-4</c:v>
                </c:pt>
                <c:pt idx="220">
                  <c:v>maingayi-4</c:v>
                </c:pt>
                <c:pt idx="221">
                  <c:v>aurea-7</c:v>
                </c:pt>
                <c:pt idx="222">
                  <c:v>cf-dugandii-7</c:v>
                </c:pt>
                <c:pt idx="223">
                  <c:v>gaudichaudii-7</c:v>
                </c:pt>
                <c:pt idx="224">
                  <c:v>jacaranda-7</c:v>
                </c:pt>
                <c:pt idx="225">
                  <c:v>lepidophylla-7</c:v>
                </c:pt>
                <c:pt idx="226">
                  <c:v>prieurii-7</c:v>
                </c:pt>
                <c:pt idx="227">
                  <c:v>bicolor-13</c:v>
                </c:pt>
                <c:pt idx="228">
                  <c:v>hebeciada-15</c:v>
                </c:pt>
                <c:pt idx="229">
                  <c:v>rasa-15</c:v>
                </c:pt>
                <c:pt idx="230">
                  <c:v>eriandra-15</c:v>
                </c:pt>
                <c:pt idx="231">
                  <c:v>longistyla-15</c:v>
                </c:pt>
                <c:pt idx="232">
                  <c:v>maxima-15</c:v>
                </c:pt>
                <c:pt idx="233">
                  <c:v>niloi-15</c:v>
                </c:pt>
                <c:pt idx="234">
                  <c:v>sclerophylla-15</c:v>
                </c:pt>
                <c:pt idx="235">
                  <c:v>uniguiculata-15</c:v>
                </c:pt>
                <c:pt idx="236">
                  <c:v>fanshawei-17</c:v>
                </c:pt>
                <c:pt idx="237">
                  <c:v>brachystemma-17</c:v>
                </c:pt>
                <c:pt idx="238">
                  <c:v>crenulata-17</c:v>
                </c:pt>
                <c:pt idx="239">
                  <c:v>erici-rosenii-17</c:v>
                </c:pt>
                <c:pt idx="240">
                  <c:v>hayesii-17</c:v>
                </c:pt>
                <c:pt idx="241">
                  <c:v>sp-20</c:v>
                </c:pt>
                <c:pt idx="242">
                  <c:v>dentata-21</c:v>
                </c:pt>
                <c:pt idx="243">
                  <c:v>grandiflora-21</c:v>
                </c:pt>
                <c:pt idx="244">
                  <c:v>uchi-24</c:v>
                </c:pt>
                <c:pt idx="245">
                  <c:v>cuneato-cordata-26</c:v>
                </c:pt>
                <c:pt idx="246">
                  <c:v>grandiflora-26</c:v>
                </c:pt>
                <c:pt idx="247">
                  <c:v>pardo-26</c:v>
                </c:pt>
                <c:pt idx="248">
                  <c:v>superba-26</c:v>
                </c:pt>
                <c:pt idx="249">
                  <c:v>stellata-27</c:v>
                </c:pt>
                <c:pt idx="250">
                  <c:v>albiflora-27</c:v>
                </c:pt>
                <c:pt idx="251">
                  <c:v>blanchetiana-27</c:v>
                </c:pt>
                <c:pt idx="252">
                  <c:v>cf-atropetiolata-27</c:v>
                </c:pt>
                <c:pt idx="253">
                  <c:v>longipes-27</c:v>
                </c:pt>
                <c:pt idx="254">
                  <c:v>brasiliensis-29</c:v>
                </c:pt>
                <c:pt idx="255">
                  <c:v>ferrugineum-29</c:v>
                </c:pt>
                <c:pt idx="256">
                  <c:v>sp-29</c:v>
                </c:pt>
                <c:pt idx="257">
                  <c:v>sp-29</c:v>
                </c:pt>
                <c:pt idx="258">
                  <c:v>subbullatum-29</c:v>
                </c:pt>
                <c:pt idx="259">
                  <c:v>sp-29</c:v>
                </c:pt>
                <c:pt idx="260">
                  <c:v>sp-30</c:v>
                </c:pt>
                <c:pt idx="261">
                  <c:v>ingens-30</c:v>
                </c:pt>
                <c:pt idx="262">
                  <c:v>peregrina-30</c:v>
                </c:pt>
                <c:pt idx="263">
                  <c:v>baroni-31</c:v>
                </c:pt>
                <c:pt idx="264">
                  <c:v>cf-pseudocarone-31</c:v>
                </c:pt>
                <c:pt idx="265">
                  <c:v>cf-petraeum-31</c:v>
                </c:pt>
                <c:pt idx="266">
                  <c:v>ernesti-31</c:v>
                </c:pt>
                <c:pt idx="267">
                  <c:v>nitidus-31</c:v>
                </c:pt>
                <c:pt idx="268">
                  <c:v>acutifolium-31</c:v>
                </c:pt>
                <c:pt idx="269">
                  <c:v>bovinaefolium-31</c:v>
                </c:pt>
                <c:pt idx="270">
                  <c:v>brasiliensis-31</c:v>
                </c:pt>
                <c:pt idx="271">
                  <c:v>capote-31</c:v>
                </c:pt>
                <c:pt idx="272">
                  <c:v>millei-31</c:v>
                </c:pt>
                <c:pt idx="273">
                  <c:v>stenophyllum-31</c:v>
                </c:pt>
                <c:pt idx="274">
                  <c:v>laxiflora-31</c:v>
                </c:pt>
                <c:pt idx="275">
                  <c:v>santalinus-31</c:v>
                </c:pt>
                <c:pt idx="276">
                  <c:v>sp-31</c:v>
                </c:pt>
                <c:pt idx="277">
                  <c:v>crassifolia-33</c:v>
                </c:pt>
                <c:pt idx="278">
                  <c:v>lilloi-35</c:v>
                </c:pt>
                <c:pt idx="279">
                  <c:v>tonduzii-35</c:v>
                </c:pt>
                <c:pt idx="280">
                  <c:v>cf-ivorensis-35</c:v>
                </c:pt>
                <c:pt idx="281">
                  <c:v>begoniifolia-36</c:v>
                </c:pt>
                <c:pt idx="282">
                  <c:v>glaucescens-36</c:v>
                </c:pt>
                <c:pt idx="283">
                  <c:v>calophylloidea-37</c:v>
                </c:pt>
                <c:pt idx="284">
                  <c:v>aerosa-38</c:v>
                </c:pt>
                <c:pt idx="285">
                  <c:v>rostrifolia-38</c:v>
                </c:pt>
                <c:pt idx="286">
                  <c:v>koralensis-42</c:v>
                </c:pt>
                <c:pt idx="287">
                  <c:v>caribaea-42</c:v>
                </c:pt>
                <c:pt idx="288">
                  <c:v>sellowiana-45</c:v>
                </c:pt>
                <c:pt idx="289">
                  <c:v>riedelianum-47</c:v>
                </c:pt>
                <c:pt idx="290">
                  <c:v>ramiflora-50</c:v>
                </c:pt>
                <c:pt idx="291">
                  <c:v>surumuensis-50</c:v>
                </c:pt>
                <c:pt idx="292">
                  <c:v>venosa-50</c:v>
                </c:pt>
                <c:pt idx="293">
                  <c:v>amazonica-53</c:v>
                </c:pt>
                <c:pt idx="294">
                  <c:v>floribunda-59</c:v>
                </c:pt>
                <c:pt idx="295">
                  <c:v>perata-4</c:v>
                </c:pt>
                <c:pt idx="296">
                  <c:v>angustata-7</c:v>
                </c:pt>
                <c:pt idx="297">
                  <c:v>bilbergii-7</c:v>
                </c:pt>
                <c:pt idx="298">
                  <c:v>heterotricha-7</c:v>
                </c:pt>
                <c:pt idx="299">
                  <c:v>longipes-7</c:v>
                </c:pt>
                <c:pt idx="300">
                  <c:v>palmeri-7</c:v>
                </c:pt>
                <c:pt idx="301">
                  <c:v>sauvallei-7</c:v>
                </c:pt>
                <c:pt idx="302">
                  <c:v>purusana-13</c:v>
                </c:pt>
                <c:pt idx="303">
                  <c:v>duckel-15</c:v>
                </c:pt>
                <c:pt idx="304">
                  <c:v>rodriguesii-15</c:v>
                </c:pt>
                <c:pt idx="305">
                  <c:v>floribunda-15</c:v>
                </c:pt>
                <c:pt idx="306">
                  <c:v>fritschii-15</c:v>
                </c:pt>
                <c:pt idx="307">
                  <c:v>minutiflora-15</c:v>
                </c:pt>
                <c:pt idx="308">
                  <c:v>ovalifolia-15</c:v>
                </c:pt>
                <c:pt idx="309">
                  <c:v>benthamiana-16</c:v>
                </c:pt>
                <c:pt idx="310">
                  <c:v>argentea-17</c:v>
                </c:pt>
                <c:pt idx="311">
                  <c:v>batocana-20</c:v>
                </c:pt>
                <c:pt idx="312">
                  <c:v>rubrivenium-22</c:v>
                </c:pt>
                <c:pt idx="313">
                  <c:v>lanceolata-26</c:v>
                </c:pt>
                <c:pt idx="314">
                  <c:v>krukovii-26</c:v>
                </c:pt>
                <c:pt idx="315">
                  <c:v>amara-27</c:v>
                </c:pt>
                <c:pt idx="316">
                  <c:v>rhododendrifolia-27</c:v>
                </c:pt>
                <c:pt idx="317">
                  <c:v>cochinchinensis-29</c:v>
                </c:pt>
                <c:pt idx="318">
                  <c:v>sappan-29</c:v>
                </c:pt>
                <c:pt idx="319">
                  <c:v>ferruginea-29</c:v>
                </c:pt>
                <c:pt idx="320">
                  <c:v>martii-29</c:v>
                </c:pt>
                <c:pt idx="321">
                  <c:v>glabrifolia-29</c:v>
                </c:pt>
                <c:pt idx="322">
                  <c:v>aff-ferrea-29</c:v>
                </c:pt>
                <c:pt idx="323">
                  <c:v>vogelianum-29</c:v>
                </c:pt>
                <c:pt idx="324">
                  <c:v>bracatinga-30</c:v>
                </c:pt>
                <c:pt idx="325">
                  <c:v>peregrina-30</c:v>
                </c:pt>
                <c:pt idx="326">
                  <c:v>louvelii-31</c:v>
                </c:pt>
                <c:pt idx="327">
                  <c:v>toxicaria-31</c:v>
                </c:pt>
                <c:pt idx="328">
                  <c:v>albiflorus-31</c:v>
                </c:pt>
                <c:pt idx="329">
                  <c:v>ehrenbergii-31</c:v>
                </c:pt>
                <c:pt idx="330">
                  <c:v>longistylus-31</c:v>
                </c:pt>
                <c:pt idx="331">
                  <c:v>oaxacensis-35</c:v>
                </c:pt>
                <c:pt idx="332">
                  <c:v>gemina-36</c:v>
                </c:pt>
                <c:pt idx="333">
                  <c:v>gomelleira-36</c:v>
                </c:pt>
                <c:pt idx="334">
                  <c:v>ramiflora-36</c:v>
                </c:pt>
                <c:pt idx="335">
                  <c:v>regularis-36</c:v>
                </c:pt>
                <c:pt idx="336">
                  <c:v>tapajozensis-36</c:v>
                </c:pt>
                <c:pt idx="337">
                  <c:v>multinervia-37</c:v>
                </c:pt>
                <c:pt idx="338">
                  <c:v>tenuifolia-48</c:v>
                </c:pt>
                <c:pt idx="339">
                  <c:v>obtusifolia-50</c:v>
                </c:pt>
                <c:pt idx="340">
                  <c:v>sp-50</c:v>
                </c:pt>
                <c:pt idx="341">
                  <c:v>glomerata-50</c:v>
                </c:pt>
                <c:pt idx="342">
                  <c:v>aff-gongrijpii-50</c:v>
                </c:pt>
                <c:pt idx="343">
                  <c:v>jariensis-50</c:v>
                </c:pt>
                <c:pt idx="344">
                  <c:v>procera-50</c:v>
                </c:pt>
                <c:pt idx="345">
                  <c:v>oppositifolia-50</c:v>
                </c:pt>
                <c:pt idx="346">
                  <c:v>amara-51</c:v>
                </c:pt>
                <c:pt idx="347">
                  <c:v>bequaertii-53</c:v>
                </c:pt>
                <c:pt idx="348">
                  <c:v>obidensis-59</c:v>
                </c:pt>
                <c:pt idx="349">
                  <c:v>olivaceum-4</c:v>
                </c:pt>
                <c:pt idx="350">
                  <c:v>sessiliflora-4</c:v>
                </c:pt>
                <c:pt idx="351">
                  <c:v>chrysotricha-7</c:v>
                </c:pt>
                <c:pt idx="352">
                  <c:v>dielsiana-13</c:v>
                </c:pt>
                <c:pt idx="353">
                  <c:v>canescens-15</c:v>
                </c:pt>
                <c:pt idx="354">
                  <c:v>davillaefolia-15</c:v>
                </c:pt>
                <c:pt idx="355">
                  <c:v>paraensis-15</c:v>
                </c:pt>
                <c:pt idx="356">
                  <c:v>inophyllum-16</c:v>
                </c:pt>
                <c:pt idx="357">
                  <c:v>ochroprumna-17</c:v>
                </c:pt>
                <c:pt idx="358">
                  <c:v>avicennioides-17</c:v>
                </c:pt>
                <c:pt idx="359">
                  <c:v>oreadum-17</c:v>
                </c:pt>
                <c:pt idx="360">
                  <c:v>fasciculata-26</c:v>
                </c:pt>
                <c:pt idx="361">
                  <c:v>macrothyrsus-26</c:v>
                </c:pt>
                <c:pt idx="362">
                  <c:v>pretiosa-26</c:v>
                </c:pt>
                <c:pt idx="363">
                  <c:v>nobile-26</c:v>
                </c:pt>
                <c:pt idx="364">
                  <c:v>amazonica-27</c:v>
                </c:pt>
                <c:pt idx="365">
                  <c:v>pedicellata-27</c:v>
                </c:pt>
                <c:pt idx="366">
                  <c:v>ferrea-29</c:v>
                </c:pt>
                <c:pt idx="367">
                  <c:v>granadillo-29</c:v>
                </c:pt>
                <c:pt idx="368">
                  <c:v>paniculata-29</c:v>
                </c:pt>
                <c:pt idx="369">
                  <c:v>igneiflora-30</c:v>
                </c:pt>
                <c:pt idx="370">
                  <c:v>sp-30</c:v>
                </c:pt>
                <c:pt idx="371">
                  <c:v>nigra-31</c:v>
                </c:pt>
                <c:pt idx="372">
                  <c:v>blaini-31</c:v>
                </c:pt>
                <c:pt idx="373">
                  <c:v>margaritensis-31</c:v>
                </c:pt>
                <c:pt idx="374">
                  <c:v>aculeatum-31</c:v>
                </c:pt>
                <c:pt idx="375">
                  <c:v>ovata-32</c:v>
                </c:pt>
                <c:pt idx="376">
                  <c:v>montana-35</c:v>
                </c:pt>
                <c:pt idx="377">
                  <c:v>utile-36</c:v>
                </c:pt>
                <c:pt idx="378">
                  <c:v>alicastrum-36</c:v>
                </c:pt>
                <c:pt idx="379">
                  <c:v>alba-36</c:v>
                </c:pt>
                <c:pt idx="380">
                  <c:v>archeri-36</c:v>
                </c:pt>
                <c:pt idx="381">
                  <c:v>paraensis-36</c:v>
                </c:pt>
                <c:pt idx="382">
                  <c:v>venosa-37</c:v>
                </c:pt>
                <c:pt idx="383">
                  <c:v>muricata-38</c:v>
                </c:pt>
                <c:pt idx="384">
                  <c:v>altissima-39</c:v>
                </c:pt>
                <c:pt idx="385">
                  <c:v>krukovii-50</c:v>
                </c:pt>
                <c:pt idx="386">
                  <c:v>sp-50</c:v>
                </c:pt>
                <c:pt idx="387">
                  <c:v>trigonosperma-50</c:v>
                </c:pt>
                <c:pt idx="388">
                  <c:v>pachycarpa-50</c:v>
                </c:pt>
                <c:pt idx="389">
                  <c:v>trinerve-57</c:v>
                </c:pt>
                <c:pt idx="390">
                  <c:v>pneumatophora-4</c:v>
                </c:pt>
                <c:pt idx="391">
                  <c:v>camporum-4</c:v>
                </c:pt>
                <c:pt idx="392">
                  <c:v>pallida-7</c:v>
                </c:pt>
                <c:pt idx="393">
                  <c:v>sp-13</c:v>
                </c:pt>
                <c:pt idx="394">
                  <c:v>engleri-15</c:v>
                </c:pt>
                <c:pt idx="395">
                  <c:v>oxycarpa-17</c:v>
                </c:pt>
                <c:pt idx="396">
                  <c:v>arbuscula-17</c:v>
                </c:pt>
                <c:pt idx="397">
                  <c:v>crassiramea-17</c:v>
                </c:pt>
                <c:pt idx="398">
                  <c:v>sp-22</c:v>
                </c:pt>
                <c:pt idx="399">
                  <c:v>multiflora-26</c:v>
                </c:pt>
                <c:pt idx="400">
                  <c:v>grata-27</c:v>
                </c:pt>
                <c:pt idx="401">
                  <c:v>amazonum-27</c:v>
                </c:pt>
                <c:pt idx="402">
                  <c:v>xylocarpa-29</c:v>
                </c:pt>
                <c:pt idx="403">
                  <c:v>cavipes-29</c:v>
                </c:pt>
                <c:pt idx="404">
                  <c:v>gonoacantha-30</c:v>
                </c:pt>
                <c:pt idx="405">
                  <c:v>loritensis-30</c:v>
                </c:pt>
                <c:pt idx="406">
                  <c:v>arbutifolia-31</c:v>
                </c:pt>
                <c:pt idx="407">
                  <c:v>alata-31</c:v>
                </c:pt>
                <c:pt idx="408">
                  <c:v>domingensis-31</c:v>
                </c:pt>
                <c:pt idx="409">
                  <c:v>incorruptible-31</c:v>
                </c:pt>
                <c:pt idx="410">
                  <c:v>parinarioides-36</c:v>
                </c:pt>
                <c:pt idx="411">
                  <c:v>racemosa-36</c:v>
                </c:pt>
                <c:pt idx="412">
                  <c:v>erythrosticta-36</c:v>
                </c:pt>
                <c:pt idx="413">
                  <c:v>gracilis-37</c:v>
                </c:pt>
                <c:pt idx="414">
                  <c:v>guatemalensis-37</c:v>
                </c:pt>
                <c:pt idx="415">
                  <c:v>loretensis-37</c:v>
                </c:pt>
                <c:pt idx="416">
                  <c:v>gardneriana-50</c:v>
                </c:pt>
                <c:pt idx="417">
                  <c:v>macrocarpa-50</c:v>
                </c:pt>
                <c:pt idx="418">
                  <c:v>alata-53</c:v>
                </c:pt>
                <c:pt idx="419">
                  <c:v>calucina-3</c:v>
                </c:pt>
                <c:pt idx="420">
                  <c:v>egensis-15</c:v>
                </c:pt>
                <c:pt idx="421">
                  <c:v>hispidula-15</c:v>
                </c:pt>
                <c:pt idx="422">
                  <c:v>altissima-17</c:v>
                </c:pt>
                <c:pt idx="423">
                  <c:v>gulanensis-17</c:v>
                </c:pt>
                <c:pt idx="424">
                  <c:v>kilimandsharica-17</c:v>
                </c:pt>
                <c:pt idx="425">
                  <c:v>obovata-17</c:v>
                </c:pt>
                <c:pt idx="426">
                  <c:v>prunoides-17</c:v>
                </c:pt>
                <c:pt idx="427">
                  <c:v>seriocarpa-17</c:v>
                </c:pt>
                <c:pt idx="428">
                  <c:v>wchinocarpus-22</c:v>
                </c:pt>
                <c:pt idx="429">
                  <c:v>macrocarpa-24</c:v>
                </c:pt>
                <c:pt idx="430">
                  <c:v>appelii-26</c:v>
                </c:pt>
                <c:pt idx="431">
                  <c:v>pisi-26</c:v>
                </c:pt>
                <c:pt idx="432">
                  <c:v>reticulata-26</c:v>
                </c:pt>
                <c:pt idx="433">
                  <c:v>pachysepala-27</c:v>
                </c:pt>
                <c:pt idx="434">
                  <c:v>rhomboidea-29</c:v>
                </c:pt>
                <c:pt idx="435">
                  <c:v>multijuga-29</c:v>
                </c:pt>
                <c:pt idx="436">
                  <c:v>stilbocarpa-29</c:v>
                </c:pt>
                <c:pt idx="437">
                  <c:v>contortisiliquum-30</c:v>
                </c:pt>
                <c:pt idx="438">
                  <c:v>velutina-30</c:v>
                </c:pt>
                <c:pt idx="439">
                  <c:v>plystachyum-30</c:v>
                </c:pt>
                <c:pt idx="440">
                  <c:v>pterocarpifolia-31</c:v>
                </c:pt>
                <c:pt idx="441">
                  <c:v>benthamianus-31</c:v>
                </c:pt>
                <c:pt idx="442">
                  <c:v>sanctae-marthae-31</c:v>
                </c:pt>
                <c:pt idx="443">
                  <c:v>carica-36</c:v>
                </c:pt>
                <c:pt idx="444">
                  <c:v>cf-costata-38</c:v>
                </c:pt>
                <c:pt idx="445">
                  <c:v>feijoi-38</c:v>
                </c:pt>
                <c:pt idx="446">
                  <c:v>patrisii-38</c:v>
                </c:pt>
                <c:pt idx="447">
                  <c:v>tinctoria-46</c:v>
                </c:pt>
                <c:pt idx="448">
                  <c:v>pariry-50</c:v>
                </c:pt>
                <c:pt idx="449">
                  <c:v>elata-50</c:v>
                </c:pt>
                <c:pt idx="450">
                  <c:v>filipes-50</c:v>
                </c:pt>
                <c:pt idx="451">
                  <c:v>ephedrantha-50</c:v>
                </c:pt>
                <c:pt idx="452">
                  <c:v>procera-50</c:v>
                </c:pt>
                <c:pt idx="453">
                  <c:v>coulteri-60</c:v>
                </c:pt>
                <c:pt idx="454">
                  <c:v>conspicua-7</c:v>
                </c:pt>
                <c:pt idx="455">
                  <c:v>elongata-15</c:v>
                </c:pt>
                <c:pt idx="456">
                  <c:v>hostmanni-15</c:v>
                </c:pt>
                <c:pt idx="457">
                  <c:v>longifolia-16</c:v>
                </c:pt>
                <c:pt idx="458">
                  <c:v>procera-17</c:v>
                </c:pt>
                <c:pt idx="459">
                  <c:v>guianensis-21</c:v>
                </c:pt>
                <c:pt idx="460">
                  <c:v>decurrens-26</c:v>
                </c:pt>
                <c:pt idx="461">
                  <c:v>macrosperma-27</c:v>
                </c:pt>
                <c:pt idx="462">
                  <c:v>rorida-27</c:v>
                </c:pt>
                <c:pt idx="463">
                  <c:v>hians-27</c:v>
                </c:pt>
                <c:pt idx="464">
                  <c:v>molaris-29</c:v>
                </c:pt>
                <c:pt idx="465">
                  <c:v>parvifolia-29</c:v>
                </c:pt>
                <c:pt idx="466">
                  <c:v>corymbosa-29</c:v>
                </c:pt>
                <c:pt idx="467">
                  <c:v>cf-excelsa-30</c:v>
                </c:pt>
                <c:pt idx="468">
                  <c:v>rigida-30</c:v>
                </c:pt>
                <c:pt idx="469">
                  <c:v>leucopterium-31</c:v>
                </c:pt>
                <c:pt idx="470">
                  <c:v>lilacinum-31</c:v>
                </c:pt>
                <c:pt idx="471">
                  <c:v>cf-cambodianus-31</c:v>
                </c:pt>
                <c:pt idx="472">
                  <c:v>cf-macrocarpa-31</c:v>
                </c:pt>
                <c:pt idx="473">
                  <c:v>crispa-33</c:v>
                </c:pt>
                <c:pt idx="474">
                  <c:v>intermedia-33</c:v>
                </c:pt>
                <c:pt idx="475">
                  <c:v>cf-macrophylla-35</c:v>
                </c:pt>
                <c:pt idx="476">
                  <c:v>brevifolia-36</c:v>
                </c:pt>
                <c:pt idx="477">
                  <c:v>floribunda-39</c:v>
                </c:pt>
                <c:pt idx="478">
                  <c:v>sinense-55</c:v>
                </c:pt>
                <c:pt idx="479">
                  <c:v>gomesianum-4</c:v>
                </c:pt>
                <c:pt idx="480">
                  <c:v>lowii-4</c:v>
                </c:pt>
                <c:pt idx="481">
                  <c:v>capitata-7</c:v>
                </c:pt>
                <c:pt idx="482">
                  <c:v>cf-catinga-7</c:v>
                </c:pt>
                <c:pt idx="483">
                  <c:v>cf-rufescens-7</c:v>
                </c:pt>
                <c:pt idx="484">
                  <c:v>ellipticum-9</c:v>
                </c:pt>
                <c:pt idx="485">
                  <c:v>egensis-15</c:v>
                </c:pt>
                <c:pt idx="486">
                  <c:v>australis-17</c:v>
                </c:pt>
                <c:pt idx="487">
                  <c:v>chocharronia-17</c:v>
                </c:pt>
                <c:pt idx="488">
                  <c:v>pyrifoli-17</c:v>
                </c:pt>
                <c:pt idx="489">
                  <c:v>uviferum-18</c:v>
                </c:pt>
                <c:pt idx="490">
                  <c:v>pseudodentata-21</c:v>
                </c:pt>
                <c:pt idx="491">
                  <c:v>pterocarpa-25</c:v>
                </c:pt>
                <c:pt idx="492">
                  <c:v>curpidata-26</c:v>
                </c:pt>
                <c:pt idx="493">
                  <c:v>laevis-26</c:v>
                </c:pt>
                <c:pt idx="494">
                  <c:v>barcellensis-26</c:v>
                </c:pt>
                <c:pt idx="495">
                  <c:v>dissimilis-26</c:v>
                </c:pt>
                <c:pt idx="496">
                  <c:v>surinamensis-27</c:v>
                </c:pt>
                <c:pt idx="497">
                  <c:v>bracteata-29</c:v>
                </c:pt>
                <c:pt idx="498">
                  <c:v>oblongifolia-29</c:v>
                </c:pt>
                <c:pt idx="499">
                  <c:v>cf-arborea-30</c:v>
                </c:pt>
                <c:pt idx="500">
                  <c:v>flava-30</c:v>
                </c:pt>
                <c:pt idx="501">
                  <c:v>cf-margaritensis-31</c:v>
                </c:pt>
                <c:pt idx="502">
                  <c:v>sp-31</c:v>
                </c:pt>
                <c:pt idx="503">
                  <c:v>parviflora-31</c:v>
                </c:pt>
                <c:pt idx="504">
                  <c:v>spicata-33</c:v>
                </c:pt>
                <c:pt idx="505">
                  <c:v>chamissoana-34</c:v>
                </c:pt>
                <c:pt idx="506">
                  <c:v>lactescens-36</c:v>
                </c:pt>
                <c:pt idx="507">
                  <c:v>hispida-50</c:v>
                </c:pt>
                <c:pt idx="508">
                  <c:v>plicata-50</c:v>
                </c:pt>
                <c:pt idx="509">
                  <c:v>horsfieldii-53</c:v>
                </c:pt>
                <c:pt idx="510">
                  <c:v>incana-7</c:v>
                </c:pt>
                <c:pt idx="511">
                  <c:v>hispidula-15</c:v>
                </c:pt>
                <c:pt idx="512">
                  <c:v>micrantha-15</c:v>
                </c:pt>
                <c:pt idx="513">
                  <c:v>mollis-15</c:v>
                </c:pt>
                <c:pt idx="514">
                  <c:v>acuminata-17</c:v>
                </c:pt>
                <c:pt idx="515">
                  <c:v>bialata-17</c:v>
                </c:pt>
                <c:pt idx="516">
                  <c:v>mespiliformis-20</c:v>
                </c:pt>
                <c:pt idx="517">
                  <c:v>cordiformis-25</c:v>
                </c:pt>
                <c:pt idx="518">
                  <c:v>longifolia-26</c:v>
                </c:pt>
                <c:pt idx="519">
                  <c:v>pallida-26</c:v>
                </c:pt>
                <c:pt idx="520">
                  <c:v>guianensis-27</c:v>
                </c:pt>
                <c:pt idx="521">
                  <c:v>iquitesensis-27</c:v>
                </c:pt>
                <c:pt idx="522">
                  <c:v>cuanzensis-29</c:v>
                </c:pt>
                <c:pt idx="523">
                  <c:v>psilophylla-29</c:v>
                </c:pt>
                <c:pt idx="524">
                  <c:v>reticulata-29</c:v>
                </c:pt>
                <c:pt idx="525">
                  <c:v>decussata-30</c:v>
                </c:pt>
                <c:pt idx="526">
                  <c:v>tocantina-30</c:v>
                </c:pt>
                <c:pt idx="527">
                  <c:v>robiniifolium-31</c:v>
                </c:pt>
                <c:pt idx="528">
                  <c:v>duckei-31</c:v>
                </c:pt>
                <c:pt idx="529">
                  <c:v>grandiflora-35</c:v>
                </c:pt>
                <c:pt idx="530">
                  <c:v>parvifolia-40</c:v>
                </c:pt>
                <c:pt idx="531">
                  <c:v>egensis-50</c:v>
                </c:pt>
                <c:pt idx="532">
                  <c:v>divaricata-57</c:v>
                </c:pt>
                <c:pt idx="533">
                  <c:v>insignis-7</c:v>
                </c:pt>
                <c:pt idx="534">
                  <c:v>tessmannii-13</c:v>
                </c:pt>
                <c:pt idx="535">
                  <c:v>gardneriana-16</c:v>
                </c:pt>
                <c:pt idx="536">
                  <c:v>tanibouca-17</c:v>
                </c:pt>
                <c:pt idx="537">
                  <c:v>velutina-17</c:v>
                </c:pt>
                <c:pt idx="538">
                  <c:v>spathulata-21</c:v>
                </c:pt>
                <c:pt idx="539">
                  <c:v>mexicana-25</c:v>
                </c:pt>
                <c:pt idx="540">
                  <c:v>amara-26</c:v>
                </c:pt>
                <c:pt idx="541">
                  <c:v>aciphylla-26</c:v>
                </c:pt>
                <c:pt idx="542">
                  <c:v>obtecta-27</c:v>
                </c:pt>
                <c:pt idx="543">
                  <c:v>paraensis-29</c:v>
                </c:pt>
                <c:pt idx="544">
                  <c:v>oppositifolia-30</c:v>
                </c:pt>
                <c:pt idx="545">
                  <c:v>ulei-30</c:v>
                </c:pt>
                <c:pt idx="546">
                  <c:v>melanoxylon-31</c:v>
                </c:pt>
                <c:pt idx="547">
                  <c:v>castilloi-31</c:v>
                </c:pt>
                <c:pt idx="548">
                  <c:v>moritzianum-31</c:v>
                </c:pt>
                <c:pt idx="549">
                  <c:v>violaceum-31</c:v>
                </c:pt>
                <c:pt idx="550">
                  <c:v>fusca-31</c:v>
                </c:pt>
                <c:pt idx="551">
                  <c:v>leiocarpa-47</c:v>
                </c:pt>
                <c:pt idx="552">
                  <c:v>sp-50</c:v>
                </c:pt>
                <c:pt idx="553">
                  <c:v>venulosa-50</c:v>
                </c:pt>
                <c:pt idx="554">
                  <c:v>vestita-50</c:v>
                </c:pt>
                <c:pt idx="555">
                  <c:v>rigidum-4</c:v>
                </c:pt>
                <c:pt idx="556">
                  <c:v>stenocalyx-7</c:v>
                </c:pt>
                <c:pt idx="557">
                  <c:v>bicolor-10</c:v>
                </c:pt>
                <c:pt idx="558">
                  <c:v>pallida-15</c:v>
                </c:pt>
                <c:pt idx="559">
                  <c:v>citrina-17</c:v>
                </c:pt>
                <c:pt idx="560">
                  <c:v>copelandii-17</c:v>
                </c:pt>
                <c:pt idx="561">
                  <c:v>manii-17</c:v>
                </c:pt>
                <c:pt idx="562">
                  <c:v>cupularis-24</c:v>
                </c:pt>
                <c:pt idx="563">
                  <c:v>robusta-26</c:v>
                </c:pt>
                <c:pt idx="564">
                  <c:v>paraensis-27</c:v>
                </c:pt>
                <c:pt idx="565">
                  <c:v>microstachyum-30</c:v>
                </c:pt>
                <c:pt idx="566">
                  <c:v>tucurensis-31</c:v>
                </c:pt>
                <c:pt idx="567">
                  <c:v>petraeum-31</c:v>
                </c:pt>
                <c:pt idx="568">
                  <c:v>scleroxylon-31</c:v>
                </c:pt>
                <c:pt idx="569">
                  <c:v>mooniana-31</c:v>
                </c:pt>
                <c:pt idx="570">
                  <c:v>poeppigiana-33</c:v>
                </c:pt>
                <c:pt idx="571">
                  <c:v>procera-35</c:v>
                </c:pt>
                <c:pt idx="572">
                  <c:v>flavescens-38</c:v>
                </c:pt>
                <c:pt idx="573">
                  <c:v>solimoesensis-50</c:v>
                </c:pt>
                <c:pt idx="574">
                  <c:v>torta-50</c:v>
                </c:pt>
                <c:pt idx="575">
                  <c:v>excelsa-53</c:v>
                </c:pt>
                <c:pt idx="576">
                  <c:v>excelsa-15</c:v>
                </c:pt>
                <c:pt idx="577">
                  <c:v>racemosa-15</c:v>
                </c:pt>
                <c:pt idx="578">
                  <c:v>brasiliensis-16</c:v>
                </c:pt>
                <c:pt idx="579">
                  <c:v>myrlocarpa-17</c:v>
                </c:pt>
                <c:pt idx="580">
                  <c:v>itauba-26</c:v>
                </c:pt>
                <c:pt idx="581">
                  <c:v>obversa-27</c:v>
                </c:pt>
                <c:pt idx="582">
                  <c:v>truncata-27</c:v>
                </c:pt>
                <c:pt idx="583">
                  <c:v>guineense-29</c:v>
                </c:pt>
                <c:pt idx="584">
                  <c:v>nitida-30</c:v>
                </c:pt>
                <c:pt idx="585">
                  <c:v>albert-smithii-36</c:v>
                </c:pt>
                <c:pt idx="586">
                  <c:v>annulata-36</c:v>
                </c:pt>
                <c:pt idx="587">
                  <c:v>bougainvillei-36</c:v>
                </c:pt>
                <c:pt idx="588">
                  <c:v>pseudopsidium-38</c:v>
                </c:pt>
                <c:pt idx="589">
                  <c:v>oblanceolata-50</c:v>
                </c:pt>
                <c:pt idx="590">
                  <c:v>mildbraedii-53</c:v>
                </c:pt>
                <c:pt idx="591">
                  <c:v>vismiaefolia-59</c:v>
                </c:pt>
                <c:pt idx="592">
                  <c:v>latifolia-15</c:v>
                </c:pt>
                <c:pt idx="593">
                  <c:v>calamansanai-17</c:v>
                </c:pt>
                <c:pt idx="594">
                  <c:v>paniculata-17</c:v>
                </c:pt>
                <c:pt idx="595">
                  <c:v>dioica-26</c:v>
                </c:pt>
                <c:pt idx="596">
                  <c:v>lucida-26</c:v>
                </c:pt>
                <c:pt idx="597">
                  <c:v>organensis-26</c:v>
                </c:pt>
                <c:pt idx="598">
                  <c:v>puberula-26</c:v>
                </c:pt>
                <c:pt idx="599">
                  <c:v>corrugata-27</c:v>
                </c:pt>
                <c:pt idx="600">
                  <c:v>reticulosum-29</c:v>
                </c:pt>
                <c:pt idx="601">
                  <c:v>peregrina-30</c:v>
                </c:pt>
                <c:pt idx="602">
                  <c:v>purpurascens-31</c:v>
                </c:pt>
                <c:pt idx="603">
                  <c:v>latifolius-31</c:v>
                </c:pt>
                <c:pt idx="604">
                  <c:v>pubescens-31</c:v>
                </c:pt>
                <c:pt idx="605">
                  <c:v>divaricata-39</c:v>
                </c:pt>
                <c:pt idx="606">
                  <c:v>sp-50</c:v>
                </c:pt>
                <c:pt idx="607">
                  <c:v>malaccensis-56</c:v>
                </c:pt>
                <c:pt idx="608">
                  <c:v>surinamensis-59</c:v>
                </c:pt>
                <c:pt idx="609">
                  <c:v>impetiginosa-7</c:v>
                </c:pt>
                <c:pt idx="610">
                  <c:v>racemosa-15</c:v>
                </c:pt>
                <c:pt idx="611">
                  <c:v>macrophylla-17</c:v>
                </c:pt>
                <c:pt idx="612">
                  <c:v>palustris-29</c:v>
                </c:pt>
                <c:pt idx="613">
                  <c:v>multijuga-30</c:v>
                </c:pt>
                <c:pt idx="614">
                  <c:v>sp-31</c:v>
                </c:pt>
                <c:pt idx="615">
                  <c:v>madeirana-39</c:v>
                </c:pt>
                <c:pt idx="616">
                  <c:v>laevigata-50</c:v>
                </c:pt>
                <c:pt idx="617">
                  <c:v>forbesii-53</c:v>
                </c:pt>
                <c:pt idx="618">
                  <c:v>warburgianus-56</c:v>
                </c:pt>
                <c:pt idx="619">
                  <c:v>paraensis-59</c:v>
                </c:pt>
                <c:pt idx="620">
                  <c:v>barbata-7</c:v>
                </c:pt>
                <c:pt idx="621">
                  <c:v>bicornis-15</c:v>
                </c:pt>
                <c:pt idx="622">
                  <c:v>polyphylla-26</c:v>
                </c:pt>
                <c:pt idx="623">
                  <c:v>villosa-26</c:v>
                </c:pt>
                <c:pt idx="624">
                  <c:v>fragrantissima-26</c:v>
                </c:pt>
                <c:pt idx="625">
                  <c:v>juruensis-27</c:v>
                </c:pt>
                <c:pt idx="626">
                  <c:v>latifolium-27</c:v>
                </c:pt>
                <c:pt idx="627">
                  <c:v>africana-29</c:v>
                </c:pt>
                <c:pt idx="628">
                  <c:v>pachyloba-29</c:v>
                </c:pt>
                <c:pt idx="629">
                  <c:v>brauna-29</c:v>
                </c:pt>
                <c:pt idx="630">
                  <c:v>macrocarpa-30</c:v>
                </c:pt>
                <c:pt idx="631">
                  <c:v>alba-30</c:v>
                </c:pt>
                <c:pt idx="632">
                  <c:v>sp-31</c:v>
                </c:pt>
                <c:pt idx="633">
                  <c:v>spectabilis-31</c:v>
                </c:pt>
                <c:pt idx="634">
                  <c:v>giganteum-2</c:v>
                </c:pt>
                <c:pt idx="635">
                  <c:v>costaricense-12</c:v>
                </c:pt>
                <c:pt idx="636">
                  <c:v>glandulosa-15</c:v>
                </c:pt>
                <c:pt idx="637">
                  <c:v>urceolaris-15</c:v>
                </c:pt>
                <c:pt idx="638">
                  <c:v>esculenta-16</c:v>
                </c:pt>
                <c:pt idx="639">
                  <c:v>rubiginosa-17</c:v>
                </c:pt>
                <c:pt idx="640">
                  <c:v>obtusa-21</c:v>
                </c:pt>
                <c:pt idx="641">
                  <c:v>celativenia-24</c:v>
                </c:pt>
                <c:pt idx="642">
                  <c:v>paniculatum-29</c:v>
                </c:pt>
                <c:pt idx="643">
                  <c:v>polyphylla-30</c:v>
                </c:pt>
                <c:pt idx="644">
                  <c:v>dimorphandrum-31</c:v>
                </c:pt>
                <c:pt idx="645">
                  <c:v>acapulcensis-31</c:v>
                </c:pt>
                <c:pt idx="646">
                  <c:v>sp-38</c:v>
                </c:pt>
                <c:pt idx="647">
                  <c:v>neriifolius-43</c:v>
                </c:pt>
                <c:pt idx="648">
                  <c:v>guianensis-50</c:v>
                </c:pt>
                <c:pt idx="649">
                  <c:v>gutta-50</c:v>
                </c:pt>
                <c:pt idx="650">
                  <c:v>gracile-2</c:v>
                </c:pt>
                <c:pt idx="651">
                  <c:v>sciadophylla-13</c:v>
                </c:pt>
                <c:pt idx="652">
                  <c:v>arjuna-17</c:v>
                </c:pt>
                <c:pt idx="653">
                  <c:v>gigantifolia-17</c:v>
                </c:pt>
                <c:pt idx="654">
                  <c:v>sumatrana-17</c:v>
                </c:pt>
                <c:pt idx="655">
                  <c:v>latifolia-21</c:v>
                </c:pt>
                <c:pt idx="656">
                  <c:v>armeniaca-26</c:v>
                </c:pt>
                <c:pt idx="657">
                  <c:v>amazonum-26</c:v>
                </c:pt>
                <c:pt idx="658">
                  <c:v>sp-26</c:v>
                </c:pt>
                <c:pt idx="659">
                  <c:v>fendleri-31</c:v>
                </c:pt>
                <c:pt idx="660">
                  <c:v>gardneri-37</c:v>
                </c:pt>
                <c:pt idx="661">
                  <c:v>gorarema-41</c:v>
                </c:pt>
                <c:pt idx="662">
                  <c:v>sp-50</c:v>
                </c:pt>
                <c:pt idx="663">
                  <c:v>boonel-4</c:v>
                </c:pt>
                <c:pt idx="664">
                  <c:v>parvifolium-4</c:v>
                </c:pt>
                <c:pt idx="665">
                  <c:v>burseraefolia-11</c:v>
                </c:pt>
                <c:pt idx="666">
                  <c:v>solomonensis-17</c:v>
                </c:pt>
                <c:pt idx="667">
                  <c:v>tomentosa-17</c:v>
                </c:pt>
                <c:pt idx="668">
                  <c:v>guianensis-24</c:v>
                </c:pt>
                <c:pt idx="669">
                  <c:v>guianensis-27</c:v>
                </c:pt>
                <c:pt idx="670">
                  <c:v>ollaria-27</c:v>
                </c:pt>
                <c:pt idx="671">
                  <c:v>coriaria-29</c:v>
                </c:pt>
                <c:pt idx="672">
                  <c:v>paniculatum-30</c:v>
                </c:pt>
                <c:pt idx="673">
                  <c:v>panamense-31</c:v>
                </c:pt>
                <c:pt idx="674">
                  <c:v>bellengeri-36</c:v>
                </c:pt>
                <c:pt idx="675">
                  <c:v>calimana-36</c:v>
                </c:pt>
                <c:pt idx="676">
                  <c:v>spectabilis-7</c:v>
                </c:pt>
                <c:pt idx="677">
                  <c:v>grandis-17</c:v>
                </c:pt>
                <c:pt idx="678">
                  <c:v>edulis-17</c:v>
                </c:pt>
                <c:pt idx="679">
                  <c:v>microcarpa-17</c:v>
                </c:pt>
                <c:pt idx="680">
                  <c:v>polyantha-27</c:v>
                </c:pt>
                <c:pt idx="681">
                  <c:v>nitens-29</c:v>
                </c:pt>
                <c:pt idx="682">
                  <c:v>paniculata-29</c:v>
                </c:pt>
                <c:pt idx="683">
                  <c:v>virgiliodes-31</c:v>
                </c:pt>
                <c:pt idx="684">
                  <c:v>sericea-31</c:v>
                </c:pt>
                <c:pt idx="685">
                  <c:v>amazonica-33</c:v>
                </c:pt>
                <c:pt idx="686">
                  <c:v>paraensis-47</c:v>
                </c:pt>
                <c:pt idx="687">
                  <c:v>macrophyllus-56</c:v>
                </c:pt>
                <c:pt idx="688">
                  <c:v>spruceanum-2</c:v>
                </c:pt>
                <c:pt idx="689">
                  <c:v>lindaviana-26</c:v>
                </c:pt>
                <c:pt idx="690">
                  <c:v>sassafras-26</c:v>
                </c:pt>
                <c:pt idx="691">
                  <c:v>melanocarpa-29</c:v>
                </c:pt>
                <c:pt idx="692">
                  <c:v>arthropoda-33</c:v>
                </c:pt>
                <c:pt idx="693">
                  <c:v>angustifolia-36</c:v>
                </c:pt>
                <c:pt idx="694">
                  <c:v>reticulata-50</c:v>
                </c:pt>
                <c:pt idx="695">
                  <c:v>ulei-2</c:v>
                </c:pt>
                <c:pt idx="696">
                  <c:v>triplinervia-22</c:v>
                </c:pt>
                <c:pt idx="697">
                  <c:v>colubrina-30</c:v>
                </c:pt>
                <c:pt idx="698">
                  <c:v>pendula-30</c:v>
                </c:pt>
                <c:pt idx="699">
                  <c:v>pulcherrimum-30</c:v>
                </c:pt>
                <c:pt idx="700">
                  <c:v>sp-31</c:v>
                </c:pt>
                <c:pt idx="701">
                  <c:v>guyanensis-50</c:v>
                </c:pt>
                <c:pt idx="702">
                  <c:v>macrophylla-50</c:v>
                </c:pt>
                <c:pt idx="703">
                  <c:v>officinale-60</c:v>
                </c:pt>
                <c:pt idx="704">
                  <c:v>angustiloba-4</c:v>
                </c:pt>
                <c:pt idx="705">
                  <c:v>olanchana-25</c:v>
                </c:pt>
                <c:pt idx="706">
                  <c:v>aurea-26</c:v>
                </c:pt>
                <c:pt idx="707">
                  <c:v>excelsa-30</c:v>
                </c:pt>
                <c:pt idx="708">
                  <c:v>huberi-50</c:v>
                </c:pt>
                <c:pt idx="709">
                  <c:v>cruentum-4</c:v>
                </c:pt>
                <c:pt idx="710">
                  <c:v>morototoni-5</c:v>
                </c:pt>
                <c:pt idx="711">
                  <c:v>acuminata-16</c:v>
                </c:pt>
                <c:pt idx="712">
                  <c:v>lusitanica-18</c:v>
                </c:pt>
                <c:pt idx="713">
                  <c:v>sp-26</c:v>
                </c:pt>
                <c:pt idx="714">
                  <c:v>cyclocarpum-30</c:v>
                </c:pt>
                <c:pt idx="715">
                  <c:v>frondosus-31</c:v>
                </c:pt>
                <c:pt idx="716">
                  <c:v>glomerata-50</c:v>
                </c:pt>
                <c:pt idx="717">
                  <c:v>guianensis-59</c:v>
                </c:pt>
                <c:pt idx="718">
                  <c:v>heterophylla-7</c:v>
                </c:pt>
                <c:pt idx="719">
                  <c:v>dodecandra-10</c:v>
                </c:pt>
                <c:pt idx="720">
                  <c:v>oblongifolia-15</c:v>
                </c:pt>
                <c:pt idx="721">
                  <c:v>nitens-17</c:v>
                </c:pt>
                <c:pt idx="722">
                  <c:v>cf-platyloba-29</c:v>
                </c:pt>
                <c:pt idx="723">
                  <c:v>guianensis-31</c:v>
                </c:pt>
                <c:pt idx="724">
                  <c:v>gaudichaudii-36</c:v>
                </c:pt>
                <c:pt idx="725">
                  <c:v>oleifera-37</c:v>
                </c:pt>
                <c:pt idx="726">
                  <c:v>occidentale-2</c:v>
                </c:pt>
                <c:pt idx="727">
                  <c:v>sp-17</c:v>
                </c:pt>
                <c:pt idx="728">
                  <c:v>quanzensis-29</c:v>
                </c:pt>
                <c:pt idx="729">
                  <c:v>nitida-31</c:v>
                </c:pt>
                <c:pt idx="730">
                  <c:v>sericeus-31</c:v>
                </c:pt>
                <c:pt idx="731">
                  <c:v>sp-33</c:v>
                </c:pt>
                <c:pt idx="732">
                  <c:v>album-4</c:v>
                </c:pt>
                <c:pt idx="733">
                  <c:v>flavescens-7</c:v>
                </c:pt>
                <c:pt idx="734">
                  <c:v>januarensis-17</c:v>
                </c:pt>
                <c:pt idx="735">
                  <c:v>canella-26</c:v>
                </c:pt>
                <c:pt idx="736">
                  <c:v>sp-27</c:v>
                </c:pt>
                <c:pt idx="737">
                  <c:v>angustifolia-35</c:v>
                </c:pt>
                <c:pt idx="738">
                  <c:v>macrocarpa-50</c:v>
                </c:pt>
                <c:pt idx="739">
                  <c:v>ramiflorum-4</c:v>
                </c:pt>
                <c:pt idx="740">
                  <c:v>comintana-17</c:v>
                </c:pt>
                <c:pt idx="741">
                  <c:v>krukovii-27</c:v>
                </c:pt>
                <c:pt idx="742">
                  <c:v>fastigiatus-31</c:v>
                </c:pt>
                <c:pt idx="743">
                  <c:v>macrocarpon-4</c:v>
                </c:pt>
                <c:pt idx="744">
                  <c:v>americana-19</c:v>
                </c:pt>
                <c:pt idx="745">
                  <c:v>hondurensis-31</c:v>
                </c:pt>
                <c:pt idx="746">
                  <c:v>anthotheca-35</c:v>
                </c:pt>
                <c:pt idx="747">
                  <c:v>callophylla-36</c:v>
                </c:pt>
                <c:pt idx="748">
                  <c:v>densiflora-16</c:v>
                </c:pt>
                <c:pt idx="749">
                  <c:v>eburneum-4</c:v>
                </c:pt>
                <c:pt idx="750">
                  <c:v>lucida-17</c:v>
                </c:pt>
                <c:pt idx="751">
                  <c:v>navalium-26</c:v>
                </c:pt>
                <c:pt idx="752">
                  <c:v>bancanus-56</c:v>
                </c:pt>
                <c:pt idx="753">
                  <c:v>albifora-59</c:v>
                </c:pt>
                <c:pt idx="754">
                  <c:v>guatemalensis-59</c:v>
                </c:pt>
                <c:pt idx="755">
                  <c:v>morototoni-5</c:v>
                </c:pt>
                <c:pt idx="756">
                  <c:v>incana-15</c:v>
                </c:pt>
                <c:pt idx="757">
                  <c:v>officinalis-29</c:v>
                </c:pt>
                <c:pt idx="758">
                  <c:v>davisii-29</c:v>
                </c:pt>
                <c:pt idx="759">
                  <c:v>sp-29</c:v>
                </c:pt>
                <c:pt idx="760">
                  <c:v>macracantha-30</c:v>
                </c:pt>
                <c:pt idx="761">
                  <c:v>guianensis-40</c:v>
                </c:pt>
                <c:pt idx="762">
                  <c:v>sp-50</c:v>
                </c:pt>
                <c:pt idx="763">
                  <c:v>licaniaeflora-15</c:v>
                </c:pt>
                <c:pt idx="764">
                  <c:v>dichotoma-17</c:v>
                </c:pt>
                <c:pt idx="765">
                  <c:v>guianensis-26</c:v>
                </c:pt>
                <c:pt idx="766">
                  <c:v>villosum-31</c:v>
                </c:pt>
                <c:pt idx="767">
                  <c:v>melinonii-37</c:v>
                </c:pt>
                <c:pt idx="768">
                  <c:v>araucana-6</c:v>
                </c:pt>
                <c:pt idx="769">
                  <c:v>parviflora-24</c:v>
                </c:pt>
                <c:pt idx="770">
                  <c:v>avellanedae-7</c:v>
                </c:pt>
                <c:pt idx="771">
                  <c:v>caribaea-30</c:v>
                </c:pt>
                <c:pt idx="772">
                  <c:v>triandra-15</c:v>
                </c:pt>
                <c:pt idx="773">
                  <c:v>costulata-26</c:v>
                </c:pt>
                <c:pt idx="774">
                  <c:v>elata-31</c:v>
                </c:pt>
                <c:pt idx="775">
                  <c:v>macrocarpus-31</c:v>
                </c:pt>
                <c:pt idx="776">
                  <c:v>ovalifolia-39</c:v>
                </c:pt>
                <c:pt idx="777">
                  <c:v>macrophylla-50</c:v>
                </c:pt>
                <c:pt idx="778">
                  <c:v>excelsa-50</c:v>
                </c:pt>
                <c:pt idx="779">
                  <c:v>urundeuva-2</c:v>
                </c:pt>
                <c:pt idx="780">
                  <c:v>parviflora-15</c:v>
                </c:pt>
                <c:pt idx="781">
                  <c:v>chebula-17</c:v>
                </c:pt>
                <c:pt idx="782">
                  <c:v>sericea-17</c:v>
                </c:pt>
                <c:pt idx="783">
                  <c:v>jarana-27</c:v>
                </c:pt>
                <c:pt idx="784">
                  <c:v>guianense-36</c:v>
                </c:pt>
                <c:pt idx="785">
                  <c:v>macropylla-4</c:v>
                </c:pt>
                <c:pt idx="786">
                  <c:v>trilocularis-50</c:v>
                </c:pt>
                <c:pt idx="787">
                  <c:v>emarginata-15</c:v>
                </c:pt>
                <c:pt idx="788">
                  <c:v>benghalensis-36</c:v>
                </c:pt>
                <c:pt idx="789">
                  <c:v>tomentosum-4</c:v>
                </c:pt>
                <c:pt idx="790">
                  <c:v>balsamum-31</c:v>
                </c:pt>
                <c:pt idx="791">
                  <c:v>fluminensis-33</c:v>
                </c:pt>
                <c:pt idx="792">
                  <c:v>megalantha-10</c:v>
                </c:pt>
                <c:pt idx="793">
                  <c:v>apetala-15</c:v>
                </c:pt>
                <c:pt idx="794">
                  <c:v>odora-27</c:v>
                </c:pt>
                <c:pt idx="795">
                  <c:v>obionga-17</c:v>
                </c:pt>
                <c:pt idx="796">
                  <c:v>sp-21</c:v>
                </c:pt>
                <c:pt idx="797">
                  <c:v>pisonis-27</c:v>
                </c:pt>
                <c:pt idx="798">
                  <c:v>grandiflora-35</c:v>
                </c:pt>
                <c:pt idx="799">
                  <c:v>congensis-4</c:v>
                </c:pt>
                <c:pt idx="800">
                  <c:v>macrophylla-16</c:v>
                </c:pt>
                <c:pt idx="801">
                  <c:v>estrellensis-27</c:v>
                </c:pt>
                <c:pt idx="802">
                  <c:v>uncinatum-59</c:v>
                </c:pt>
                <c:pt idx="803">
                  <c:v>glauca-51</c:v>
                </c:pt>
                <c:pt idx="804">
                  <c:v>plurijaga-29</c:v>
                </c:pt>
                <c:pt idx="805">
                  <c:v>langsdorfii-29</c:v>
                </c:pt>
                <c:pt idx="806">
                  <c:v>altissima-36</c:v>
                </c:pt>
                <c:pt idx="807">
                  <c:v>britteniana-15</c:v>
                </c:pt>
                <c:pt idx="808">
                  <c:v>polita-15</c:v>
                </c:pt>
                <c:pt idx="809">
                  <c:v>arborea-58</c:v>
                </c:pt>
                <c:pt idx="810">
                  <c:v>sanctum-60</c:v>
                </c:pt>
                <c:pt idx="811">
                  <c:v>ochracea-7</c:v>
                </c:pt>
                <c:pt idx="812">
                  <c:v>senegalensis-35</c:v>
                </c:pt>
                <c:pt idx="813">
                  <c:v>costulata-4</c:v>
                </c:pt>
                <c:pt idx="814">
                  <c:v>cupressoides-18</c:v>
                </c:pt>
                <c:pt idx="815">
                  <c:v>heptaphyllum-11</c:v>
                </c:pt>
                <c:pt idx="816">
                  <c:v>coriacea-27</c:v>
                </c:pt>
                <c:pt idx="817">
                  <c:v>elongata-37</c:v>
                </c:pt>
                <c:pt idx="818">
                  <c:v>ivorensis-17</c:v>
                </c:pt>
                <c:pt idx="819">
                  <c:v>augustifolium-36</c:v>
                </c:pt>
                <c:pt idx="820">
                  <c:v>furcata-50</c:v>
                </c:pt>
                <c:pt idx="821">
                  <c:v>guianensis-36</c:v>
                </c:pt>
                <c:pt idx="822">
                  <c:v>araroba-31</c:v>
                </c:pt>
                <c:pt idx="823">
                  <c:v>anibifolia-50</c:v>
                </c:pt>
                <c:pt idx="824">
                  <c:v>neotropica-25</c:v>
                </c:pt>
                <c:pt idx="825">
                  <c:v>angolensis-31</c:v>
                </c:pt>
                <c:pt idx="826">
                  <c:v>pinnatum-31</c:v>
                </c:pt>
                <c:pt idx="827">
                  <c:v>odorata-31</c:v>
                </c:pt>
                <c:pt idx="828">
                  <c:v>grandis-38</c:v>
                </c:pt>
                <c:pt idx="829">
                  <c:v>sp-38</c:v>
                </c:pt>
                <c:pt idx="830">
                  <c:v>canjerana-35</c:v>
                </c:pt>
                <c:pt idx="831">
                  <c:v>robusta-44</c:v>
                </c:pt>
                <c:pt idx="832">
                  <c:v>superba-17</c:v>
                </c:pt>
                <c:pt idx="833">
                  <c:v>cinerea-25</c:v>
                </c:pt>
                <c:pt idx="834">
                  <c:v>glabra-35</c:v>
                </c:pt>
                <c:pt idx="835">
                  <c:v>humilis-35</c:v>
                </c:pt>
                <c:pt idx="836">
                  <c:v>mahagoni-35</c:v>
                </c:pt>
                <c:pt idx="837">
                  <c:v>pertusa-36</c:v>
                </c:pt>
                <c:pt idx="838">
                  <c:v>robustum-31</c:v>
                </c:pt>
                <c:pt idx="839">
                  <c:v>koschnyi-37</c:v>
                </c:pt>
                <c:pt idx="840">
                  <c:v>echinata-29</c:v>
                </c:pt>
                <c:pt idx="841">
                  <c:v>ipe-7</c:v>
                </c:pt>
                <c:pt idx="842">
                  <c:v>belerica-17</c:v>
                </c:pt>
                <c:pt idx="843">
                  <c:v>excelsa-27</c:v>
                </c:pt>
                <c:pt idx="844">
                  <c:v>sebifera-37</c:v>
                </c:pt>
                <c:pt idx="845">
                  <c:v>villosum-12</c:v>
                </c:pt>
                <c:pt idx="846">
                  <c:v>macrophylla-15</c:v>
                </c:pt>
                <c:pt idx="847">
                  <c:v>guianensis-29</c:v>
                </c:pt>
                <c:pt idx="848">
                  <c:v>legalis-27</c:v>
                </c:pt>
                <c:pt idx="849">
                  <c:v>catenaeformis-30</c:v>
                </c:pt>
                <c:pt idx="850">
                  <c:v>lecointel-2</c:v>
                </c:pt>
                <c:pt idx="851">
                  <c:v>chrysantha-7</c:v>
                </c:pt>
                <c:pt idx="852">
                  <c:v>sp-15</c:v>
                </c:pt>
                <c:pt idx="853">
                  <c:v>americana-29</c:v>
                </c:pt>
                <c:pt idx="854">
                  <c:v>surinamensis-37</c:v>
                </c:pt>
                <c:pt idx="855">
                  <c:v>desmanthum-4</c:v>
                </c:pt>
                <c:pt idx="856">
                  <c:v>cuspidata-54</c:v>
                </c:pt>
                <c:pt idx="857">
                  <c:v>angustifolia-6</c:v>
                </c:pt>
                <c:pt idx="858">
                  <c:v>potabile-36</c:v>
                </c:pt>
                <c:pt idx="859">
                  <c:v>sp-37</c:v>
                </c:pt>
                <c:pt idx="860">
                  <c:v>insignis-16</c:v>
                </c:pt>
                <c:pt idx="861">
                  <c:v>angolensis-31</c:v>
                </c:pt>
                <c:pt idx="862">
                  <c:v>amara-51</c:v>
                </c:pt>
                <c:pt idx="863">
                  <c:v>americana-10</c:v>
                </c:pt>
                <c:pt idx="864">
                  <c:v>octandra-15</c:v>
                </c:pt>
                <c:pt idx="865">
                  <c:v>rodiaei-26</c:v>
                </c:pt>
                <c:pt idx="866">
                  <c:v>polystachyum-31</c:v>
                </c:pt>
                <c:pt idx="867">
                  <c:v>arborea-30</c:v>
                </c:pt>
                <c:pt idx="868">
                  <c:v>acutifolium-36</c:v>
                </c:pt>
                <c:pt idx="869">
                  <c:v>rubra-26</c:v>
                </c:pt>
                <c:pt idx="870">
                  <c:v>macroloba-30</c:v>
                </c:pt>
                <c:pt idx="871">
                  <c:v>maximum-30</c:v>
                </c:pt>
                <c:pt idx="872">
                  <c:v>sp-50</c:v>
                </c:pt>
                <c:pt idx="873">
                  <c:v>guayacan-7</c:v>
                </c:pt>
                <c:pt idx="874">
                  <c:v>rubenscens-36</c:v>
                </c:pt>
                <c:pt idx="875">
                  <c:v>heteromorpha-15</c:v>
                </c:pt>
                <c:pt idx="876">
                  <c:v>cearensis-31</c:v>
                </c:pt>
                <c:pt idx="877">
                  <c:v>parahybum-29</c:v>
                </c:pt>
                <c:pt idx="878">
                  <c:v>scholaris-4</c:v>
                </c:pt>
                <c:pt idx="879">
                  <c:v>peroba-7</c:v>
                </c:pt>
                <c:pt idx="880">
                  <c:v>polyneuron-4</c:v>
                </c:pt>
                <c:pt idx="881">
                  <c:v>trichotoma-10</c:v>
                </c:pt>
                <c:pt idx="882">
                  <c:v>catappa-17</c:v>
                </c:pt>
                <c:pt idx="883">
                  <c:v>indicus-31</c:v>
                </c:pt>
                <c:pt idx="884">
                  <c:v>goeldiana-10</c:v>
                </c:pt>
                <c:pt idx="885">
                  <c:v>sp-26</c:v>
                </c:pt>
                <c:pt idx="886">
                  <c:v>porosa-26</c:v>
                </c:pt>
                <c:pt idx="887">
                  <c:v>capitata-17</c:v>
                </c:pt>
                <c:pt idx="888">
                  <c:v>hondurensis-59</c:v>
                </c:pt>
                <c:pt idx="889">
                  <c:v>excelsum-2</c:v>
                </c:pt>
                <c:pt idx="890">
                  <c:v>nitida-36</c:v>
                </c:pt>
                <c:pt idx="891">
                  <c:v>ferruginea-59</c:v>
                </c:pt>
                <c:pt idx="892">
                  <c:v>quinata-9</c:v>
                </c:pt>
                <c:pt idx="893">
                  <c:v>glabrum-12</c:v>
                </c:pt>
                <c:pt idx="894">
                  <c:v>megalocarpon-4</c:v>
                </c:pt>
                <c:pt idx="895">
                  <c:v>saman-30</c:v>
                </c:pt>
                <c:pt idx="896">
                  <c:v>bidentata-50</c:v>
                </c:pt>
                <c:pt idx="897">
                  <c:v>donneii-smithii-7</c:v>
                </c:pt>
                <c:pt idx="898">
                  <c:v>copaia-7</c:v>
                </c:pt>
                <c:pt idx="899">
                  <c:v>fissilis-35</c:v>
                </c:pt>
                <c:pt idx="900">
                  <c:v>glabra-14</c:v>
                </c:pt>
                <c:pt idx="901">
                  <c:v>rosea-7</c:v>
                </c:pt>
                <c:pt idx="902">
                  <c:v>zapotilla-50</c:v>
                </c:pt>
                <c:pt idx="903">
                  <c:v>serratifolia-7</c:v>
                </c:pt>
                <c:pt idx="904">
                  <c:v>leiocarpa-29</c:v>
                </c:pt>
                <c:pt idx="905">
                  <c:v>simaruba-11</c:v>
                </c:pt>
                <c:pt idx="906">
                  <c:v>guianensis-2</c:v>
                </c:pt>
                <c:pt idx="907">
                  <c:v>sp-17</c:v>
                </c:pt>
                <c:pt idx="908">
                  <c:v>guianense-29</c:v>
                </c:pt>
                <c:pt idx="909">
                  <c:v>amazonia-17</c:v>
                </c:pt>
                <c:pt idx="910">
                  <c:v>schomburgkii-30</c:v>
                </c:pt>
                <c:pt idx="911">
                  <c:v>graveolens-2</c:v>
                </c:pt>
                <c:pt idx="912">
                  <c:v>ivorensis-35</c:v>
                </c:pt>
                <c:pt idx="913">
                  <c:v>pentandra-9</c:v>
                </c:pt>
                <c:pt idx="914">
                  <c:v>alchorneoides-22</c:v>
                </c:pt>
                <c:pt idx="915">
                  <c:v>courbaril-29</c:v>
                </c:pt>
                <c:pt idx="916">
                  <c:v>crepitans-22</c:v>
                </c:pt>
                <c:pt idx="917">
                  <c:v>grandis-58</c:v>
                </c:pt>
                <c:pt idx="918">
                  <c:v>brasiliense-16</c:v>
                </c:pt>
                <c:pt idx="919">
                  <c:v>sp-4</c:v>
                </c:pt>
                <c:pt idx="920">
                  <c:v>odorata-35</c:v>
                </c:pt>
                <c:pt idx="921">
                  <c:v>guianensis-35</c:v>
                </c:pt>
                <c:pt idx="922">
                  <c:v>globulifera-16</c:v>
                </c:pt>
                <c:pt idx="923">
                  <c:v>macrophylla-35</c:v>
                </c:pt>
                <c:pt idx="924">
                  <c:v>alliodora-10</c:v>
                </c:pt>
              </c:strCache>
            </c:strRef>
          </c:cat>
          <c:val>
            <c:numRef>
              <c:f>Taxonomy!$I$2:$I$926</c:f>
              <c:numCache>
                <c:formatCode>#,##0</c:formatCode>
                <c:ptCount val="92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40</c:v>
                </c:pt>
                <c:pt idx="104">
                  <c:v>40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40</c:v>
                </c:pt>
                <c:pt idx="126">
                  <c:v>40</c:v>
                </c:pt>
                <c:pt idx="127">
                  <c:v>40</c:v>
                </c:pt>
                <c:pt idx="128">
                  <c:v>40</c:v>
                </c:pt>
                <c:pt idx="129">
                  <c:v>40</c:v>
                </c:pt>
                <c:pt idx="130">
                  <c:v>40</c:v>
                </c:pt>
                <c:pt idx="131">
                  <c:v>40</c:v>
                </c:pt>
                <c:pt idx="132">
                  <c:v>40</c:v>
                </c:pt>
                <c:pt idx="133">
                  <c:v>40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40</c:v>
                </c:pt>
                <c:pt idx="139">
                  <c:v>40</c:v>
                </c:pt>
                <c:pt idx="140">
                  <c:v>40</c:v>
                </c:pt>
                <c:pt idx="141">
                  <c:v>40</c:v>
                </c:pt>
                <c:pt idx="142">
                  <c:v>40</c:v>
                </c:pt>
                <c:pt idx="143">
                  <c:v>40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60</c:v>
                </c:pt>
                <c:pt idx="276">
                  <c:v>60</c:v>
                </c:pt>
                <c:pt idx="277">
                  <c:v>60</c:v>
                </c:pt>
                <c:pt idx="278">
                  <c:v>60</c:v>
                </c:pt>
                <c:pt idx="279">
                  <c:v>60</c:v>
                </c:pt>
                <c:pt idx="280">
                  <c:v>60</c:v>
                </c:pt>
                <c:pt idx="281">
                  <c:v>60</c:v>
                </c:pt>
                <c:pt idx="282">
                  <c:v>60</c:v>
                </c:pt>
                <c:pt idx="283">
                  <c:v>60</c:v>
                </c:pt>
                <c:pt idx="284">
                  <c:v>60</c:v>
                </c:pt>
                <c:pt idx="285">
                  <c:v>60</c:v>
                </c:pt>
                <c:pt idx="286">
                  <c:v>60</c:v>
                </c:pt>
                <c:pt idx="287">
                  <c:v>60</c:v>
                </c:pt>
                <c:pt idx="288">
                  <c:v>60</c:v>
                </c:pt>
                <c:pt idx="289">
                  <c:v>60</c:v>
                </c:pt>
                <c:pt idx="290">
                  <c:v>60</c:v>
                </c:pt>
                <c:pt idx="291">
                  <c:v>60</c:v>
                </c:pt>
                <c:pt idx="292">
                  <c:v>60</c:v>
                </c:pt>
                <c:pt idx="293">
                  <c:v>60</c:v>
                </c:pt>
                <c:pt idx="294">
                  <c:v>60</c:v>
                </c:pt>
                <c:pt idx="295">
                  <c:v>70</c:v>
                </c:pt>
                <c:pt idx="296">
                  <c:v>70</c:v>
                </c:pt>
                <c:pt idx="297">
                  <c:v>70</c:v>
                </c:pt>
                <c:pt idx="298">
                  <c:v>70</c:v>
                </c:pt>
                <c:pt idx="299">
                  <c:v>70</c:v>
                </c:pt>
                <c:pt idx="300">
                  <c:v>70</c:v>
                </c:pt>
                <c:pt idx="301">
                  <c:v>70</c:v>
                </c:pt>
                <c:pt idx="302">
                  <c:v>70</c:v>
                </c:pt>
                <c:pt idx="303">
                  <c:v>70</c:v>
                </c:pt>
                <c:pt idx="304">
                  <c:v>70</c:v>
                </c:pt>
                <c:pt idx="305">
                  <c:v>70</c:v>
                </c:pt>
                <c:pt idx="306">
                  <c:v>70</c:v>
                </c:pt>
                <c:pt idx="307">
                  <c:v>70</c:v>
                </c:pt>
                <c:pt idx="308">
                  <c:v>70</c:v>
                </c:pt>
                <c:pt idx="309">
                  <c:v>70</c:v>
                </c:pt>
                <c:pt idx="310">
                  <c:v>70</c:v>
                </c:pt>
                <c:pt idx="311">
                  <c:v>70</c:v>
                </c:pt>
                <c:pt idx="312">
                  <c:v>70</c:v>
                </c:pt>
                <c:pt idx="313">
                  <c:v>70</c:v>
                </c:pt>
                <c:pt idx="314">
                  <c:v>70</c:v>
                </c:pt>
                <c:pt idx="315">
                  <c:v>70</c:v>
                </c:pt>
                <c:pt idx="316">
                  <c:v>70</c:v>
                </c:pt>
                <c:pt idx="317">
                  <c:v>70</c:v>
                </c:pt>
                <c:pt idx="318">
                  <c:v>70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70</c:v>
                </c:pt>
                <c:pt idx="323">
                  <c:v>70</c:v>
                </c:pt>
                <c:pt idx="324">
                  <c:v>70</c:v>
                </c:pt>
                <c:pt idx="325">
                  <c:v>70</c:v>
                </c:pt>
                <c:pt idx="326">
                  <c:v>70</c:v>
                </c:pt>
                <c:pt idx="327">
                  <c:v>70</c:v>
                </c:pt>
                <c:pt idx="328">
                  <c:v>70</c:v>
                </c:pt>
                <c:pt idx="329">
                  <c:v>70</c:v>
                </c:pt>
                <c:pt idx="330">
                  <c:v>70</c:v>
                </c:pt>
                <c:pt idx="331">
                  <c:v>70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80</c:v>
                </c:pt>
                <c:pt idx="350">
                  <c:v>80</c:v>
                </c:pt>
                <c:pt idx="351">
                  <c:v>80</c:v>
                </c:pt>
                <c:pt idx="352">
                  <c:v>80</c:v>
                </c:pt>
                <c:pt idx="353">
                  <c:v>80</c:v>
                </c:pt>
                <c:pt idx="354">
                  <c:v>80</c:v>
                </c:pt>
                <c:pt idx="355">
                  <c:v>80</c:v>
                </c:pt>
                <c:pt idx="356">
                  <c:v>80</c:v>
                </c:pt>
                <c:pt idx="357">
                  <c:v>80</c:v>
                </c:pt>
                <c:pt idx="358">
                  <c:v>80</c:v>
                </c:pt>
                <c:pt idx="359">
                  <c:v>80</c:v>
                </c:pt>
                <c:pt idx="360">
                  <c:v>80</c:v>
                </c:pt>
                <c:pt idx="361">
                  <c:v>80</c:v>
                </c:pt>
                <c:pt idx="362">
                  <c:v>80</c:v>
                </c:pt>
                <c:pt idx="363">
                  <c:v>80</c:v>
                </c:pt>
                <c:pt idx="364">
                  <c:v>80</c:v>
                </c:pt>
                <c:pt idx="365">
                  <c:v>80</c:v>
                </c:pt>
                <c:pt idx="366">
                  <c:v>80</c:v>
                </c:pt>
                <c:pt idx="367">
                  <c:v>80</c:v>
                </c:pt>
                <c:pt idx="368">
                  <c:v>80</c:v>
                </c:pt>
                <c:pt idx="369">
                  <c:v>80</c:v>
                </c:pt>
                <c:pt idx="370">
                  <c:v>80</c:v>
                </c:pt>
                <c:pt idx="371">
                  <c:v>80</c:v>
                </c:pt>
                <c:pt idx="372">
                  <c:v>80</c:v>
                </c:pt>
                <c:pt idx="373">
                  <c:v>80</c:v>
                </c:pt>
                <c:pt idx="374">
                  <c:v>80</c:v>
                </c:pt>
                <c:pt idx="375">
                  <c:v>80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80</c:v>
                </c:pt>
                <c:pt idx="380">
                  <c:v>80</c:v>
                </c:pt>
                <c:pt idx="381">
                  <c:v>80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80</c:v>
                </c:pt>
                <c:pt idx="386">
                  <c:v>80</c:v>
                </c:pt>
                <c:pt idx="387">
                  <c:v>80</c:v>
                </c:pt>
                <c:pt idx="388">
                  <c:v>80</c:v>
                </c:pt>
                <c:pt idx="389">
                  <c:v>80</c:v>
                </c:pt>
                <c:pt idx="390">
                  <c:v>90</c:v>
                </c:pt>
                <c:pt idx="391">
                  <c:v>90</c:v>
                </c:pt>
                <c:pt idx="392">
                  <c:v>90</c:v>
                </c:pt>
                <c:pt idx="393">
                  <c:v>90</c:v>
                </c:pt>
                <c:pt idx="394">
                  <c:v>90</c:v>
                </c:pt>
                <c:pt idx="395">
                  <c:v>90</c:v>
                </c:pt>
                <c:pt idx="396">
                  <c:v>90</c:v>
                </c:pt>
                <c:pt idx="397">
                  <c:v>90</c:v>
                </c:pt>
                <c:pt idx="398">
                  <c:v>90</c:v>
                </c:pt>
                <c:pt idx="399">
                  <c:v>90</c:v>
                </c:pt>
                <c:pt idx="400">
                  <c:v>90</c:v>
                </c:pt>
                <c:pt idx="401">
                  <c:v>90</c:v>
                </c:pt>
                <c:pt idx="402">
                  <c:v>90</c:v>
                </c:pt>
                <c:pt idx="403">
                  <c:v>90</c:v>
                </c:pt>
                <c:pt idx="404">
                  <c:v>90</c:v>
                </c:pt>
                <c:pt idx="405">
                  <c:v>90</c:v>
                </c:pt>
                <c:pt idx="406">
                  <c:v>90</c:v>
                </c:pt>
                <c:pt idx="407">
                  <c:v>90</c:v>
                </c:pt>
                <c:pt idx="408">
                  <c:v>90</c:v>
                </c:pt>
                <c:pt idx="409">
                  <c:v>90</c:v>
                </c:pt>
                <c:pt idx="410">
                  <c:v>90</c:v>
                </c:pt>
                <c:pt idx="411">
                  <c:v>90</c:v>
                </c:pt>
                <c:pt idx="412">
                  <c:v>90</c:v>
                </c:pt>
                <c:pt idx="413">
                  <c:v>90</c:v>
                </c:pt>
                <c:pt idx="414">
                  <c:v>90</c:v>
                </c:pt>
                <c:pt idx="415">
                  <c:v>90</c:v>
                </c:pt>
                <c:pt idx="416">
                  <c:v>90</c:v>
                </c:pt>
                <c:pt idx="417">
                  <c:v>90</c:v>
                </c:pt>
                <c:pt idx="418">
                  <c:v>90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110</c:v>
                </c:pt>
                <c:pt idx="455">
                  <c:v>110</c:v>
                </c:pt>
                <c:pt idx="456">
                  <c:v>110</c:v>
                </c:pt>
                <c:pt idx="457">
                  <c:v>110</c:v>
                </c:pt>
                <c:pt idx="458">
                  <c:v>110</c:v>
                </c:pt>
                <c:pt idx="459">
                  <c:v>110</c:v>
                </c:pt>
                <c:pt idx="460">
                  <c:v>110</c:v>
                </c:pt>
                <c:pt idx="461">
                  <c:v>110</c:v>
                </c:pt>
                <c:pt idx="462">
                  <c:v>110</c:v>
                </c:pt>
                <c:pt idx="463">
                  <c:v>110</c:v>
                </c:pt>
                <c:pt idx="464">
                  <c:v>110</c:v>
                </c:pt>
                <c:pt idx="465">
                  <c:v>110</c:v>
                </c:pt>
                <c:pt idx="466">
                  <c:v>110</c:v>
                </c:pt>
                <c:pt idx="467">
                  <c:v>110</c:v>
                </c:pt>
                <c:pt idx="468">
                  <c:v>110</c:v>
                </c:pt>
                <c:pt idx="469">
                  <c:v>110</c:v>
                </c:pt>
                <c:pt idx="470">
                  <c:v>110</c:v>
                </c:pt>
                <c:pt idx="471">
                  <c:v>110</c:v>
                </c:pt>
                <c:pt idx="472">
                  <c:v>110</c:v>
                </c:pt>
                <c:pt idx="473">
                  <c:v>110</c:v>
                </c:pt>
                <c:pt idx="474">
                  <c:v>110</c:v>
                </c:pt>
                <c:pt idx="475">
                  <c:v>110</c:v>
                </c:pt>
                <c:pt idx="476">
                  <c:v>110</c:v>
                </c:pt>
                <c:pt idx="477">
                  <c:v>110</c:v>
                </c:pt>
                <c:pt idx="478">
                  <c:v>110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120</c:v>
                </c:pt>
                <c:pt idx="486">
                  <c:v>120</c:v>
                </c:pt>
                <c:pt idx="487">
                  <c:v>120</c:v>
                </c:pt>
                <c:pt idx="488">
                  <c:v>120</c:v>
                </c:pt>
                <c:pt idx="489">
                  <c:v>120</c:v>
                </c:pt>
                <c:pt idx="490">
                  <c:v>120</c:v>
                </c:pt>
                <c:pt idx="491">
                  <c:v>120</c:v>
                </c:pt>
                <c:pt idx="492">
                  <c:v>120</c:v>
                </c:pt>
                <c:pt idx="493">
                  <c:v>120</c:v>
                </c:pt>
                <c:pt idx="494">
                  <c:v>120</c:v>
                </c:pt>
                <c:pt idx="495">
                  <c:v>120</c:v>
                </c:pt>
                <c:pt idx="496">
                  <c:v>120</c:v>
                </c:pt>
                <c:pt idx="497">
                  <c:v>120</c:v>
                </c:pt>
                <c:pt idx="498">
                  <c:v>120</c:v>
                </c:pt>
                <c:pt idx="499">
                  <c:v>120</c:v>
                </c:pt>
                <c:pt idx="500">
                  <c:v>120</c:v>
                </c:pt>
                <c:pt idx="501">
                  <c:v>120</c:v>
                </c:pt>
                <c:pt idx="502">
                  <c:v>120</c:v>
                </c:pt>
                <c:pt idx="503">
                  <c:v>120</c:v>
                </c:pt>
                <c:pt idx="504">
                  <c:v>120</c:v>
                </c:pt>
                <c:pt idx="505">
                  <c:v>120</c:v>
                </c:pt>
                <c:pt idx="506">
                  <c:v>120</c:v>
                </c:pt>
                <c:pt idx="507">
                  <c:v>120</c:v>
                </c:pt>
                <c:pt idx="508">
                  <c:v>120</c:v>
                </c:pt>
                <c:pt idx="509">
                  <c:v>120</c:v>
                </c:pt>
                <c:pt idx="510">
                  <c:v>130</c:v>
                </c:pt>
                <c:pt idx="511">
                  <c:v>130</c:v>
                </c:pt>
                <c:pt idx="512">
                  <c:v>130</c:v>
                </c:pt>
                <c:pt idx="513">
                  <c:v>130</c:v>
                </c:pt>
                <c:pt idx="514">
                  <c:v>130</c:v>
                </c:pt>
                <c:pt idx="515">
                  <c:v>130</c:v>
                </c:pt>
                <c:pt idx="516">
                  <c:v>130</c:v>
                </c:pt>
                <c:pt idx="517">
                  <c:v>130</c:v>
                </c:pt>
                <c:pt idx="518">
                  <c:v>130</c:v>
                </c:pt>
                <c:pt idx="519">
                  <c:v>130</c:v>
                </c:pt>
                <c:pt idx="520">
                  <c:v>130</c:v>
                </c:pt>
                <c:pt idx="521">
                  <c:v>130</c:v>
                </c:pt>
                <c:pt idx="522">
                  <c:v>130</c:v>
                </c:pt>
                <c:pt idx="523">
                  <c:v>130</c:v>
                </c:pt>
                <c:pt idx="524">
                  <c:v>130</c:v>
                </c:pt>
                <c:pt idx="525">
                  <c:v>130</c:v>
                </c:pt>
                <c:pt idx="526">
                  <c:v>130</c:v>
                </c:pt>
                <c:pt idx="527">
                  <c:v>130</c:v>
                </c:pt>
                <c:pt idx="528">
                  <c:v>130</c:v>
                </c:pt>
                <c:pt idx="529">
                  <c:v>130</c:v>
                </c:pt>
                <c:pt idx="530">
                  <c:v>130</c:v>
                </c:pt>
                <c:pt idx="531">
                  <c:v>130</c:v>
                </c:pt>
                <c:pt idx="532">
                  <c:v>130</c:v>
                </c:pt>
                <c:pt idx="533">
                  <c:v>140</c:v>
                </c:pt>
                <c:pt idx="534">
                  <c:v>140</c:v>
                </c:pt>
                <c:pt idx="535">
                  <c:v>140</c:v>
                </c:pt>
                <c:pt idx="536">
                  <c:v>140</c:v>
                </c:pt>
                <c:pt idx="537">
                  <c:v>140</c:v>
                </c:pt>
                <c:pt idx="538">
                  <c:v>140</c:v>
                </c:pt>
                <c:pt idx="539">
                  <c:v>140</c:v>
                </c:pt>
                <c:pt idx="540">
                  <c:v>140</c:v>
                </c:pt>
                <c:pt idx="541">
                  <c:v>140</c:v>
                </c:pt>
                <c:pt idx="542">
                  <c:v>140</c:v>
                </c:pt>
                <c:pt idx="543">
                  <c:v>140</c:v>
                </c:pt>
                <c:pt idx="544">
                  <c:v>140</c:v>
                </c:pt>
                <c:pt idx="545">
                  <c:v>140</c:v>
                </c:pt>
                <c:pt idx="546">
                  <c:v>140</c:v>
                </c:pt>
                <c:pt idx="547">
                  <c:v>140</c:v>
                </c:pt>
                <c:pt idx="548">
                  <c:v>140</c:v>
                </c:pt>
                <c:pt idx="549">
                  <c:v>140</c:v>
                </c:pt>
                <c:pt idx="550">
                  <c:v>140</c:v>
                </c:pt>
                <c:pt idx="551">
                  <c:v>140</c:v>
                </c:pt>
                <c:pt idx="552">
                  <c:v>140</c:v>
                </c:pt>
                <c:pt idx="553">
                  <c:v>140</c:v>
                </c:pt>
                <c:pt idx="554">
                  <c:v>140</c:v>
                </c:pt>
                <c:pt idx="555">
                  <c:v>150</c:v>
                </c:pt>
                <c:pt idx="556">
                  <c:v>150</c:v>
                </c:pt>
                <c:pt idx="557">
                  <c:v>150</c:v>
                </c:pt>
                <c:pt idx="558">
                  <c:v>150</c:v>
                </c:pt>
                <c:pt idx="559">
                  <c:v>150</c:v>
                </c:pt>
                <c:pt idx="560">
                  <c:v>150</c:v>
                </c:pt>
                <c:pt idx="561">
                  <c:v>150</c:v>
                </c:pt>
                <c:pt idx="562">
                  <c:v>150</c:v>
                </c:pt>
                <c:pt idx="563">
                  <c:v>150</c:v>
                </c:pt>
                <c:pt idx="564">
                  <c:v>150</c:v>
                </c:pt>
                <c:pt idx="565">
                  <c:v>150</c:v>
                </c:pt>
                <c:pt idx="566">
                  <c:v>150</c:v>
                </c:pt>
                <c:pt idx="567">
                  <c:v>150</c:v>
                </c:pt>
                <c:pt idx="568">
                  <c:v>150</c:v>
                </c:pt>
                <c:pt idx="569">
                  <c:v>150</c:v>
                </c:pt>
                <c:pt idx="570">
                  <c:v>150</c:v>
                </c:pt>
                <c:pt idx="571">
                  <c:v>150</c:v>
                </c:pt>
                <c:pt idx="572">
                  <c:v>150</c:v>
                </c:pt>
                <c:pt idx="573">
                  <c:v>150</c:v>
                </c:pt>
                <c:pt idx="574">
                  <c:v>150</c:v>
                </c:pt>
                <c:pt idx="575">
                  <c:v>150</c:v>
                </c:pt>
                <c:pt idx="576">
                  <c:v>160</c:v>
                </c:pt>
                <c:pt idx="577">
                  <c:v>160</c:v>
                </c:pt>
                <c:pt idx="578">
                  <c:v>160</c:v>
                </c:pt>
                <c:pt idx="579">
                  <c:v>160</c:v>
                </c:pt>
                <c:pt idx="580">
                  <c:v>160</c:v>
                </c:pt>
                <c:pt idx="581">
                  <c:v>160</c:v>
                </c:pt>
                <c:pt idx="582">
                  <c:v>160</c:v>
                </c:pt>
                <c:pt idx="583">
                  <c:v>160</c:v>
                </c:pt>
                <c:pt idx="584">
                  <c:v>160</c:v>
                </c:pt>
                <c:pt idx="585">
                  <c:v>160</c:v>
                </c:pt>
                <c:pt idx="586">
                  <c:v>160</c:v>
                </c:pt>
                <c:pt idx="587">
                  <c:v>160</c:v>
                </c:pt>
                <c:pt idx="588">
                  <c:v>160</c:v>
                </c:pt>
                <c:pt idx="589">
                  <c:v>160</c:v>
                </c:pt>
                <c:pt idx="590">
                  <c:v>160</c:v>
                </c:pt>
                <c:pt idx="591">
                  <c:v>160</c:v>
                </c:pt>
                <c:pt idx="592">
                  <c:v>170</c:v>
                </c:pt>
                <c:pt idx="593">
                  <c:v>170</c:v>
                </c:pt>
                <c:pt idx="594">
                  <c:v>170</c:v>
                </c:pt>
                <c:pt idx="595">
                  <c:v>170</c:v>
                </c:pt>
                <c:pt idx="596">
                  <c:v>170</c:v>
                </c:pt>
                <c:pt idx="597">
                  <c:v>170</c:v>
                </c:pt>
                <c:pt idx="598">
                  <c:v>170</c:v>
                </c:pt>
                <c:pt idx="599">
                  <c:v>170</c:v>
                </c:pt>
                <c:pt idx="600">
                  <c:v>170</c:v>
                </c:pt>
                <c:pt idx="601">
                  <c:v>170</c:v>
                </c:pt>
                <c:pt idx="602">
                  <c:v>170</c:v>
                </c:pt>
                <c:pt idx="603">
                  <c:v>170</c:v>
                </c:pt>
                <c:pt idx="604">
                  <c:v>170</c:v>
                </c:pt>
                <c:pt idx="605">
                  <c:v>170</c:v>
                </c:pt>
                <c:pt idx="606">
                  <c:v>170</c:v>
                </c:pt>
                <c:pt idx="607">
                  <c:v>170</c:v>
                </c:pt>
                <c:pt idx="608">
                  <c:v>170</c:v>
                </c:pt>
                <c:pt idx="609">
                  <c:v>180</c:v>
                </c:pt>
                <c:pt idx="610">
                  <c:v>180</c:v>
                </c:pt>
                <c:pt idx="611">
                  <c:v>180</c:v>
                </c:pt>
                <c:pt idx="612">
                  <c:v>180</c:v>
                </c:pt>
                <c:pt idx="613">
                  <c:v>180</c:v>
                </c:pt>
                <c:pt idx="614">
                  <c:v>180</c:v>
                </c:pt>
                <c:pt idx="615">
                  <c:v>180</c:v>
                </c:pt>
                <c:pt idx="616">
                  <c:v>180</c:v>
                </c:pt>
                <c:pt idx="617">
                  <c:v>180</c:v>
                </c:pt>
                <c:pt idx="618">
                  <c:v>180</c:v>
                </c:pt>
                <c:pt idx="619">
                  <c:v>180</c:v>
                </c:pt>
                <c:pt idx="620">
                  <c:v>190</c:v>
                </c:pt>
                <c:pt idx="621">
                  <c:v>190</c:v>
                </c:pt>
                <c:pt idx="622">
                  <c:v>190</c:v>
                </c:pt>
                <c:pt idx="623">
                  <c:v>190</c:v>
                </c:pt>
                <c:pt idx="624">
                  <c:v>190</c:v>
                </c:pt>
                <c:pt idx="625">
                  <c:v>190</c:v>
                </c:pt>
                <c:pt idx="626">
                  <c:v>190</c:v>
                </c:pt>
                <c:pt idx="627">
                  <c:v>190</c:v>
                </c:pt>
                <c:pt idx="628">
                  <c:v>190</c:v>
                </c:pt>
                <c:pt idx="629">
                  <c:v>190</c:v>
                </c:pt>
                <c:pt idx="630">
                  <c:v>190</c:v>
                </c:pt>
                <c:pt idx="631">
                  <c:v>190</c:v>
                </c:pt>
                <c:pt idx="632">
                  <c:v>190</c:v>
                </c:pt>
                <c:pt idx="633">
                  <c:v>190</c:v>
                </c:pt>
                <c:pt idx="634">
                  <c:v>200</c:v>
                </c:pt>
                <c:pt idx="635">
                  <c:v>200</c:v>
                </c:pt>
                <c:pt idx="636">
                  <c:v>200</c:v>
                </c:pt>
                <c:pt idx="637">
                  <c:v>200</c:v>
                </c:pt>
                <c:pt idx="638">
                  <c:v>200</c:v>
                </c:pt>
                <c:pt idx="639">
                  <c:v>200</c:v>
                </c:pt>
                <c:pt idx="640">
                  <c:v>200</c:v>
                </c:pt>
                <c:pt idx="641">
                  <c:v>200</c:v>
                </c:pt>
                <c:pt idx="642">
                  <c:v>200</c:v>
                </c:pt>
                <c:pt idx="643">
                  <c:v>200</c:v>
                </c:pt>
                <c:pt idx="644">
                  <c:v>200</c:v>
                </c:pt>
                <c:pt idx="645">
                  <c:v>200</c:v>
                </c:pt>
                <c:pt idx="646">
                  <c:v>200</c:v>
                </c:pt>
                <c:pt idx="647">
                  <c:v>200</c:v>
                </c:pt>
                <c:pt idx="648">
                  <c:v>200</c:v>
                </c:pt>
                <c:pt idx="649">
                  <c:v>200</c:v>
                </c:pt>
                <c:pt idx="650">
                  <c:v>210</c:v>
                </c:pt>
                <c:pt idx="651">
                  <c:v>210</c:v>
                </c:pt>
                <c:pt idx="652">
                  <c:v>210</c:v>
                </c:pt>
                <c:pt idx="653">
                  <c:v>210</c:v>
                </c:pt>
                <c:pt idx="654">
                  <c:v>210</c:v>
                </c:pt>
                <c:pt idx="655">
                  <c:v>210</c:v>
                </c:pt>
                <c:pt idx="656">
                  <c:v>210</c:v>
                </c:pt>
                <c:pt idx="657">
                  <c:v>210</c:v>
                </c:pt>
                <c:pt idx="658">
                  <c:v>210</c:v>
                </c:pt>
                <c:pt idx="659">
                  <c:v>210</c:v>
                </c:pt>
                <c:pt idx="660">
                  <c:v>210</c:v>
                </c:pt>
                <c:pt idx="661">
                  <c:v>210</c:v>
                </c:pt>
                <c:pt idx="662">
                  <c:v>210</c:v>
                </c:pt>
                <c:pt idx="663">
                  <c:v>220</c:v>
                </c:pt>
                <c:pt idx="664">
                  <c:v>220</c:v>
                </c:pt>
                <c:pt idx="665">
                  <c:v>220</c:v>
                </c:pt>
                <c:pt idx="666">
                  <c:v>220</c:v>
                </c:pt>
                <c:pt idx="667">
                  <c:v>220</c:v>
                </c:pt>
                <c:pt idx="668">
                  <c:v>220</c:v>
                </c:pt>
                <c:pt idx="669">
                  <c:v>220</c:v>
                </c:pt>
                <c:pt idx="670">
                  <c:v>220</c:v>
                </c:pt>
                <c:pt idx="671">
                  <c:v>220</c:v>
                </c:pt>
                <c:pt idx="672">
                  <c:v>220</c:v>
                </c:pt>
                <c:pt idx="673">
                  <c:v>220</c:v>
                </c:pt>
                <c:pt idx="674">
                  <c:v>220</c:v>
                </c:pt>
                <c:pt idx="675">
                  <c:v>220</c:v>
                </c:pt>
                <c:pt idx="676">
                  <c:v>230</c:v>
                </c:pt>
                <c:pt idx="677">
                  <c:v>230</c:v>
                </c:pt>
                <c:pt idx="678">
                  <c:v>230</c:v>
                </c:pt>
                <c:pt idx="679">
                  <c:v>230</c:v>
                </c:pt>
                <c:pt idx="680">
                  <c:v>230</c:v>
                </c:pt>
                <c:pt idx="681">
                  <c:v>230</c:v>
                </c:pt>
                <c:pt idx="682">
                  <c:v>230</c:v>
                </c:pt>
                <c:pt idx="683">
                  <c:v>230</c:v>
                </c:pt>
                <c:pt idx="684">
                  <c:v>230</c:v>
                </c:pt>
                <c:pt idx="685">
                  <c:v>230</c:v>
                </c:pt>
                <c:pt idx="686">
                  <c:v>230</c:v>
                </c:pt>
                <c:pt idx="687">
                  <c:v>230</c:v>
                </c:pt>
                <c:pt idx="688">
                  <c:v>240</c:v>
                </c:pt>
                <c:pt idx="689">
                  <c:v>240</c:v>
                </c:pt>
                <c:pt idx="690">
                  <c:v>240</c:v>
                </c:pt>
                <c:pt idx="691">
                  <c:v>240</c:v>
                </c:pt>
                <c:pt idx="692">
                  <c:v>240</c:v>
                </c:pt>
                <c:pt idx="693">
                  <c:v>240</c:v>
                </c:pt>
                <c:pt idx="694">
                  <c:v>240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260</c:v>
                </c:pt>
                <c:pt idx="705">
                  <c:v>260</c:v>
                </c:pt>
                <c:pt idx="706">
                  <c:v>260</c:v>
                </c:pt>
                <c:pt idx="707">
                  <c:v>260</c:v>
                </c:pt>
                <c:pt idx="708">
                  <c:v>260</c:v>
                </c:pt>
                <c:pt idx="709">
                  <c:v>270</c:v>
                </c:pt>
                <c:pt idx="710">
                  <c:v>270</c:v>
                </c:pt>
                <c:pt idx="711">
                  <c:v>270</c:v>
                </c:pt>
                <c:pt idx="712">
                  <c:v>270</c:v>
                </c:pt>
                <c:pt idx="713">
                  <c:v>270</c:v>
                </c:pt>
                <c:pt idx="714">
                  <c:v>270</c:v>
                </c:pt>
                <c:pt idx="715">
                  <c:v>270</c:v>
                </c:pt>
                <c:pt idx="716">
                  <c:v>270</c:v>
                </c:pt>
                <c:pt idx="717">
                  <c:v>270</c:v>
                </c:pt>
                <c:pt idx="718">
                  <c:v>280</c:v>
                </c:pt>
                <c:pt idx="719">
                  <c:v>280</c:v>
                </c:pt>
                <c:pt idx="720">
                  <c:v>280</c:v>
                </c:pt>
                <c:pt idx="721">
                  <c:v>280</c:v>
                </c:pt>
                <c:pt idx="722">
                  <c:v>280</c:v>
                </c:pt>
                <c:pt idx="723">
                  <c:v>280</c:v>
                </c:pt>
                <c:pt idx="724">
                  <c:v>280</c:v>
                </c:pt>
                <c:pt idx="725">
                  <c:v>280</c:v>
                </c:pt>
                <c:pt idx="726">
                  <c:v>290</c:v>
                </c:pt>
                <c:pt idx="727">
                  <c:v>290</c:v>
                </c:pt>
                <c:pt idx="728">
                  <c:v>290</c:v>
                </c:pt>
                <c:pt idx="729">
                  <c:v>290</c:v>
                </c:pt>
                <c:pt idx="730">
                  <c:v>290</c:v>
                </c:pt>
                <c:pt idx="731">
                  <c:v>290</c:v>
                </c:pt>
                <c:pt idx="732">
                  <c:v>300</c:v>
                </c:pt>
                <c:pt idx="733">
                  <c:v>300</c:v>
                </c:pt>
                <c:pt idx="734">
                  <c:v>300</c:v>
                </c:pt>
                <c:pt idx="735">
                  <c:v>300</c:v>
                </c:pt>
                <c:pt idx="736">
                  <c:v>300</c:v>
                </c:pt>
                <c:pt idx="737">
                  <c:v>300</c:v>
                </c:pt>
                <c:pt idx="738">
                  <c:v>300</c:v>
                </c:pt>
                <c:pt idx="739">
                  <c:v>310</c:v>
                </c:pt>
                <c:pt idx="740">
                  <c:v>310</c:v>
                </c:pt>
                <c:pt idx="741">
                  <c:v>310</c:v>
                </c:pt>
                <c:pt idx="742">
                  <c:v>310</c:v>
                </c:pt>
                <c:pt idx="743">
                  <c:v>320</c:v>
                </c:pt>
                <c:pt idx="744">
                  <c:v>320</c:v>
                </c:pt>
                <c:pt idx="745">
                  <c:v>320</c:v>
                </c:pt>
                <c:pt idx="746">
                  <c:v>320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340</c:v>
                </c:pt>
                <c:pt idx="751">
                  <c:v>340</c:v>
                </c:pt>
                <c:pt idx="752">
                  <c:v>340</c:v>
                </c:pt>
                <c:pt idx="753">
                  <c:v>340</c:v>
                </c:pt>
                <c:pt idx="754">
                  <c:v>340</c:v>
                </c:pt>
                <c:pt idx="755">
                  <c:v>350</c:v>
                </c:pt>
                <c:pt idx="756">
                  <c:v>350</c:v>
                </c:pt>
                <c:pt idx="757">
                  <c:v>350</c:v>
                </c:pt>
                <c:pt idx="758">
                  <c:v>350</c:v>
                </c:pt>
                <c:pt idx="759">
                  <c:v>350</c:v>
                </c:pt>
                <c:pt idx="760">
                  <c:v>350</c:v>
                </c:pt>
                <c:pt idx="761">
                  <c:v>350</c:v>
                </c:pt>
                <c:pt idx="762">
                  <c:v>350</c:v>
                </c:pt>
                <c:pt idx="763">
                  <c:v>360</c:v>
                </c:pt>
                <c:pt idx="764">
                  <c:v>360</c:v>
                </c:pt>
                <c:pt idx="765">
                  <c:v>360</c:v>
                </c:pt>
                <c:pt idx="766">
                  <c:v>360</c:v>
                </c:pt>
                <c:pt idx="767">
                  <c:v>360</c:v>
                </c:pt>
                <c:pt idx="768">
                  <c:v>370</c:v>
                </c:pt>
                <c:pt idx="769">
                  <c:v>370</c:v>
                </c:pt>
                <c:pt idx="770">
                  <c:v>380</c:v>
                </c:pt>
                <c:pt idx="771">
                  <c:v>380</c:v>
                </c:pt>
                <c:pt idx="772">
                  <c:v>390</c:v>
                </c:pt>
                <c:pt idx="773">
                  <c:v>390</c:v>
                </c:pt>
                <c:pt idx="774">
                  <c:v>390</c:v>
                </c:pt>
                <c:pt idx="775">
                  <c:v>390</c:v>
                </c:pt>
                <c:pt idx="776">
                  <c:v>390</c:v>
                </c:pt>
                <c:pt idx="777">
                  <c:v>390</c:v>
                </c:pt>
                <c:pt idx="778">
                  <c:v>390</c:v>
                </c:pt>
                <c:pt idx="779">
                  <c:v>400</c:v>
                </c:pt>
                <c:pt idx="780">
                  <c:v>400</c:v>
                </c:pt>
                <c:pt idx="781">
                  <c:v>400</c:v>
                </c:pt>
                <c:pt idx="782">
                  <c:v>400</c:v>
                </c:pt>
                <c:pt idx="783">
                  <c:v>400</c:v>
                </c:pt>
                <c:pt idx="784">
                  <c:v>400</c:v>
                </c:pt>
                <c:pt idx="785">
                  <c:v>410</c:v>
                </c:pt>
                <c:pt idx="786">
                  <c:v>410</c:v>
                </c:pt>
                <c:pt idx="787">
                  <c:v>420</c:v>
                </c:pt>
                <c:pt idx="788">
                  <c:v>420</c:v>
                </c:pt>
                <c:pt idx="789">
                  <c:v>440</c:v>
                </c:pt>
                <c:pt idx="790">
                  <c:v>440</c:v>
                </c:pt>
                <c:pt idx="791">
                  <c:v>440</c:v>
                </c:pt>
                <c:pt idx="792">
                  <c:v>450</c:v>
                </c:pt>
                <c:pt idx="793">
                  <c:v>450</c:v>
                </c:pt>
                <c:pt idx="794">
                  <c:v>450</c:v>
                </c:pt>
                <c:pt idx="795">
                  <c:v>470</c:v>
                </c:pt>
                <c:pt idx="796">
                  <c:v>470</c:v>
                </c:pt>
                <c:pt idx="797">
                  <c:v>470</c:v>
                </c:pt>
                <c:pt idx="798">
                  <c:v>470</c:v>
                </c:pt>
                <c:pt idx="799">
                  <c:v>480</c:v>
                </c:pt>
                <c:pt idx="800">
                  <c:v>480</c:v>
                </c:pt>
                <c:pt idx="801">
                  <c:v>480</c:v>
                </c:pt>
                <c:pt idx="802">
                  <c:v>480</c:v>
                </c:pt>
                <c:pt idx="803">
                  <c:v>490</c:v>
                </c:pt>
                <c:pt idx="804">
                  <c:v>500</c:v>
                </c:pt>
                <c:pt idx="805">
                  <c:v>500</c:v>
                </c:pt>
                <c:pt idx="806">
                  <c:v>500</c:v>
                </c:pt>
                <c:pt idx="807">
                  <c:v>510</c:v>
                </c:pt>
                <c:pt idx="808">
                  <c:v>510</c:v>
                </c:pt>
                <c:pt idx="809">
                  <c:v>510</c:v>
                </c:pt>
                <c:pt idx="810">
                  <c:v>520</c:v>
                </c:pt>
                <c:pt idx="811">
                  <c:v>530</c:v>
                </c:pt>
                <c:pt idx="812">
                  <c:v>530</c:v>
                </c:pt>
                <c:pt idx="813">
                  <c:v>540</c:v>
                </c:pt>
                <c:pt idx="814">
                  <c:v>540</c:v>
                </c:pt>
                <c:pt idx="815">
                  <c:v>550</c:v>
                </c:pt>
                <c:pt idx="816">
                  <c:v>550</c:v>
                </c:pt>
                <c:pt idx="817">
                  <c:v>550</c:v>
                </c:pt>
                <c:pt idx="818">
                  <c:v>560</c:v>
                </c:pt>
                <c:pt idx="819">
                  <c:v>560</c:v>
                </c:pt>
                <c:pt idx="820">
                  <c:v>560</c:v>
                </c:pt>
                <c:pt idx="821">
                  <c:v>570</c:v>
                </c:pt>
                <c:pt idx="822">
                  <c:v>580</c:v>
                </c:pt>
                <c:pt idx="823">
                  <c:v>580</c:v>
                </c:pt>
                <c:pt idx="824">
                  <c:v>590</c:v>
                </c:pt>
                <c:pt idx="825">
                  <c:v>590</c:v>
                </c:pt>
                <c:pt idx="826">
                  <c:v>600</c:v>
                </c:pt>
                <c:pt idx="827">
                  <c:v>610</c:v>
                </c:pt>
                <c:pt idx="828">
                  <c:v>610</c:v>
                </c:pt>
                <c:pt idx="829">
                  <c:v>620</c:v>
                </c:pt>
                <c:pt idx="830">
                  <c:v>630</c:v>
                </c:pt>
                <c:pt idx="831">
                  <c:v>630</c:v>
                </c:pt>
                <c:pt idx="832">
                  <c:v>640</c:v>
                </c:pt>
                <c:pt idx="833">
                  <c:v>650</c:v>
                </c:pt>
                <c:pt idx="834">
                  <c:v>650</c:v>
                </c:pt>
                <c:pt idx="835">
                  <c:v>650</c:v>
                </c:pt>
                <c:pt idx="836">
                  <c:v>650</c:v>
                </c:pt>
                <c:pt idx="837">
                  <c:v>650</c:v>
                </c:pt>
                <c:pt idx="838">
                  <c:v>680</c:v>
                </c:pt>
                <c:pt idx="839">
                  <c:v>700</c:v>
                </c:pt>
                <c:pt idx="840">
                  <c:v>710</c:v>
                </c:pt>
                <c:pt idx="841">
                  <c:v>720</c:v>
                </c:pt>
                <c:pt idx="842">
                  <c:v>720</c:v>
                </c:pt>
                <c:pt idx="843">
                  <c:v>720</c:v>
                </c:pt>
                <c:pt idx="844">
                  <c:v>720</c:v>
                </c:pt>
                <c:pt idx="845">
                  <c:v>740</c:v>
                </c:pt>
                <c:pt idx="846">
                  <c:v>740</c:v>
                </c:pt>
                <c:pt idx="847">
                  <c:v>740</c:v>
                </c:pt>
                <c:pt idx="848">
                  <c:v>750</c:v>
                </c:pt>
                <c:pt idx="849">
                  <c:v>780</c:v>
                </c:pt>
                <c:pt idx="850">
                  <c:v>800</c:v>
                </c:pt>
                <c:pt idx="851">
                  <c:v>800</c:v>
                </c:pt>
                <c:pt idx="852">
                  <c:v>800</c:v>
                </c:pt>
                <c:pt idx="853">
                  <c:v>800</c:v>
                </c:pt>
                <c:pt idx="854">
                  <c:v>800</c:v>
                </c:pt>
                <c:pt idx="855">
                  <c:v>820</c:v>
                </c:pt>
                <c:pt idx="856">
                  <c:v>830</c:v>
                </c:pt>
                <c:pt idx="857">
                  <c:v>850</c:v>
                </c:pt>
                <c:pt idx="858">
                  <c:v>850</c:v>
                </c:pt>
                <c:pt idx="859">
                  <c:v>850</c:v>
                </c:pt>
                <c:pt idx="860">
                  <c:v>870</c:v>
                </c:pt>
                <c:pt idx="861">
                  <c:v>870</c:v>
                </c:pt>
                <c:pt idx="862">
                  <c:v>890</c:v>
                </c:pt>
                <c:pt idx="863">
                  <c:v>910</c:v>
                </c:pt>
                <c:pt idx="864">
                  <c:v>910</c:v>
                </c:pt>
                <c:pt idx="865">
                  <c:v>950</c:v>
                </c:pt>
                <c:pt idx="866">
                  <c:v>990</c:v>
                </c:pt>
                <c:pt idx="867">
                  <c:v>1010</c:v>
                </c:pt>
                <c:pt idx="868">
                  <c:v>1020</c:v>
                </c:pt>
                <c:pt idx="869">
                  <c:v>1090</c:v>
                </c:pt>
                <c:pt idx="870">
                  <c:v>1130</c:v>
                </c:pt>
                <c:pt idx="871">
                  <c:v>1150</c:v>
                </c:pt>
                <c:pt idx="872">
                  <c:v>1150</c:v>
                </c:pt>
                <c:pt idx="873">
                  <c:v>1190</c:v>
                </c:pt>
                <c:pt idx="874">
                  <c:v>1190</c:v>
                </c:pt>
                <c:pt idx="875">
                  <c:v>1210</c:v>
                </c:pt>
                <c:pt idx="876">
                  <c:v>1220</c:v>
                </c:pt>
                <c:pt idx="877">
                  <c:v>1240</c:v>
                </c:pt>
                <c:pt idx="878">
                  <c:v>1280</c:v>
                </c:pt>
                <c:pt idx="879">
                  <c:v>1300</c:v>
                </c:pt>
                <c:pt idx="880">
                  <c:v>1330</c:v>
                </c:pt>
                <c:pt idx="881">
                  <c:v>1340</c:v>
                </c:pt>
                <c:pt idx="882">
                  <c:v>1350</c:v>
                </c:pt>
                <c:pt idx="883">
                  <c:v>1380</c:v>
                </c:pt>
                <c:pt idx="884">
                  <c:v>1410</c:v>
                </c:pt>
                <c:pt idx="885">
                  <c:v>1420</c:v>
                </c:pt>
                <c:pt idx="886">
                  <c:v>1420</c:v>
                </c:pt>
                <c:pt idx="887">
                  <c:v>1480</c:v>
                </c:pt>
                <c:pt idx="888">
                  <c:v>1490</c:v>
                </c:pt>
                <c:pt idx="889">
                  <c:v>1500</c:v>
                </c:pt>
                <c:pt idx="890">
                  <c:v>1500</c:v>
                </c:pt>
                <c:pt idx="891">
                  <c:v>1540</c:v>
                </c:pt>
                <c:pt idx="892">
                  <c:v>1570</c:v>
                </c:pt>
                <c:pt idx="893">
                  <c:v>1570</c:v>
                </c:pt>
                <c:pt idx="894">
                  <c:v>1580</c:v>
                </c:pt>
                <c:pt idx="895">
                  <c:v>1600</c:v>
                </c:pt>
                <c:pt idx="896">
                  <c:v>1710</c:v>
                </c:pt>
                <c:pt idx="897">
                  <c:v>1730</c:v>
                </c:pt>
                <c:pt idx="898">
                  <c:v>1750</c:v>
                </c:pt>
                <c:pt idx="899">
                  <c:v>2110</c:v>
                </c:pt>
                <c:pt idx="900">
                  <c:v>2210</c:v>
                </c:pt>
                <c:pt idx="901">
                  <c:v>2250</c:v>
                </c:pt>
                <c:pt idx="902">
                  <c:v>2290</c:v>
                </c:pt>
                <c:pt idx="903">
                  <c:v>2300</c:v>
                </c:pt>
                <c:pt idx="904">
                  <c:v>2320</c:v>
                </c:pt>
                <c:pt idx="905">
                  <c:v>2380</c:v>
                </c:pt>
                <c:pt idx="906">
                  <c:v>2620</c:v>
                </c:pt>
                <c:pt idx="907">
                  <c:v>2820</c:v>
                </c:pt>
                <c:pt idx="908">
                  <c:v>3200</c:v>
                </c:pt>
                <c:pt idx="909">
                  <c:v>3270</c:v>
                </c:pt>
                <c:pt idx="910">
                  <c:v>3540</c:v>
                </c:pt>
                <c:pt idx="911">
                  <c:v>3620</c:v>
                </c:pt>
                <c:pt idx="912">
                  <c:v>3640</c:v>
                </c:pt>
                <c:pt idx="913">
                  <c:v>3660</c:v>
                </c:pt>
                <c:pt idx="914">
                  <c:v>3900</c:v>
                </c:pt>
                <c:pt idx="915">
                  <c:v>4010</c:v>
                </c:pt>
                <c:pt idx="916">
                  <c:v>4250</c:v>
                </c:pt>
                <c:pt idx="917">
                  <c:v>4390</c:v>
                </c:pt>
                <c:pt idx="918">
                  <c:v>5020</c:v>
                </c:pt>
                <c:pt idx="919">
                  <c:v>5200</c:v>
                </c:pt>
                <c:pt idx="920">
                  <c:v>5380</c:v>
                </c:pt>
                <c:pt idx="921">
                  <c:v>5600</c:v>
                </c:pt>
                <c:pt idx="922">
                  <c:v>6340</c:v>
                </c:pt>
                <c:pt idx="923">
                  <c:v>7330</c:v>
                </c:pt>
                <c:pt idx="924">
                  <c:v>11320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5-41AB-8E48-1F8439FA7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7921856"/>
        <c:axId val="1127922336"/>
      </c:barChart>
      <c:catAx>
        <c:axId val="112792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2336"/>
        <c:crosses val="autoZero"/>
        <c:auto val="1"/>
        <c:lblAlgn val="ctr"/>
        <c:lblOffset val="100"/>
        <c:noMultiLvlLbl val="0"/>
      </c:catAx>
      <c:valAx>
        <c:axId val="112792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1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Species by Observation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Taxonomy!$I$1</c:f>
              <c:strCache>
                <c:ptCount val="1"/>
                <c:pt idx="0">
                  <c:v> Nrows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elete val="1"/>
          </c:dLbls>
          <c:cat>
            <c:strRef>
              <c:f>Taxonomy!$H$2:$H$926</c:f>
              <c:strCache>
                <c:ptCount val="925"/>
                <c:pt idx="0">
                  <c:v>inundata-52</c:v>
                </c:pt>
                <c:pt idx="1">
                  <c:v>enneandra-15</c:v>
                </c:pt>
                <c:pt idx="2">
                  <c:v>cf-parvifolia-29</c:v>
                </c:pt>
                <c:pt idx="3">
                  <c:v>auriculata-30</c:v>
                </c:pt>
                <c:pt idx="4">
                  <c:v>ampelos-36</c:v>
                </c:pt>
                <c:pt idx="5">
                  <c:v>caballina-36</c:v>
                </c:pt>
                <c:pt idx="6">
                  <c:v>lambertii-43</c:v>
                </c:pt>
                <c:pt idx="7">
                  <c:v>tenulfolium-2</c:v>
                </c:pt>
                <c:pt idx="8">
                  <c:v>cf-guayacan-7</c:v>
                </c:pt>
                <c:pt idx="9">
                  <c:v>cf-heptaphilla-7</c:v>
                </c:pt>
                <c:pt idx="10">
                  <c:v>aff-simaruba-11</c:v>
                </c:pt>
                <c:pt idx="11">
                  <c:v>alata-17</c:v>
                </c:pt>
                <c:pt idx="12">
                  <c:v>quadrivalvis-21</c:v>
                </c:pt>
                <c:pt idx="13">
                  <c:v>peruviana-27</c:v>
                </c:pt>
                <c:pt idx="14">
                  <c:v>schlerocarpa-29</c:v>
                </c:pt>
                <c:pt idx="15">
                  <c:v>oleifera-28</c:v>
                </c:pt>
                <c:pt idx="16">
                  <c:v>laxiflorus-31</c:v>
                </c:pt>
                <c:pt idx="17">
                  <c:v>atropurpureus-31</c:v>
                </c:pt>
                <c:pt idx="18">
                  <c:v>neuroscapha-31</c:v>
                </c:pt>
                <c:pt idx="19">
                  <c:v>punctatus-31</c:v>
                </c:pt>
                <c:pt idx="20">
                  <c:v>whitfordii-31</c:v>
                </c:pt>
                <c:pt idx="21">
                  <c:v>amazonum-31</c:v>
                </c:pt>
                <c:pt idx="22">
                  <c:v>tinctoria-36</c:v>
                </c:pt>
                <c:pt idx="23">
                  <c:v>brasiliensis-38</c:v>
                </c:pt>
                <c:pt idx="24">
                  <c:v>clinocarpa-38</c:v>
                </c:pt>
                <c:pt idx="25">
                  <c:v>confusa-38</c:v>
                </c:pt>
                <c:pt idx="26">
                  <c:v>quadrijuga-38</c:v>
                </c:pt>
                <c:pt idx="27">
                  <c:v>riparia-38</c:v>
                </c:pt>
                <c:pt idx="28">
                  <c:v>spruceana-39</c:v>
                </c:pt>
                <c:pt idx="29">
                  <c:v>decorticans-50</c:v>
                </c:pt>
                <c:pt idx="30">
                  <c:v>ovata-50</c:v>
                </c:pt>
                <c:pt idx="31">
                  <c:v>myriantha-2</c:v>
                </c:pt>
                <c:pt idx="32">
                  <c:v>cylindrocarpon-4</c:v>
                </c:pt>
                <c:pt idx="33">
                  <c:v>melanocalix-4</c:v>
                </c:pt>
                <c:pt idx="34">
                  <c:v>monterol-4</c:v>
                </c:pt>
                <c:pt idx="35">
                  <c:v>rufescens-7</c:v>
                </c:pt>
                <c:pt idx="36">
                  <c:v>juranylana-13</c:v>
                </c:pt>
                <c:pt idx="37">
                  <c:v>obtusa-13</c:v>
                </c:pt>
                <c:pt idx="38">
                  <c:v>robusta-15</c:v>
                </c:pt>
                <c:pt idx="39">
                  <c:v>bracteatum-16</c:v>
                </c:pt>
                <c:pt idx="40">
                  <c:v>brownii-17</c:v>
                </c:pt>
                <c:pt idx="41">
                  <c:v>macroptera-17</c:v>
                </c:pt>
                <c:pt idx="42">
                  <c:v>pellucida-17</c:v>
                </c:pt>
                <c:pt idx="43">
                  <c:v>ruspolii-17</c:v>
                </c:pt>
                <c:pt idx="44">
                  <c:v>martiniana-26</c:v>
                </c:pt>
                <c:pt idx="45">
                  <c:v>glomerata-26</c:v>
                </c:pt>
                <c:pt idx="46">
                  <c:v>sp-26</c:v>
                </c:pt>
                <c:pt idx="47">
                  <c:v>corrugata-27</c:v>
                </c:pt>
                <c:pt idx="48">
                  <c:v>zabucaja-27</c:v>
                </c:pt>
                <c:pt idx="49">
                  <c:v>pulcherrima-29</c:v>
                </c:pt>
                <c:pt idx="50">
                  <c:v>ebano-29</c:v>
                </c:pt>
                <c:pt idx="51">
                  <c:v>maranhensis-29</c:v>
                </c:pt>
                <c:pt idx="52">
                  <c:v>sp-29</c:v>
                </c:pt>
                <c:pt idx="53">
                  <c:v>mangium-30</c:v>
                </c:pt>
                <c:pt idx="54">
                  <c:v>platycephala-30</c:v>
                </c:pt>
                <c:pt idx="55">
                  <c:v>foliolosa-30</c:v>
                </c:pt>
                <c:pt idx="56">
                  <c:v>polyphylla-30</c:v>
                </c:pt>
                <c:pt idx="57">
                  <c:v>greveana-31</c:v>
                </c:pt>
                <c:pt idx="58">
                  <c:v>latifolia-31</c:v>
                </c:pt>
                <c:pt idx="59">
                  <c:v>polyphylla-31</c:v>
                </c:pt>
                <c:pt idx="60">
                  <c:v>heterocarpum-31</c:v>
                </c:pt>
                <c:pt idx="61">
                  <c:v>michelianus-31</c:v>
                </c:pt>
                <c:pt idx="62">
                  <c:v>muehlenbergianus-31</c:v>
                </c:pt>
                <c:pt idx="63">
                  <c:v>rugosus-31</c:v>
                </c:pt>
                <c:pt idx="64">
                  <c:v>angustifolium-31</c:v>
                </c:pt>
                <c:pt idx="65">
                  <c:v>floribundum-31</c:v>
                </c:pt>
                <c:pt idx="66">
                  <c:v>grandifolium-31</c:v>
                </c:pt>
                <c:pt idx="67">
                  <c:v>latialatum-31</c:v>
                </c:pt>
                <c:pt idx="68">
                  <c:v>ulei-31</c:v>
                </c:pt>
                <c:pt idx="69">
                  <c:v>guedesii-35</c:v>
                </c:pt>
                <c:pt idx="70">
                  <c:v>maxima-36</c:v>
                </c:pt>
                <c:pt idx="71">
                  <c:v>nymphaeafolia-36</c:v>
                </c:pt>
                <c:pt idx="72">
                  <c:v>flexuosa-37</c:v>
                </c:pt>
                <c:pt idx="73">
                  <c:v>malaccensis-38</c:v>
                </c:pt>
                <c:pt idx="74">
                  <c:v>stipitata-38</c:v>
                </c:pt>
                <c:pt idx="75">
                  <c:v>aeruginosa-39</c:v>
                </c:pt>
                <c:pt idx="76">
                  <c:v>uberrima-39</c:v>
                </c:pt>
                <c:pt idx="77">
                  <c:v>lanceolata-50</c:v>
                </c:pt>
                <c:pt idx="78">
                  <c:v>purusiana-50</c:v>
                </c:pt>
                <c:pt idx="79">
                  <c:v>franciscana-50</c:v>
                </c:pt>
                <c:pt idx="80">
                  <c:v>gomphiifolia-50</c:v>
                </c:pt>
                <c:pt idx="81">
                  <c:v>laurifolia-50</c:v>
                </c:pt>
                <c:pt idx="82">
                  <c:v>pachycarpa-4</c:v>
                </c:pt>
                <c:pt idx="83">
                  <c:v>marcgravianum-4</c:v>
                </c:pt>
                <c:pt idx="84">
                  <c:v>dugandii-7</c:v>
                </c:pt>
                <c:pt idx="85">
                  <c:v>arborea-8</c:v>
                </c:pt>
                <c:pt idx="86">
                  <c:v>edule-12</c:v>
                </c:pt>
                <c:pt idx="87">
                  <c:v>sp-12</c:v>
                </c:pt>
                <c:pt idx="88">
                  <c:v>bureaniana-13</c:v>
                </c:pt>
                <c:pt idx="89">
                  <c:v>concolor-13</c:v>
                </c:pt>
                <c:pt idx="90">
                  <c:v>bullata-15</c:v>
                </c:pt>
                <c:pt idx="91">
                  <c:v>punctillata-15</c:v>
                </c:pt>
                <c:pt idx="92">
                  <c:v>kunthiana-15</c:v>
                </c:pt>
                <c:pt idx="93">
                  <c:v>piresii-15</c:v>
                </c:pt>
                <c:pt idx="94">
                  <c:v>rondonii-15</c:v>
                </c:pt>
                <c:pt idx="95">
                  <c:v>benzoin-17</c:v>
                </c:pt>
                <c:pt idx="96">
                  <c:v>ovocarpa-17</c:v>
                </c:pt>
                <c:pt idx="97">
                  <c:v>travancoricus-17</c:v>
                </c:pt>
                <c:pt idx="98">
                  <c:v>fendieriana-21</c:v>
                </c:pt>
                <c:pt idx="99">
                  <c:v>sapotifolia-23</c:v>
                </c:pt>
                <c:pt idx="100">
                  <c:v>cissiflora-26</c:v>
                </c:pt>
                <c:pt idx="101">
                  <c:v>canaliculata-26</c:v>
                </c:pt>
                <c:pt idx="102">
                  <c:v>caudata-26</c:v>
                </c:pt>
                <c:pt idx="103">
                  <c:v>maguireana-26</c:v>
                </c:pt>
                <c:pt idx="104">
                  <c:v>sericiflora-26</c:v>
                </c:pt>
                <c:pt idx="105">
                  <c:v>langsdortii-29</c:v>
                </c:pt>
                <c:pt idx="106">
                  <c:v>exaltata-29</c:v>
                </c:pt>
                <c:pt idx="107">
                  <c:v>hymenaefolia-29</c:v>
                </c:pt>
                <c:pt idx="108">
                  <c:v>chysophyllum-29</c:v>
                </c:pt>
                <c:pt idx="109">
                  <c:v>myrmecophila-29</c:v>
                </c:pt>
                <c:pt idx="110">
                  <c:v>cf. glomerosa-30</c:v>
                </c:pt>
                <c:pt idx="111">
                  <c:v>sp-30</c:v>
                </c:pt>
                <c:pt idx="112">
                  <c:v>adiantoides-30</c:v>
                </c:pt>
                <c:pt idx="113">
                  <c:v>glomerosa-30</c:v>
                </c:pt>
                <c:pt idx="114">
                  <c:v>barbatimao-30</c:v>
                </c:pt>
                <c:pt idx="115">
                  <c:v>coriaceum-30</c:v>
                </c:pt>
                <c:pt idx="116">
                  <c:v>madagascariensis-31</c:v>
                </c:pt>
                <c:pt idx="117">
                  <c:v>complicatum-31</c:v>
                </c:pt>
                <c:pt idx="118">
                  <c:v>crucisrubienae-31</c:v>
                </c:pt>
                <c:pt idx="119">
                  <c:v>arboreum-31</c:v>
                </c:pt>
                <c:pt idx="120">
                  <c:v>coriacea-33</c:v>
                </c:pt>
                <c:pt idx="121">
                  <c:v>obsersa-33</c:v>
                </c:pt>
                <c:pt idx="122">
                  <c:v>aurea-36</c:v>
                </c:pt>
                <c:pt idx="123">
                  <c:v>enormis-36</c:v>
                </c:pt>
                <c:pt idx="124">
                  <c:v>pulchelia-36</c:v>
                </c:pt>
                <c:pt idx="125">
                  <c:v>radula-36</c:v>
                </c:pt>
                <c:pt idx="126">
                  <c:v>retusa-36</c:v>
                </c:pt>
                <c:pt idx="127">
                  <c:v>carinata-37</c:v>
                </c:pt>
                <c:pt idx="128">
                  <c:v>macrocarpa-37</c:v>
                </c:pt>
                <c:pt idx="129">
                  <c:v>molissima-37</c:v>
                </c:pt>
                <c:pt idx="130">
                  <c:v>chartacea-38</c:v>
                </c:pt>
                <c:pt idx="131">
                  <c:v>egensis-38</c:v>
                </c:pt>
                <c:pt idx="132">
                  <c:v>florida-38</c:v>
                </c:pt>
                <c:pt idx="133">
                  <c:v>tapacumensis-38</c:v>
                </c:pt>
                <c:pt idx="134">
                  <c:v>krukovii-39</c:v>
                </c:pt>
                <c:pt idx="135">
                  <c:v>punctata-40</c:v>
                </c:pt>
                <c:pt idx="136">
                  <c:v>oocarpa-42</c:v>
                </c:pt>
                <c:pt idx="137">
                  <c:v>wightiana-48</c:v>
                </c:pt>
                <c:pt idx="138">
                  <c:v>platyphylla-50</c:v>
                </c:pt>
                <c:pt idx="139">
                  <c:v>aff-reticulata-50</c:v>
                </c:pt>
                <c:pt idx="140">
                  <c:v>cuspidata-50</c:v>
                </c:pt>
                <c:pt idx="141">
                  <c:v>lasiocarpa-50</c:v>
                </c:pt>
                <c:pt idx="142">
                  <c:v>trichopoda-50</c:v>
                </c:pt>
                <c:pt idx="143">
                  <c:v>sinensis-56</c:v>
                </c:pt>
                <c:pt idx="144">
                  <c:v>centrala-4</c:v>
                </c:pt>
                <c:pt idx="145">
                  <c:v>occidentale-4</c:v>
                </c:pt>
                <c:pt idx="146">
                  <c:v>subincanum-4</c:v>
                </c:pt>
                <c:pt idx="147">
                  <c:v>argentea-7</c:v>
                </c:pt>
                <c:pt idx="148">
                  <c:v>haemantha-7</c:v>
                </c:pt>
                <c:pt idx="149">
                  <c:v>leptopoda-7</c:v>
                </c:pt>
                <c:pt idx="150">
                  <c:v>rigida-7</c:v>
                </c:pt>
                <c:pt idx="151">
                  <c:v>duckel-15</c:v>
                </c:pt>
                <c:pt idx="152">
                  <c:v>latifolia-17</c:v>
                </c:pt>
                <c:pt idx="153">
                  <c:v>mauritiana-17</c:v>
                </c:pt>
                <c:pt idx="154">
                  <c:v>mollis-17</c:v>
                </c:pt>
                <c:pt idx="155">
                  <c:v>pocarpa-17</c:v>
                </c:pt>
                <c:pt idx="156">
                  <c:v>quintala-17</c:v>
                </c:pt>
                <c:pt idx="157">
                  <c:v>rhodesica-17</c:v>
                </c:pt>
                <c:pt idx="158">
                  <c:v>samoensis-17</c:v>
                </c:pt>
                <c:pt idx="159">
                  <c:v>steenisiana-17</c:v>
                </c:pt>
                <c:pt idx="160">
                  <c:v>durissima-21</c:v>
                </c:pt>
                <c:pt idx="161">
                  <c:v>reticulata-21</c:v>
                </c:pt>
                <c:pt idx="162">
                  <c:v>princeps-22</c:v>
                </c:pt>
                <c:pt idx="163">
                  <c:v>rosaeodora-26</c:v>
                </c:pt>
                <c:pt idx="164">
                  <c:v>nitida-26</c:v>
                </c:pt>
                <c:pt idx="165">
                  <c:v>froesii-26</c:v>
                </c:pt>
                <c:pt idx="166">
                  <c:v>globifera-26</c:v>
                </c:pt>
                <c:pt idx="167">
                  <c:v>marmellensis-26</c:v>
                </c:pt>
                <c:pt idx="168">
                  <c:v>froesii-27</c:v>
                </c:pt>
                <c:pt idx="169">
                  <c:v>matamata-27</c:v>
                </c:pt>
                <c:pt idx="170">
                  <c:v>gigantea-27</c:v>
                </c:pt>
                <c:pt idx="171">
                  <c:v>bipindensis-29</c:v>
                </c:pt>
                <c:pt idx="172">
                  <c:v>bahamensis-29</c:v>
                </c:pt>
                <c:pt idx="173">
                  <c:v>paraguariensis-29</c:v>
                </c:pt>
                <c:pt idx="174">
                  <c:v>sp-29</c:v>
                </c:pt>
                <c:pt idx="175">
                  <c:v>punctata-29</c:v>
                </c:pt>
                <c:pt idx="176">
                  <c:v>glomerosa-30</c:v>
                </c:pt>
                <c:pt idx="177">
                  <c:v>schomburgkii-30</c:v>
                </c:pt>
                <c:pt idx="178">
                  <c:v>pedicellare-30</c:v>
                </c:pt>
                <c:pt idx="179">
                  <c:v>excelsa-31</c:v>
                </c:pt>
                <c:pt idx="180">
                  <c:v>stevensonii-31</c:v>
                </c:pt>
                <c:pt idx="181">
                  <c:v>tricolor-31</c:v>
                </c:pt>
                <c:pt idx="182">
                  <c:v>capassa-31</c:v>
                </c:pt>
                <c:pt idx="183">
                  <c:v>cf-dipteroneurus-31</c:v>
                </c:pt>
                <c:pt idx="184">
                  <c:v>denutatus-31</c:v>
                </c:pt>
                <c:pt idx="185">
                  <c:v>hedyosmus-31</c:v>
                </c:pt>
                <c:pt idx="186">
                  <c:v>salvadorensis-31</c:v>
                </c:pt>
                <c:pt idx="187">
                  <c:v>amphymenium-31</c:v>
                </c:pt>
                <c:pt idx="188">
                  <c:v>sp-35</c:v>
                </c:pt>
                <c:pt idx="189">
                  <c:v>anthelmintica-36</c:v>
                </c:pt>
                <c:pt idx="190">
                  <c:v>asperrima-36</c:v>
                </c:pt>
                <c:pt idx="191">
                  <c:v>benjamina-36</c:v>
                </c:pt>
                <c:pt idx="192">
                  <c:v>capensis-36</c:v>
                </c:pt>
                <c:pt idx="193">
                  <c:v>glabrata-36</c:v>
                </c:pt>
                <c:pt idx="194">
                  <c:v>calophylla-37</c:v>
                </c:pt>
                <c:pt idx="195">
                  <c:v>multicostata-37</c:v>
                </c:pt>
                <c:pt idx="196">
                  <c:v>officinalis-37</c:v>
                </c:pt>
                <c:pt idx="197">
                  <c:v>pavanis-37</c:v>
                </c:pt>
                <c:pt idx="198">
                  <c:v>jambolana-38</c:v>
                </c:pt>
                <c:pt idx="199">
                  <c:v>macrocalyx-38</c:v>
                </c:pt>
                <c:pt idx="200">
                  <c:v>involucratus-38</c:v>
                </c:pt>
                <c:pt idx="201">
                  <c:v>cauliflora-39</c:v>
                </c:pt>
                <c:pt idx="202">
                  <c:v>macrophylla-39</c:v>
                </c:pt>
                <c:pt idx="203">
                  <c:v>sp-39</c:v>
                </c:pt>
                <c:pt idx="204">
                  <c:v>tristis-39</c:v>
                </c:pt>
                <c:pt idx="205">
                  <c:v>ambigua-39</c:v>
                </c:pt>
                <c:pt idx="206">
                  <c:v>oliveri-46</c:v>
                </c:pt>
                <c:pt idx="207">
                  <c:v>sp-46</c:v>
                </c:pt>
                <c:pt idx="208">
                  <c:v>arborea-48</c:v>
                </c:pt>
                <c:pt idx="209">
                  <c:v>esculenta-49</c:v>
                </c:pt>
                <c:pt idx="210">
                  <c:v>krukoffii-50</c:v>
                </c:pt>
                <c:pt idx="211">
                  <c:v>solimoesensis-50</c:v>
                </c:pt>
                <c:pt idx="212">
                  <c:v>salicifolia-50</c:v>
                </c:pt>
                <c:pt idx="213">
                  <c:v>cubensis-52</c:v>
                </c:pt>
                <c:pt idx="214">
                  <c:v>macrocarpa-53</c:v>
                </c:pt>
                <c:pt idx="215">
                  <c:v>maingayi-56</c:v>
                </c:pt>
                <c:pt idx="216">
                  <c:v>philippensis-56</c:v>
                </c:pt>
                <c:pt idx="217">
                  <c:v>cf-ferruginea-59</c:v>
                </c:pt>
                <c:pt idx="218">
                  <c:v>lanceolata-3</c:v>
                </c:pt>
                <c:pt idx="219">
                  <c:v>albun-4</c:v>
                </c:pt>
                <c:pt idx="220">
                  <c:v>maingayi-4</c:v>
                </c:pt>
                <c:pt idx="221">
                  <c:v>aurea-7</c:v>
                </c:pt>
                <c:pt idx="222">
                  <c:v>cf-dugandii-7</c:v>
                </c:pt>
                <c:pt idx="223">
                  <c:v>gaudichaudii-7</c:v>
                </c:pt>
                <c:pt idx="224">
                  <c:v>jacaranda-7</c:v>
                </c:pt>
                <c:pt idx="225">
                  <c:v>lepidophylla-7</c:v>
                </c:pt>
                <c:pt idx="226">
                  <c:v>prieurii-7</c:v>
                </c:pt>
                <c:pt idx="227">
                  <c:v>bicolor-13</c:v>
                </c:pt>
                <c:pt idx="228">
                  <c:v>hebeciada-15</c:v>
                </c:pt>
                <c:pt idx="229">
                  <c:v>rasa-15</c:v>
                </c:pt>
                <c:pt idx="230">
                  <c:v>eriandra-15</c:v>
                </c:pt>
                <c:pt idx="231">
                  <c:v>longistyla-15</c:v>
                </c:pt>
                <c:pt idx="232">
                  <c:v>maxima-15</c:v>
                </c:pt>
                <c:pt idx="233">
                  <c:v>niloi-15</c:v>
                </c:pt>
                <c:pt idx="234">
                  <c:v>sclerophylla-15</c:v>
                </c:pt>
                <c:pt idx="235">
                  <c:v>uniguiculata-15</c:v>
                </c:pt>
                <c:pt idx="236">
                  <c:v>fanshawei-17</c:v>
                </c:pt>
                <c:pt idx="237">
                  <c:v>brachystemma-17</c:v>
                </c:pt>
                <c:pt idx="238">
                  <c:v>crenulata-17</c:v>
                </c:pt>
                <c:pt idx="239">
                  <c:v>erici-rosenii-17</c:v>
                </c:pt>
                <c:pt idx="240">
                  <c:v>hayesii-17</c:v>
                </c:pt>
                <c:pt idx="241">
                  <c:v>sp-20</c:v>
                </c:pt>
                <c:pt idx="242">
                  <c:v>dentata-21</c:v>
                </c:pt>
                <c:pt idx="243">
                  <c:v>grandiflora-21</c:v>
                </c:pt>
                <c:pt idx="244">
                  <c:v>uchi-24</c:v>
                </c:pt>
                <c:pt idx="245">
                  <c:v>cuneato-cordata-26</c:v>
                </c:pt>
                <c:pt idx="246">
                  <c:v>grandiflora-26</c:v>
                </c:pt>
                <c:pt idx="247">
                  <c:v>pardo-26</c:v>
                </c:pt>
                <c:pt idx="248">
                  <c:v>superba-26</c:v>
                </c:pt>
                <c:pt idx="249">
                  <c:v>stellata-27</c:v>
                </c:pt>
                <c:pt idx="250">
                  <c:v>albiflora-27</c:v>
                </c:pt>
                <c:pt idx="251">
                  <c:v>blanchetiana-27</c:v>
                </c:pt>
                <c:pt idx="252">
                  <c:v>cf-atropetiolata-27</c:v>
                </c:pt>
                <c:pt idx="253">
                  <c:v>longipes-27</c:v>
                </c:pt>
                <c:pt idx="254">
                  <c:v>brasiliensis-29</c:v>
                </c:pt>
                <c:pt idx="255">
                  <c:v>ferrugineum-29</c:v>
                </c:pt>
                <c:pt idx="256">
                  <c:v>sp-29</c:v>
                </c:pt>
                <c:pt idx="257">
                  <c:v>sp-29</c:v>
                </c:pt>
                <c:pt idx="258">
                  <c:v>subbullatum-29</c:v>
                </c:pt>
                <c:pt idx="259">
                  <c:v>sp-29</c:v>
                </c:pt>
                <c:pt idx="260">
                  <c:v>sp-30</c:v>
                </c:pt>
                <c:pt idx="261">
                  <c:v>ingens-30</c:v>
                </c:pt>
                <c:pt idx="262">
                  <c:v>peregrina-30</c:v>
                </c:pt>
                <c:pt idx="263">
                  <c:v>baroni-31</c:v>
                </c:pt>
                <c:pt idx="264">
                  <c:v>cf-pseudocarone-31</c:v>
                </c:pt>
                <c:pt idx="265">
                  <c:v>cf-petraeum-31</c:v>
                </c:pt>
                <c:pt idx="266">
                  <c:v>ernesti-31</c:v>
                </c:pt>
                <c:pt idx="267">
                  <c:v>nitidus-31</c:v>
                </c:pt>
                <c:pt idx="268">
                  <c:v>acutifolium-31</c:v>
                </c:pt>
                <c:pt idx="269">
                  <c:v>bovinaefolium-31</c:v>
                </c:pt>
                <c:pt idx="270">
                  <c:v>brasiliensis-31</c:v>
                </c:pt>
                <c:pt idx="271">
                  <c:v>capote-31</c:v>
                </c:pt>
                <c:pt idx="272">
                  <c:v>millei-31</c:v>
                </c:pt>
                <c:pt idx="273">
                  <c:v>stenophyllum-31</c:v>
                </c:pt>
                <c:pt idx="274">
                  <c:v>laxiflora-31</c:v>
                </c:pt>
                <c:pt idx="275">
                  <c:v>santalinus-31</c:v>
                </c:pt>
                <c:pt idx="276">
                  <c:v>sp-31</c:v>
                </c:pt>
                <c:pt idx="277">
                  <c:v>crassifolia-33</c:v>
                </c:pt>
                <c:pt idx="278">
                  <c:v>lilloi-35</c:v>
                </c:pt>
                <c:pt idx="279">
                  <c:v>tonduzii-35</c:v>
                </c:pt>
                <c:pt idx="280">
                  <c:v>cf-ivorensis-35</c:v>
                </c:pt>
                <c:pt idx="281">
                  <c:v>begoniifolia-36</c:v>
                </c:pt>
                <c:pt idx="282">
                  <c:v>glaucescens-36</c:v>
                </c:pt>
                <c:pt idx="283">
                  <c:v>calophylloidea-37</c:v>
                </c:pt>
                <c:pt idx="284">
                  <c:v>aerosa-38</c:v>
                </c:pt>
                <c:pt idx="285">
                  <c:v>rostrifolia-38</c:v>
                </c:pt>
                <c:pt idx="286">
                  <c:v>koralensis-42</c:v>
                </c:pt>
                <c:pt idx="287">
                  <c:v>caribaea-42</c:v>
                </c:pt>
                <c:pt idx="288">
                  <c:v>sellowiana-45</c:v>
                </c:pt>
                <c:pt idx="289">
                  <c:v>riedelianum-47</c:v>
                </c:pt>
                <c:pt idx="290">
                  <c:v>ramiflora-50</c:v>
                </c:pt>
                <c:pt idx="291">
                  <c:v>surumuensis-50</c:v>
                </c:pt>
                <c:pt idx="292">
                  <c:v>venosa-50</c:v>
                </c:pt>
                <c:pt idx="293">
                  <c:v>amazonica-53</c:v>
                </c:pt>
                <c:pt idx="294">
                  <c:v>floribunda-59</c:v>
                </c:pt>
                <c:pt idx="295">
                  <c:v>perata-4</c:v>
                </c:pt>
                <c:pt idx="296">
                  <c:v>angustata-7</c:v>
                </c:pt>
                <c:pt idx="297">
                  <c:v>bilbergii-7</c:v>
                </c:pt>
                <c:pt idx="298">
                  <c:v>heterotricha-7</c:v>
                </c:pt>
                <c:pt idx="299">
                  <c:v>longipes-7</c:v>
                </c:pt>
                <c:pt idx="300">
                  <c:v>palmeri-7</c:v>
                </c:pt>
                <c:pt idx="301">
                  <c:v>sauvallei-7</c:v>
                </c:pt>
                <c:pt idx="302">
                  <c:v>purusana-13</c:v>
                </c:pt>
                <c:pt idx="303">
                  <c:v>duckel-15</c:v>
                </c:pt>
                <c:pt idx="304">
                  <c:v>rodriguesii-15</c:v>
                </c:pt>
                <c:pt idx="305">
                  <c:v>floribunda-15</c:v>
                </c:pt>
                <c:pt idx="306">
                  <c:v>fritschii-15</c:v>
                </c:pt>
                <c:pt idx="307">
                  <c:v>minutiflora-15</c:v>
                </c:pt>
                <c:pt idx="308">
                  <c:v>ovalifolia-15</c:v>
                </c:pt>
                <c:pt idx="309">
                  <c:v>benthamiana-16</c:v>
                </c:pt>
                <c:pt idx="310">
                  <c:v>argentea-17</c:v>
                </c:pt>
                <c:pt idx="311">
                  <c:v>batocana-20</c:v>
                </c:pt>
                <c:pt idx="312">
                  <c:v>rubrivenium-22</c:v>
                </c:pt>
                <c:pt idx="313">
                  <c:v>lanceolata-26</c:v>
                </c:pt>
                <c:pt idx="314">
                  <c:v>krukovii-26</c:v>
                </c:pt>
                <c:pt idx="315">
                  <c:v>amara-27</c:v>
                </c:pt>
                <c:pt idx="316">
                  <c:v>rhododendrifolia-27</c:v>
                </c:pt>
                <c:pt idx="317">
                  <c:v>cochinchinensis-29</c:v>
                </c:pt>
                <c:pt idx="318">
                  <c:v>sappan-29</c:v>
                </c:pt>
                <c:pt idx="319">
                  <c:v>ferruginea-29</c:v>
                </c:pt>
                <c:pt idx="320">
                  <c:v>martii-29</c:v>
                </c:pt>
                <c:pt idx="321">
                  <c:v>glabrifolia-29</c:v>
                </c:pt>
                <c:pt idx="322">
                  <c:v>aff-ferrea-29</c:v>
                </c:pt>
                <c:pt idx="323">
                  <c:v>vogelianum-29</c:v>
                </c:pt>
                <c:pt idx="324">
                  <c:v>bracatinga-30</c:v>
                </c:pt>
                <c:pt idx="325">
                  <c:v>peregrina-30</c:v>
                </c:pt>
                <c:pt idx="326">
                  <c:v>louvelii-31</c:v>
                </c:pt>
                <c:pt idx="327">
                  <c:v>toxicaria-31</c:v>
                </c:pt>
                <c:pt idx="328">
                  <c:v>albiflorus-31</c:v>
                </c:pt>
                <c:pt idx="329">
                  <c:v>ehrenbergii-31</c:v>
                </c:pt>
                <c:pt idx="330">
                  <c:v>longistylus-31</c:v>
                </c:pt>
                <c:pt idx="331">
                  <c:v>oaxacensis-35</c:v>
                </c:pt>
                <c:pt idx="332">
                  <c:v>gemina-36</c:v>
                </c:pt>
                <c:pt idx="333">
                  <c:v>gomelleira-36</c:v>
                </c:pt>
                <c:pt idx="334">
                  <c:v>ramiflora-36</c:v>
                </c:pt>
                <c:pt idx="335">
                  <c:v>regularis-36</c:v>
                </c:pt>
                <c:pt idx="336">
                  <c:v>tapajozensis-36</c:v>
                </c:pt>
                <c:pt idx="337">
                  <c:v>multinervia-37</c:v>
                </c:pt>
                <c:pt idx="338">
                  <c:v>tenuifolia-48</c:v>
                </c:pt>
                <c:pt idx="339">
                  <c:v>obtusifolia-50</c:v>
                </c:pt>
                <c:pt idx="340">
                  <c:v>sp-50</c:v>
                </c:pt>
                <c:pt idx="341">
                  <c:v>glomerata-50</c:v>
                </c:pt>
                <c:pt idx="342">
                  <c:v>aff-gongrijpii-50</c:v>
                </c:pt>
                <c:pt idx="343">
                  <c:v>jariensis-50</c:v>
                </c:pt>
                <c:pt idx="344">
                  <c:v>procera-50</c:v>
                </c:pt>
                <c:pt idx="345">
                  <c:v>oppositifolia-50</c:v>
                </c:pt>
                <c:pt idx="346">
                  <c:v>amara-51</c:v>
                </c:pt>
                <c:pt idx="347">
                  <c:v>bequaertii-53</c:v>
                </c:pt>
                <c:pt idx="348">
                  <c:v>obidensis-59</c:v>
                </c:pt>
                <c:pt idx="349">
                  <c:v>olivaceum-4</c:v>
                </c:pt>
                <c:pt idx="350">
                  <c:v>sessiliflora-4</c:v>
                </c:pt>
                <c:pt idx="351">
                  <c:v>chrysotricha-7</c:v>
                </c:pt>
                <c:pt idx="352">
                  <c:v>dielsiana-13</c:v>
                </c:pt>
                <c:pt idx="353">
                  <c:v>canescens-15</c:v>
                </c:pt>
                <c:pt idx="354">
                  <c:v>davillaefolia-15</c:v>
                </c:pt>
                <c:pt idx="355">
                  <c:v>paraensis-15</c:v>
                </c:pt>
                <c:pt idx="356">
                  <c:v>inophyllum-16</c:v>
                </c:pt>
                <c:pt idx="357">
                  <c:v>ochroprumna-17</c:v>
                </c:pt>
                <c:pt idx="358">
                  <c:v>avicennioides-17</c:v>
                </c:pt>
                <c:pt idx="359">
                  <c:v>oreadum-17</c:v>
                </c:pt>
                <c:pt idx="360">
                  <c:v>fasciculata-26</c:v>
                </c:pt>
                <c:pt idx="361">
                  <c:v>macrothyrsus-26</c:v>
                </c:pt>
                <c:pt idx="362">
                  <c:v>pretiosa-26</c:v>
                </c:pt>
                <c:pt idx="363">
                  <c:v>nobile-26</c:v>
                </c:pt>
                <c:pt idx="364">
                  <c:v>amazonica-27</c:v>
                </c:pt>
                <c:pt idx="365">
                  <c:v>pedicellata-27</c:v>
                </c:pt>
                <c:pt idx="366">
                  <c:v>ferrea-29</c:v>
                </c:pt>
                <c:pt idx="367">
                  <c:v>granadillo-29</c:v>
                </c:pt>
                <c:pt idx="368">
                  <c:v>paniculata-29</c:v>
                </c:pt>
                <c:pt idx="369">
                  <c:v>igneiflora-30</c:v>
                </c:pt>
                <c:pt idx="370">
                  <c:v>sp-30</c:v>
                </c:pt>
                <c:pt idx="371">
                  <c:v>nigra-31</c:v>
                </c:pt>
                <c:pt idx="372">
                  <c:v>blaini-31</c:v>
                </c:pt>
                <c:pt idx="373">
                  <c:v>margaritensis-31</c:v>
                </c:pt>
                <c:pt idx="374">
                  <c:v>aculeatum-31</c:v>
                </c:pt>
                <c:pt idx="375">
                  <c:v>ovata-32</c:v>
                </c:pt>
                <c:pt idx="376">
                  <c:v>montana-35</c:v>
                </c:pt>
                <c:pt idx="377">
                  <c:v>utile-36</c:v>
                </c:pt>
                <c:pt idx="378">
                  <c:v>alicastrum-36</c:v>
                </c:pt>
                <c:pt idx="379">
                  <c:v>alba-36</c:v>
                </c:pt>
                <c:pt idx="380">
                  <c:v>archeri-36</c:v>
                </c:pt>
                <c:pt idx="381">
                  <c:v>paraensis-36</c:v>
                </c:pt>
                <c:pt idx="382">
                  <c:v>venosa-37</c:v>
                </c:pt>
                <c:pt idx="383">
                  <c:v>muricata-38</c:v>
                </c:pt>
                <c:pt idx="384">
                  <c:v>altissima-39</c:v>
                </c:pt>
                <c:pt idx="385">
                  <c:v>krukovii-50</c:v>
                </c:pt>
                <c:pt idx="386">
                  <c:v>sp-50</c:v>
                </c:pt>
                <c:pt idx="387">
                  <c:v>trigonosperma-50</c:v>
                </c:pt>
                <c:pt idx="388">
                  <c:v>pachycarpa-50</c:v>
                </c:pt>
                <c:pt idx="389">
                  <c:v>trinerve-57</c:v>
                </c:pt>
                <c:pt idx="390">
                  <c:v>pneumatophora-4</c:v>
                </c:pt>
                <c:pt idx="391">
                  <c:v>camporum-4</c:v>
                </c:pt>
                <c:pt idx="392">
                  <c:v>pallida-7</c:v>
                </c:pt>
                <c:pt idx="393">
                  <c:v>sp-13</c:v>
                </c:pt>
                <c:pt idx="394">
                  <c:v>engleri-15</c:v>
                </c:pt>
                <c:pt idx="395">
                  <c:v>oxycarpa-17</c:v>
                </c:pt>
                <c:pt idx="396">
                  <c:v>arbuscula-17</c:v>
                </c:pt>
                <c:pt idx="397">
                  <c:v>crassiramea-17</c:v>
                </c:pt>
                <c:pt idx="398">
                  <c:v>sp-22</c:v>
                </c:pt>
                <c:pt idx="399">
                  <c:v>multiflora-26</c:v>
                </c:pt>
                <c:pt idx="400">
                  <c:v>grata-27</c:v>
                </c:pt>
                <c:pt idx="401">
                  <c:v>amazonum-27</c:v>
                </c:pt>
                <c:pt idx="402">
                  <c:v>xylocarpa-29</c:v>
                </c:pt>
                <c:pt idx="403">
                  <c:v>cavipes-29</c:v>
                </c:pt>
                <c:pt idx="404">
                  <c:v>gonoacantha-30</c:v>
                </c:pt>
                <c:pt idx="405">
                  <c:v>loritensis-30</c:v>
                </c:pt>
                <c:pt idx="406">
                  <c:v>arbutifolia-31</c:v>
                </c:pt>
                <c:pt idx="407">
                  <c:v>alata-31</c:v>
                </c:pt>
                <c:pt idx="408">
                  <c:v>domingensis-31</c:v>
                </c:pt>
                <c:pt idx="409">
                  <c:v>incorruptible-31</c:v>
                </c:pt>
                <c:pt idx="410">
                  <c:v>parinarioides-36</c:v>
                </c:pt>
                <c:pt idx="411">
                  <c:v>racemosa-36</c:v>
                </c:pt>
                <c:pt idx="412">
                  <c:v>erythrosticta-36</c:v>
                </c:pt>
                <c:pt idx="413">
                  <c:v>gracilis-37</c:v>
                </c:pt>
                <c:pt idx="414">
                  <c:v>guatemalensis-37</c:v>
                </c:pt>
                <c:pt idx="415">
                  <c:v>loretensis-37</c:v>
                </c:pt>
                <c:pt idx="416">
                  <c:v>gardneriana-50</c:v>
                </c:pt>
                <c:pt idx="417">
                  <c:v>macrocarpa-50</c:v>
                </c:pt>
                <c:pt idx="418">
                  <c:v>alata-53</c:v>
                </c:pt>
                <c:pt idx="419">
                  <c:v>calucina-3</c:v>
                </c:pt>
                <c:pt idx="420">
                  <c:v>egensis-15</c:v>
                </c:pt>
                <c:pt idx="421">
                  <c:v>hispidula-15</c:v>
                </c:pt>
                <c:pt idx="422">
                  <c:v>altissima-17</c:v>
                </c:pt>
                <c:pt idx="423">
                  <c:v>gulanensis-17</c:v>
                </c:pt>
                <c:pt idx="424">
                  <c:v>kilimandsharica-17</c:v>
                </c:pt>
                <c:pt idx="425">
                  <c:v>obovata-17</c:v>
                </c:pt>
                <c:pt idx="426">
                  <c:v>prunoides-17</c:v>
                </c:pt>
                <c:pt idx="427">
                  <c:v>seriocarpa-17</c:v>
                </c:pt>
                <c:pt idx="428">
                  <c:v>wchinocarpus-22</c:v>
                </c:pt>
                <c:pt idx="429">
                  <c:v>macrocarpa-24</c:v>
                </c:pt>
                <c:pt idx="430">
                  <c:v>appelii-26</c:v>
                </c:pt>
                <c:pt idx="431">
                  <c:v>pisi-26</c:v>
                </c:pt>
                <c:pt idx="432">
                  <c:v>reticulata-26</c:v>
                </c:pt>
                <c:pt idx="433">
                  <c:v>pachysepala-27</c:v>
                </c:pt>
                <c:pt idx="434">
                  <c:v>rhomboidea-29</c:v>
                </c:pt>
                <c:pt idx="435">
                  <c:v>multijuga-29</c:v>
                </c:pt>
                <c:pt idx="436">
                  <c:v>stilbocarpa-29</c:v>
                </c:pt>
                <c:pt idx="437">
                  <c:v>contortisiliquum-30</c:v>
                </c:pt>
                <c:pt idx="438">
                  <c:v>velutina-30</c:v>
                </c:pt>
                <c:pt idx="439">
                  <c:v>plystachyum-30</c:v>
                </c:pt>
                <c:pt idx="440">
                  <c:v>pterocarpifolia-31</c:v>
                </c:pt>
                <c:pt idx="441">
                  <c:v>benthamianus-31</c:v>
                </c:pt>
                <c:pt idx="442">
                  <c:v>sanctae-marthae-31</c:v>
                </c:pt>
                <c:pt idx="443">
                  <c:v>carica-36</c:v>
                </c:pt>
                <c:pt idx="444">
                  <c:v>cf-costata-38</c:v>
                </c:pt>
                <c:pt idx="445">
                  <c:v>feijoi-38</c:v>
                </c:pt>
                <c:pt idx="446">
                  <c:v>patrisii-38</c:v>
                </c:pt>
                <c:pt idx="447">
                  <c:v>tinctoria-46</c:v>
                </c:pt>
                <c:pt idx="448">
                  <c:v>pariry-50</c:v>
                </c:pt>
                <c:pt idx="449">
                  <c:v>elata-50</c:v>
                </c:pt>
                <c:pt idx="450">
                  <c:v>filipes-50</c:v>
                </c:pt>
                <c:pt idx="451">
                  <c:v>ephedrantha-50</c:v>
                </c:pt>
                <c:pt idx="452">
                  <c:v>procera-50</c:v>
                </c:pt>
                <c:pt idx="453">
                  <c:v>coulteri-60</c:v>
                </c:pt>
                <c:pt idx="454">
                  <c:v>conspicua-7</c:v>
                </c:pt>
                <c:pt idx="455">
                  <c:v>elongata-15</c:v>
                </c:pt>
                <c:pt idx="456">
                  <c:v>hostmanni-15</c:v>
                </c:pt>
                <c:pt idx="457">
                  <c:v>longifolia-16</c:v>
                </c:pt>
                <c:pt idx="458">
                  <c:v>procera-17</c:v>
                </c:pt>
                <c:pt idx="459">
                  <c:v>guianensis-21</c:v>
                </c:pt>
                <c:pt idx="460">
                  <c:v>decurrens-26</c:v>
                </c:pt>
                <c:pt idx="461">
                  <c:v>macrosperma-27</c:v>
                </c:pt>
                <c:pt idx="462">
                  <c:v>rorida-27</c:v>
                </c:pt>
                <c:pt idx="463">
                  <c:v>hians-27</c:v>
                </c:pt>
                <c:pt idx="464">
                  <c:v>molaris-29</c:v>
                </c:pt>
                <c:pt idx="465">
                  <c:v>parvifolia-29</c:v>
                </c:pt>
                <c:pt idx="466">
                  <c:v>corymbosa-29</c:v>
                </c:pt>
                <c:pt idx="467">
                  <c:v>cf-excelsa-30</c:v>
                </c:pt>
                <c:pt idx="468">
                  <c:v>rigida-30</c:v>
                </c:pt>
                <c:pt idx="469">
                  <c:v>leucopterium-31</c:v>
                </c:pt>
                <c:pt idx="470">
                  <c:v>lilacinum-31</c:v>
                </c:pt>
                <c:pt idx="471">
                  <c:v>cf-cambodianus-31</c:v>
                </c:pt>
                <c:pt idx="472">
                  <c:v>cf-macrocarpa-31</c:v>
                </c:pt>
                <c:pt idx="473">
                  <c:v>crispa-33</c:v>
                </c:pt>
                <c:pt idx="474">
                  <c:v>intermedia-33</c:v>
                </c:pt>
                <c:pt idx="475">
                  <c:v>cf-macrophylla-35</c:v>
                </c:pt>
                <c:pt idx="476">
                  <c:v>brevifolia-36</c:v>
                </c:pt>
                <c:pt idx="477">
                  <c:v>floribunda-39</c:v>
                </c:pt>
                <c:pt idx="478">
                  <c:v>sinense-55</c:v>
                </c:pt>
                <c:pt idx="479">
                  <c:v>gomesianum-4</c:v>
                </c:pt>
                <c:pt idx="480">
                  <c:v>lowii-4</c:v>
                </c:pt>
                <c:pt idx="481">
                  <c:v>capitata-7</c:v>
                </c:pt>
                <c:pt idx="482">
                  <c:v>cf-catinga-7</c:v>
                </c:pt>
                <c:pt idx="483">
                  <c:v>cf-rufescens-7</c:v>
                </c:pt>
                <c:pt idx="484">
                  <c:v>ellipticum-9</c:v>
                </c:pt>
                <c:pt idx="485">
                  <c:v>egensis-15</c:v>
                </c:pt>
                <c:pt idx="486">
                  <c:v>australis-17</c:v>
                </c:pt>
                <c:pt idx="487">
                  <c:v>chocharronia-17</c:v>
                </c:pt>
                <c:pt idx="488">
                  <c:v>pyrifoli-17</c:v>
                </c:pt>
                <c:pt idx="489">
                  <c:v>uviferum-18</c:v>
                </c:pt>
                <c:pt idx="490">
                  <c:v>pseudodentata-21</c:v>
                </c:pt>
                <c:pt idx="491">
                  <c:v>pterocarpa-25</c:v>
                </c:pt>
                <c:pt idx="492">
                  <c:v>curpidata-26</c:v>
                </c:pt>
                <c:pt idx="493">
                  <c:v>laevis-26</c:v>
                </c:pt>
                <c:pt idx="494">
                  <c:v>barcellensis-26</c:v>
                </c:pt>
                <c:pt idx="495">
                  <c:v>dissimilis-26</c:v>
                </c:pt>
                <c:pt idx="496">
                  <c:v>surinamensis-27</c:v>
                </c:pt>
                <c:pt idx="497">
                  <c:v>bracteata-29</c:v>
                </c:pt>
                <c:pt idx="498">
                  <c:v>oblongifolia-29</c:v>
                </c:pt>
                <c:pt idx="499">
                  <c:v>cf-arborea-30</c:v>
                </c:pt>
                <c:pt idx="500">
                  <c:v>flava-30</c:v>
                </c:pt>
                <c:pt idx="501">
                  <c:v>cf-margaritensis-31</c:v>
                </c:pt>
                <c:pt idx="502">
                  <c:v>sp-31</c:v>
                </c:pt>
                <c:pt idx="503">
                  <c:v>parviflora-31</c:v>
                </c:pt>
                <c:pt idx="504">
                  <c:v>spicata-33</c:v>
                </c:pt>
                <c:pt idx="505">
                  <c:v>chamissoana-34</c:v>
                </c:pt>
                <c:pt idx="506">
                  <c:v>lactescens-36</c:v>
                </c:pt>
                <c:pt idx="507">
                  <c:v>hispida-50</c:v>
                </c:pt>
                <c:pt idx="508">
                  <c:v>plicata-50</c:v>
                </c:pt>
                <c:pt idx="509">
                  <c:v>horsfieldii-53</c:v>
                </c:pt>
                <c:pt idx="510">
                  <c:v>incana-7</c:v>
                </c:pt>
                <c:pt idx="511">
                  <c:v>hispidula-15</c:v>
                </c:pt>
                <c:pt idx="512">
                  <c:v>micrantha-15</c:v>
                </c:pt>
                <c:pt idx="513">
                  <c:v>mollis-15</c:v>
                </c:pt>
                <c:pt idx="514">
                  <c:v>acuminata-17</c:v>
                </c:pt>
                <c:pt idx="515">
                  <c:v>bialata-17</c:v>
                </c:pt>
                <c:pt idx="516">
                  <c:v>mespiliformis-20</c:v>
                </c:pt>
                <c:pt idx="517">
                  <c:v>cordiformis-25</c:v>
                </c:pt>
                <c:pt idx="518">
                  <c:v>longifolia-26</c:v>
                </c:pt>
                <c:pt idx="519">
                  <c:v>pallida-26</c:v>
                </c:pt>
                <c:pt idx="520">
                  <c:v>guianensis-27</c:v>
                </c:pt>
                <c:pt idx="521">
                  <c:v>iquitesensis-27</c:v>
                </c:pt>
                <c:pt idx="522">
                  <c:v>cuanzensis-29</c:v>
                </c:pt>
                <c:pt idx="523">
                  <c:v>psilophylla-29</c:v>
                </c:pt>
                <c:pt idx="524">
                  <c:v>reticulata-29</c:v>
                </c:pt>
                <c:pt idx="525">
                  <c:v>decussata-30</c:v>
                </c:pt>
                <c:pt idx="526">
                  <c:v>tocantina-30</c:v>
                </c:pt>
                <c:pt idx="527">
                  <c:v>robiniifolium-31</c:v>
                </c:pt>
                <c:pt idx="528">
                  <c:v>duckei-31</c:v>
                </c:pt>
                <c:pt idx="529">
                  <c:v>grandiflora-35</c:v>
                </c:pt>
                <c:pt idx="530">
                  <c:v>parvifolia-40</c:v>
                </c:pt>
                <c:pt idx="531">
                  <c:v>egensis-50</c:v>
                </c:pt>
                <c:pt idx="532">
                  <c:v>divaricata-57</c:v>
                </c:pt>
                <c:pt idx="533">
                  <c:v>insignis-7</c:v>
                </c:pt>
                <c:pt idx="534">
                  <c:v>tessmannii-13</c:v>
                </c:pt>
                <c:pt idx="535">
                  <c:v>gardneriana-16</c:v>
                </c:pt>
                <c:pt idx="536">
                  <c:v>tanibouca-17</c:v>
                </c:pt>
                <c:pt idx="537">
                  <c:v>velutina-17</c:v>
                </c:pt>
                <c:pt idx="538">
                  <c:v>spathulata-21</c:v>
                </c:pt>
                <c:pt idx="539">
                  <c:v>mexicana-25</c:v>
                </c:pt>
                <c:pt idx="540">
                  <c:v>amara-26</c:v>
                </c:pt>
                <c:pt idx="541">
                  <c:v>aciphylla-26</c:v>
                </c:pt>
                <c:pt idx="542">
                  <c:v>obtecta-27</c:v>
                </c:pt>
                <c:pt idx="543">
                  <c:v>paraensis-29</c:v>
                </c:pt>
                <c:pt idx="544">
                  <c:v>oppositifolia-30</c:v>
                </c:pt>
                <c:pt idx="545">
                  <c:v>ulei-30</c:v>
                </c:pt>
                <c:pt idx="546">
                  <c:v>melanoxylon-31</c:v>
                </c:pt>
                <c:pt idx="547">
                  <c:v>castilloi-31</c:v>
                </c:pt>
                <c:pt idx="548">
                  <c:v>moritzianum-31</c:v>
                </c:pt>
                <c:pt idx="549">
                  <c:v>violaceum-31</c:v>
                </c:pt>
                <c:pt idx="550">
                  <c:v>fusca-31</c:v>
                </c:pt>
                <c:pt idx="551">
                  <c:v>leiocarpa-47</c:v>
                </c:pt>
                <c:pt idx="552">
                  <c:v>sp-50</c:v>
                </c:pt>
                <c:pt idx="553">
                  <c:v>venulosa-50</c:v>
                </c:pt>
                <c:pt idx="554">
                  <c:v>vestita-50</c:v>
                </c:pt>
                <c:pt idx="555">
                  <c:v>rigidum-4</c:v>
                </c:pt>
                <c:pt idx="556">
                  <c:v>stenocalyx-7</c:v>
                </c:pt>
                <c:pt idx="557">
                  <c:v>bicolor-10</c:v>
                </c:pt>
                <c:pt idx="558">
                  <c:v>pallida-15</c:v>
                </c:pt>
                <c:pt idx="559">
                  <c:v>citrina-17</c:v>
                </c:pt>
                <c:pt idx="560">
                  <c:v>copelandii-17</c:v>
                </c:pt>
                <c:pt idx="561">
                  <c:v>manii-17</c:v>
                </c:pt>
                <c:pt idx="562">
                  <c:v>cupularis-24</c:v>
                </c:pt>
                <c:pt idx="563">
                  <c:v>robusta-26</c:v>
                </c:pt>
                <c:pt idx="564">
                  <c:v>paraensis-27</c:v>
                </c:pt>
                <c:pt idx="565">
                  <c:v>microstachyum-30</c:v>
                </c:pt>
                <c:pt idx="566">
                  <c:v>tucurensis-31</c:v>
                </c:pt>
                <c:pt idx="567">
                  <c:v>petraeum-31</c:v>
                </c:pt>
                <c:pt idx="568">
                  <c:v>scleroxylon-31</c:v>
                </c:pt>
                <c:pt idx="569">
                  <c:v>mooniana-31</c:v>
                </c:pt>
                <c:pt idx="570">
                  <c:v>poeppigiana-33</c:v>
                </c:pt>
                <c:pt idx="571">
                  <c:v>procera-35</c:v>
                </c:pt>
                <c:pt idx="572">
                  <c:v>flavescens-38</c:v>
                </c:pt>
                <c:pt idx="573">
                  <c:v>solimoesensis-50</c:v>
                </c:pt>
                <c:pt idx="574">
                  <c:v>torta-50</c:v>
                </c:pt>
                <c:pt idx="575">
                  <c:v>excelsa-53</c:v>
                </c:pt>
                <c:pt idx="576">
                  <c:v>excelsa-15</c:v>
                </c:pt>
                <c:pt idx="577">
                  <c:v>racemosa-15</c:v>
                </c:pt>
                <c:pt idx="578">
                  <c:v>brasiliensis-16</c:v>
                </c:pt>
                <c:pt idx="579">
                  <c:v>myrlocarpa-17</c:v>
                </c:pt>
                <c:pt idx="580">
                  <c:v>itauba-26</c:v>
                </c:pt>
                <c:pt idx="581">
                  <c:v>obversa-27</c:v>
                </c:pt>
                <c:pt idx="582">
                  <c:v>truncata-27</c:v>
                </c:pt>
                <c:pt idx="583">
                  <c:v>guineense-29</c:v>
                </c:pt>
                <c:pt idx="584">
                  <c:v>nitida-30</c:v>
                </c:pt>
                <c:pt idx="585">
                  <c:v>albert-smithii-36</c:v>
                </c:pt>
                <c:pt idx="586">
                  <c:v>annulata-36</c:v>
                </c:pt>
                <c:pt idx="587">
                  <c:v>bougainvillei-36</c:v>
                </c:pt>
                <c:pt idx="588">
                  <c:v>pseudopsidium-38</c:v>
                </c:pt>
                <c:pt idx="589">
                  <c:v>oblanceolata-50</c:v>
                </c:pt>
                <c:pt idx="590">
                  <c:v>mildbraedii-53</c:v>
                </c:pt>
                <c:pt idx="591">
                  <c:v>vismiaefolia-59</c:v>
                </c:pt>
                <c:pt idx="592">
                  <c:v>latifolia-15</c:v>
                </c:pt>
                <c:pt idx="593">
                  <c:v>calamansanai-17</c:v>
                </c:pt>
                <c:pt idx="594">
                  <c:v>paniculata-17</c:v>
                </c:pt>
                <c:pt idx="595">
                  <c:v>dioica-26</c:v>
                </c:pt>
                <c:pt idx="596">
                  <c:v>lucida-26</c:v>
                </c:pt>
                <c:pt idx="597">
                  <c:v>organensis-26</c:v>
                </c:pt>
                <c:pt idx="598">
                  <c:v>puberula-26</c:v>
                </c:pt>
                <c:pt idx="599">
                  <c:v>corrugata-27</c:v>
                </c:pt>
                <c:pt idx="600">
                  <c:v>reticulosum-29</c:v>
                </c:pt>
                <c:pt idx="601">
                  <c:v>peregrina-30</c:v>
                </c:pt>
                <c:pt idx="602">
                  <c:v>purpurascens-31</c:v>
                </c:pt>
                <c:pt idx="603">
                  <c:v>latifolius-31</c:v>
                </c:pt>
                <c:pt idx="604">
                  <c:v>pubescens-31</c:v>
                </c:pt>
                <c:pt idx="605">
                  <c:v>divaricata-39</c:v>
                </c:pt>
                <c:pt idx="606">
                  <c:v>sp-50</c:v>
                </c:pt>
                <c:pt idx="607">
                  <c:v>malaccensis-56</c:v>
                </c:pt>
                <c:pt idx="608">
                  <c:v>surinamensis-59</c:v>
                </c:pt>
                <c:pt idx="609">
                  <c:v>impetiginosa-7</c:v>
                </c:pt>
                <c:pt idx="610">
                  <c:v>racemosa-15</c:v>
                </c:pt>
                <c:pt idx="611">
                  <c:v>macrophylla-17</c:v>
                </c:pt>
                <c:pt idx="612">
                  <c:v>palustris-29</c:v>
                </c:pt>
                <c:pt idx="613">
                  <c:v>multijuga-30</c:v>
                </c:pt>
                <c:pt idx="614">
                  <c:v>sp-31</c:v>
                </c:pt>
                <c:pt idx="615">
                  <c:v>madeirana-39</c:v>
                </c:pt>
                <c:pt idx="616">
                  <c:v>laevigata-50</c:v>
                </c:pt>
                <c:pt idx="617">
                  <c:v>forbesii-53</c:v>
                </c:pt>
                <c:pt idx="618">
                  <c:v>warburgianus-56</c:v>
                </c:pt>
                <c:pt idx="619">
                  <c:v>paraensis-59</c:v>
                </c:pt>
                <c:pt idx="620">
                  <c:v>barbata-7</c:v>
                </c:pt>
                <c:pt idx="621">
                  <c:v>bicornis-15</c:v>
                </c:pt>
                <c:pt idx="622">
                  <c:v>polyphylla-26</c:v>
                </c:pt>
                <c:pt idx="623">
                  <c:v>villosa-26</c:v>
                </c:pt>
                <c:pt idx="624">
                  <c:v>fragrantissima-26</c:v>
                </c:pt>
                <c:pt idx="625">
                  <c:v>juruensis-27</c:v>
                </c:pt>
                <c:pt idx="626">
                  <c:v>latifolium-27</c:v>
                </c:pt>
                <c:pt idx="627">
                  <c:v>africana-29</c:v>
                </c:pt>
                <c:pt idx="628">
                  <c:v>pachyloba-29</c:v>
                </c:pt>
                <c:pt idx="629">
                  <c:v>brauna-29</c:v>
                </c:pt>
                <c:pt idx="630">
                  <c:v>macrocarpa-30</c:v>
                </c:pt>
                <c:pt idx="631">
                  <c:v>alba-30</c:v>
                </c:pt>
                <c:pt idx="632">
                  <c:v>sp-31</c:v>
                </c:pt>
                <c:pt idx="633">
                  <c:v>spectabilis-31</c:v>
                </c:pt>
                <c:pt idx="634">
                  <c:v>giganteum-2</c:v>
                </c:pt>
                <c:pt idx="635">
                  <c:v>costaricense-12</c:v>
                </c:pt>
                <c:pt idx="636">
                  <c:v>glandulosa-15</c:v>
                </c:pt>
                <c:pt idx="637">
                  <c:v>urceolaris-15</c:v>
                </c:pt>
                <c:pt idx="638">
                  <c:v>esculenta-16</c:v>
                </c:pt>
                <c:pt idx="639">
                  <c:v>rubiginosa-17</c:v>
                </c:pt>
                <c:pt idx="640">
                  <c:v>obtusa-21</c:v>
                </c:pt>
                <c:pt idx="641">
                  <c:v>celativenia-24</c:v>
                </c:pt>
                <c:pt idx="642">
                  <c:v>paniculatum-29</c:v>
                </c:pt>
                <c:pt idx="643">
                  <c:v>polyphylla-30</c:v>
                </c:pt>
                <c:pt idx="644">
                  <c:v>dimorphandrum-31</c:v>
                </c:pt>
                <c:pt idx="645">
                  <c:v>acapulcensis-31</c:v>
                </c:pt>
                <c:pt idx="646">
                  <c:v>sp-38</c:v>
                </c:pt>
                <c:pt idx="647">
                  <c:v>neriifolius-43</c:v>
                </c:pt>
                <c:pt idx="648">
                  <c:v>guianensis-50</c:v>
                </c:pt>
                <c:pt idx="649">
                  <c:v>gutta-50</c:v>
                </c:pt>
                <c:pt idx="650">
                  <c:v>gracile-2</c:v>
                </c:pt>
                <c:pt idx="651">
                  <c:v>sciadophylla-13</c:v>
                </c:pt>
                <c:pt idx="652">
                  <c:v>arjuna-17</c:v>
                </c:pt>
                <c:pt idx="653">
                  <c:v>gigantifolia-17</c:v>
                </c:pt>
                <c:pt idx="654">
                  <c:v>sumatrana-17</c:v>
                </c:pt>
                <c:pt idx="655">
                  <c:v>latifolia-21</c:v>
                </c:pt>
                <c:pt idx="656">
                  <c:v>armeniaca-26</c:v>
                </c:pt>
                <c:pt idx="657">
                  <c:v>amazonum-26</c:v>
                </c:pt>
                <c:pt idx="658">
                  <c:v>sp-26</c:v>
                </c:pt>
                <c:pt idx="659">
                  <c:v>fendleri-31</c:v>
                </c:pt>
                <c:pt idx="660">
                  <c:v>gardneri-37</c:v>
                </c:pt>
                <c:pt idx="661">
                  <c:v>gorarema-41</c:v>
                </c:pt>
                <c:pt idx="662">
                  <c:v>sp-50</c:v>
                </c:pt>
                <c:pt idx="663">
                  <c:v>boonel-4</c:v>
                </c:pt>
                <c:pt idx="664">
                  <c:v>parvifolium-4</c:v>
                </c:pt>
                <c:pt idx="665">
                  <c:v>burseraefolia-11</c:v>
                </c:pt>
                <c:pt idx="666">
                  <c:v>solomonensis-17</c:v>
                </c:pt>
                <c:pt idx="667">
                  <c:v>tomentosa-17</c:v>
                </c:pt>
                <c:pt idx="668">
                  <c:v>guianensis-24</c:v>
                </c:pt>
                <c:pt idx="669">
                  <c:v>guianensis-27</c:v>
                </c:pt>
                <c:pt idx="670">
                  <c:v>ollaria-27</c:v>
                </c:pt>
                <c:pt idx="671">
                  <c:v>coriaria-29</c:v>
                </c:pt>
                <c:pt idx="672">
                  <c:v>paniculatum-30</c:v>
                </c:pt>
                <c:pt idx="673">
                  <c:v>panamense-31</c:v>
                </c:pt>
                <c:pt idx="674">
                  <c:v>bellengeri-36</c:v>
                </c:pt>
                <c:pt idx="675">
                  <c:v>calimana-36</c:v>
                </c:pt>
                <c:pt idx="676">
                  <c:v>spectabilis-7</c:v>
                </c:pt>
                <c:pt idx="677">
                  <c:v>grandis-17</c:v>
                </c:pt>
                <c:pt idx="678">
                  <c:v>edulis-17</c:v>
                </c:pt>
                <c:pt idx="679">
                  <c:v>microcarpa-17</c:v>
                </c:pt>
                <c:pt idx="680">
                  <c:v>polyantha-27</c:v>
                </c:pt>
                <c:pt idx="681">
                  <c:v>nitens-29</c:v>
                </c:pt>
                <c:pt idx="682">
                  <c:v>paniculata-29</c:v>
                </c:pt>
                <c:pt idx="683">
                  <c:v>virgiliodes-31</c:v>
                </c:pt>
                <c:pt idx="684">
                  <c:v>sericea-31</c:v>
                </c:pt>
                <c:pt idx="685">
                  <c:v>amazonica-33</c:v>
                </c:pt>
                <c:pt idx="686">
                  <c:v>paraensis-47</c:v>
                </c:pt>
                <c:pt idx="687">
                  <c:v>macrophyllus-56</c:v>
                </c:pt>
                <c:pt idx="688">
                  <c:v>spruceanum-2</c:v>
                </c:pt>
                <c:pt idx="689">
                  <c:v>lindaviana-26</c:v>
                </c:pt>
                <c:pt idx="690">
                  <c:v>sassafras-26</c:v>
                </c:pt>
                <c:pt idx="691">
                  <c:v>melanocarpa-29</c:v>
                </c:pt>
                <c:pt idx="692">
                  <c:v>arthropoda-33</c:v>
                </c:pt>
                <c:pt idx="693">
                  <c:v>angustifolia-36</c:v>
                </c:pt>
                <c:pt idx="694">
                  <c:v>reticulata-50</c:v>
                </c:pt>
                <c:pt idx="695">
                  <c:v>ulei-2</c:v>
                </c:pt>
                <c:pt idx="696">
                  <c:v>triplinervia-22</c:v>
                </c:pt>
                <c:pt idx="697">
                  <c:v>colubrina-30</c:v>
                </c:pt>
                <c:pt idx="698">
                  <c:v>pendula-30</c:v>
                </c:pt>
                <c:pt idx="699">
                  <c:v>pulcherrimum-30</c:v>
                </c:pt>
                <c:pt idx="700">
                  <c:v>sp-31</c:v>
                </c:pt>
                <c:pt idx="701">
                  <c:v>guyanensis-50</c:v>
                </c:pt>
                <c:pt idx="702">
                  <c:v>macrophylla-50</c:v>
                </c:pt>
                <c:pt idx="703">
                  <c:v>officinale-60</c:v>
                </c:pt>
                <c:pt idx="704">
                  <c:v>angustiloba-4</c:v>
                </c:pt>
                <c:pt idx="705">
                  <c:v>olanchana-25</c:v>
                </c:pt>
                <c:pt idx="706">
                  <c:v>aurea-26</c:v>
                </c:pt>
                <c:pt idx="707">
                  <c:v>excelsa-30</c:v>
                </c:pt>
                <c:pt idx="708">
                  <c:v>huberi-50</c:v>
                </c:pt>
                <c:pt idx="709">
                  <c:v>cruentum-4</c:v>
                </c:pt>
                <c:pt idx="710">
                  <c:v>morototoni-5</c:v>
                </c:pt>
                <c:pt idx="711">
                  <c:v>acuminata-16</c:v>
                </c:pt>
                <c:pt idx="712">
                  <c:v>lusitanica-18</c:v>
                </c:pt>
                <c:pt idx="713">
                  <c:v>sp-26</c:v>
                </c:pt>
                <c:pt idx="714">
                  <c:v>cyclocarpum-30</c:v>
                </c:pt>
                <c:pt idx="715">
                  <c:v>frondosus-31</c:v>
                </c:pt>
                <c:pt idx="716">
                  <c:v>glomerata-50</c:v>
                </c:pt>
                <c:pt idx="717">
                  <c:v>guianensis-59</c:v>
                </c:pt>
                <c:pt idx="718">
                  <c:v>heterophylla-7</c:v>
                </c:pt>
                <c:pt idx="719">
                  <c:v>dodecandra-10</c:v>
                </c:pt>
                <c:pt idx="720">
                  <c:v>oblongifolia-15</c:v>
                </c:pt>
                <c:pt idx="721">
                  <c:v>nitens-17</c:v>
                </c:pt>
                <c:pt idx="722">
                  <c:v>cf-platyloba-29</c:v>
                </c:pt>
                <c:pt idx="723">
                  <c:v>guianensis-31</c:v>
                </c:pt>
                <c:pt idx="724">
                  <c:v>gaudichaudii-36</c:v>
                </c:pt>
                <c:pt idx="725">
                  <c:v>oleifera-37</c:v>
                </c:pt>
                <c:pt idx="726">
                  <c:v>occidentale-2</c:v>
                </c:pt>
                <c:pt idx="727">
                  <c:v>sp-17</c:v>
                </c:pt>
                <c:pt idx="728">
                  <c:v>quanzensis-29</c:v>
                </c:pt>
                <c:pt idx="729">
                  <c:v>nitida-31</c:v>
                </c:pt>
                <c:pt idx="730">
                  <c:v>sericeus-31</c:v>
                </c:pt>
                <c:pt idx="731">
                  <c:v>sp-33</c:v>
                </c:pt>
                <c:pt idx="732">
                  <c:v>album-4</c:v>
                </c:pt>
                <c:pt idx="733">
                  <c:v>flavescens-7</c:v>
                </c:pt>
                <c:pt idx="734">
                  <c:v>januarensis-17</c:v>
                </c:pt>
                <c:pt idx="735">
                  <c:v>canella-26</c:v>
                </c:pt>
                <c:pt idx="736">
                  <c:v>sp-27</c:v>
                </c:pt>
                <c:pt idx="737">
                  <c:v>angustifolia-35</c:v>
                </c:pt>
                <c:pt idx="738">
                  <c:v>macrocarpa-50</c:v>
                </c:pt>
                <c:pt idx="739">
                  <c:v>ramiflorum-4</c:v>
                </c:pt>
                <c:pt idx="740">
                  <c:v>comintana-17</c:v>
                </c:pt>
                <c:pt idx="741">
                  <c:v>krukovii-27</c:v>
                </c:pt>
                <c:pt idx="742">
                  <c:v>fastigiatus-31</c:v>
                </c:pt>
                <c:pt idx="743">
                  <c:v>macrocarpon-4</c:v>
                </c:pt>
                <c:pt idx="744">
                  <c:v>americana-19</c:v>
                </c:pt>
                <c:pt idx="745">
                  <c:v>hondurensis-31</c:v>
                </c:pt>
                <c:pt idx="746">
                  <c:v>anthotheca-35</c:v>
                </c:pt>
                <c:pt idx="747">
                  <c:v>callophylla-36</c:v>
                </c:pt>
                <c:pt idx="748">
                  <c:v>densiflora-16</c:v>
                </c:pt>
                <c:pt idx="749">
                  <c:v>eburneum-4</c:v>
                </c:pt>
                <c:pt idx="750">
                  <c:v>lucida-17</c:v>
                </c:pt>
                <c:pt idx="751">
                  <c:v>navalium-26</c:v>
                </c:pt>
                <c:pt idx="752">
                  <c:v>bancanus-56</c:v>
                </c:pt>
                <c:pt idx="753">
                  <c:v>albifora-59</c:v>
                </c:pt>
                <c:pt idx="754">
                  <c:v>guatemalensis-59</c:v>
                </c:pt>
                <c:pt idx="755">
                  <c:v>morototoni-5</c:v>
                </c:pt>
                <c:pt idx="756">
                  <c:v>incana-15</c:v>
                </c:pt>
                <c:pt idx="757">
                  <c:v>officinalis-29</c:v>
                </c:pt>
                <c:pt idx="758">
                  <c:v>davisii-29</c:v>
                </c:pt>
                <c:pt idx="759">
                  <c:v>sp-29</c:v>
                </c:pt>
                <c:pt idx="760">
                  <c:v>macracantha-30</c:v>
                </c:pt>
                <c:pt idx="761">
                  <c:v>guianensis-40</c:v>
                </c:pt>
                <c:pt idx="762">
                  <c:v>sp-50</c:v>
                </c:pt>
                <c:pt idx="763">
                  <c:v>licaniaeflora-15</c:v>
                </c:pt>
                <c:pt idx="764">
                  <c:v>dichotoma-17</c:v>
                </c:pt>
                <c:pt idx="765">
                  <c:v>guianensis-26</c:v>
                </c:pt>
                <c:pt idx="766">
                  <c:v>villosum-31</c:v>
                </c:pt>
                <c:pt idx="767">
                  <c:v>melinonii-37</c:v>
                </c:pt>
                <c:pt idx="768">
                  <c:v>araucana-6</c:v>
                </c:pt>
                <c:pt idx="769">
                  <c:v>parviflora-24</c:v>
                </c:pt>
                <c:pt idx="770">
                  <c:v>avellanedae-7</c:v>
                </c:pt>
                <c:pt idx="771">
                  <c:v>caribaea-30</c:v>
                </c:pt>
                <c:pt idx="772">
                  <c:v>triandra-15</c:v>
                </c:pt>
                <c:pt idx="773">
                  <c:v>costulata-26</c:v>
                </c:pt>
                <c:pt idx="774">
                  <c:v>elata-31</c:v>
                </c:pt>
                <c:pt idx="775">
                  <c:v>macrocarpus-31</c:v>
                </c:pt>
                <c:pt idx="776">
                  <c:v>ovalifolia-39</c:v>
                </c:pt>
                <c:pt idx="777">
                  <c:v>macrophylla-50</c:v>
                </c:pt>
                <c:pt idx="778">
                  <c:v>excelsa-50</c:v>
                </c:pt>
                <c:pt idx="779">
                  <c:v>urundeuva-2</c:v>
                </c:pt>
                <c:pt idx="780">
                  <c:v>parviflora-15</c:v>
                </c:pt>
                <c:pt idx="781">
                  <c:v>chebula-17</c:v>
                </c:pt>
                <c:pt idx="782">
                  <c:v>sericea-17</c:v>
                </c:pt>
                <c:pt idx="783">
                  <c:v>jarana-27</c:v>
                </c:pt>
                <c:pt idx="784">
                  <c:v>guianense-36</c:v>
                </c:pt>
                <c:pt idx="785">
                  <c:v>macropylla-4</c:v>
                </c:pt>
                <c:pt idx="786">
                  <c:v>trilocularis-50</c:v>
                </c:pt>
                <c:pt idx="787">
                  <c:v>emarginata-15</c:v>
                </c:pt>
                <c:pt idx="788">
                  <c:v>benghalensis-36</c:v>
                </c:pt>
                <c:pt idx="789">
                  <c:v>tomentosum-4</c:v>
                </c:pt>
                <c:pt idx="790">
                  <c:v>balsamum-31</c:v>
                </c:pt>
                <c:pt idx="791">
                  <c:v>fluminensis-33</c:v>
                </c:pt>
                <c:pt idx="792">
                  <c:v>megalantha-10</c:v>
                </c:pt>
                <c:pt idx="793">
                  <c:v>apetala-15</c:v>
                </c:pt>
                <c:pt idx="794">
                  <c:v>odora-27</c:v>
                </c:pt>
                <c:pt idx="795">
                  <c:v>obionga-17</c:v>
                </c:pt>
                <c:pt idx="796">
                  <c:v>sp-21</c:v>
                </c:pt>
                <c:pt idx="797">
                  <c:v>pisonis-27</c:v>
                </c:pt>
                <c:pt idx="798">
                  <c:v>grandiflora-35</c:v>
                </c:pt>
                <c:pt idx="799">
                  <c:v>congensis-4</c:v>
                </c:pt>
                <c:pt idx="800">
                  <c:v>macrophylla-16</c:v>
                </c:pt>
                <c:pt idx="801">
                  <c:v>estrellensis-27</c:v>
                </c:pt>
                <c:pt idx="802">
                  <c:v>uncinatum-59</c:v>
                </c:pt>
                <c:pt idx="803">
                  <c:v>glauca-51</c:v>
                </c:pt>
                <c:pt idx="804">
                  <c:v>plurijaga-29</c:v>
                </c:pt>
                <c:pt idx="805">
                  <c:v>langsdorfii-29</c:v>
                </c:pt>
                <c:pt idx="806">
                  <c:v>altissima-36</c:v>
                </c:pt>
                <c:pt idx="807">
                  <c:v>britteniana-15</c:v>
                </c:pt>
                <c:pt idx="808">
                  <c:v>polita-15</c:v>
                </c:pt>
                <c:pt idx="809">
                  <c:v>arborea-58</c:v>
                </c:pt>
                <c:pt idx="810">
                  <c:v>sanctum-60</c:v>
                </c:pt>
                <c:pt idx="811">
                  <c:v>ochracea-7</c:v>
                </c:pt>
                <c:pt idx="812">
                  <c:v>senegalensis-35</c:v>
                </c:pt>
                <c:pt idx="813">
                  <c:v>costulata-4</c:v>
                </c:pt>
                <c:pt idx="814">
                  <c:v>cupressoides-18</c:v>
                </c:pt>
                <c:pt idx="815">
                  <c:v>heptaphyllum-11</c:v>
                </c:pt>
                <c:pt idx="816">
                  <c:v>coriacea-27</c:v>
                </c:pt>
                <c:pt idx="817">
                  <c:v>elongata-37</c:v>
                </c:pt>
                <c:pt idx="818">
                  <c:v>ivorensis-17</c:v>
                </c:pt>
                <c:pt idx="819">
                  <c:v>augustifolium-36</c:v>
                </c:pt>
                <c:pt idx="820">
                  <c:v>furcata-50</c:v>
                </c:pt>
                <c:pt idx="821">
                  <c:v>guianensis-36</c:v>
                </c:pt>
                <c:pt idx="822">
                  <c:v>araroba-31</c:v>
                </c:pt>
                <c:pt idx="823">
                  <c:v>anibifolia-50</c:v>
                </c:pt>
                <c:pt idx="824">
                  <c:v>neotropica-25</c:v>
                </c:pt>
                <c:pt idx="825">
                  <c:v>angolensis-31</c:v>
                </c:pt>
                <c:pt idx="826">
                  <c:v>pinnatum-31</c:v>
                </c:pt>
                <c:pt idx="827">
                  <c:v>odorata-31</c:v>
                </c:pt>
                <c:pt idx="828">
                  <c:v>grandis-38</c:v>
                </c:pt>
                <c:pt idx="829">
                  <c:v>sp-38</c:v>
                </c:pt>
                <c:pt idx="830">
                  <c:v>canjerana-35</c:v>
                </c:pt>
                <c:pt idx="831">
                  <c:v>robusta-44</c:v>
                </c:pt>
                <c:pt idx="832">
                  <c:v>superba-17</c:v>
                </c:pt>
                <c:pt idx="833">
                  <c:v>cinerea-25</c:v>
                </c:pt>
                <c:pt idx="834">
                  <c:v>glabra-35</c:v>
                </c:pt>
                <c:pt idx="835">
                  <c:v>humilis-35</c:v>
                </c:pt>
                <c:pt idx="836">
                  <c:v>mahagoni-35</c:v>
                </c:pt>
                <c:pt idx="837">
                  <c:v>pertusa-36</c:v>
                </c:pt>
                <c:pt idx="838">
                  <c:v>robustum-31</c:v>
                </c:pt>
                <c:pt idx="839">
                  <c:v>koschnyi-37</c:v>
                </c:pt>
                <c:pt idx="840">
                  <c:v>echinata-29</c:v>
                </c:pt>
                <c:pt idx="841">
                  <c:v>ipe-7</c:v>
                </c:pt>
                <c:pt idx="842">
                  <c:v>belerica-17</c:v>
                </c:pt>
                <c:pt idx="843">
                  <c:v>excelsa-27</c:v>
                </c:pt>
                <c:pt idx="844">
                  <c:v>sebifera-37</c:v>
                </c:pt>
                <c:pt idx="845">
                  <c:v>villosum-12</c:v>
                </c:pt>
                <c:pt idx="846">
                  <c:v>macrophylla-15</c:v>
                </c:pt>
                <c:pt idx="847">
                  <c:v>guianensis-29</c:v>
                </c:pt>
                <c:pt idx="848">
                  <c:v>legalis-27</c:v>
                </c:pt>
                <c:pt idx="849">
                  <c:v>catenaeformis-30</c:v>
                </c:pt>
                <c:pt idx="850">
                  <c:v>lecointel-2</c:v>
                </c:pt>
                <c:pt idx="851">
                  <c:v>chrysantha-7</c:v>
                </c:pt>
                <c:pt idx="852">
                  <c:v>sp-15</c:v>
                </c:pt>
                <c:pt idx="853">
                  <c:v>americana-29</c:v>
                </c:pt>
                <c:pt idx="854">
                  <c:v>surinamensis-37</c:v>
                </c:pt>
                <c:pt idx="855">
                  <c:v>desmanthum-4</c:v>
                </c:pt>
                <c:pt idx="856">
                  <c:v>cuspidata-54</c:v>
                </c:pt>
                <c:pt idx="857">
                  <c:v>angustifolia-6</c:v>
                </c:pt>
                <c:pt idx="858">
                  <c:v>potabile-36</c:v>
                </c:pt>
                <c:pt idx="859">
                  <c:v>sp-37</c:v>
                </c:pt>
                <c:pt idx="860">
                  <c:v>insignis-16</c:v>
                </c:pt>
                <c:pt idx="861">
                  <c:v>angolensis-31</c:v>
                </c:pt>
                <c:pt idx="862">
                  <c:v>amara-51</c:v>
                </c:pt>
                <c:pt idx="863">
                  <c:v>americana-10</c:v>
                </c:pt>
                <c:pt idx="864">
                  <c:v>octandra-15</c:v>
                </c:pt>
                <c:pt idx="865">
                  <c:v>rodiaei-26</c:v>
                </c:pt>
                <c:pt idx="866">
                  <c:v>polystachyum-31</c:v>
                </c:pt>
                <c:pt idx="867">
                  <c:v>arborea-30</c:v>
                </c:pt>
                <c:pt idx="868">
                  <c:v>acutifolium-36</c:v>
                </c:pt>
                <c:pt idx="869">
                  <c:v>rubra-26</c:v>
                </c:pt>
                <c:pt idx="870">
                  <c:v>macroloba-30</c:v>
                </c:pt>
                <c:pt idx="871">
                  <c:v>maximum-30</c:v>
                </c:pt>
                <c:pt idx="872">
                  <c:v>sp-50</c:v>
                </c:pt>
                <c:pt idx="873">
                  <c:v>guayacan-7</c:v>
                </c:pt>
                <c:pt idx="874">
                  <c:v>rubenscens-36</c:v>
                </c:pt>
                <c:pt idx="875">
                  <c:v>heteromorpha-15</c:v>
                </c:pt>
                <c:pt idx="876">
                  <c:v>cearensis-31</c:v>
                </c:pt>
                <c:pt idx="877">
                  <c:v>parahybum-29</c:v>
                </c:pt>
                <c:pt idx="878">
                  <c:v>scholaris-4</c:v>
                </c:pt>
                <c:pt idx="879">
                  <c:v>peroba-7</c:v>
                </c:pt>
                <c:pt idx="880">
                  <c:v>polyneuron-4</c:v>
                </c:pt>
                <c:pt idx="881">
                  <c:v>trichotoma-10</c:v>
                </c:pt>
                <c:pt idx="882">
                  <c:v>catappa-17</c:v>
                </c:pt>
                <c:pt idx="883">
                  <c:v>indicus-31</c:v>
                </c:pt>
                <c:pt idx="884">
                  <c:v>goeldiana-10</c:v>
                </c:pt>
                <c:pt idx="885">
                  <c:v>sp-26</c:v>
                </c:pt>
                <c:pt idx="886">
                  <c:v>porosa-26</c:v>
                </c:pt>
                <c:pt idx="887">
                  <c:v>capitata-17</c:v>
                </c:pt>
                <c:pt idx="888">
                  <c:v>hondurensis-59</c:v>
                </c:pt>
                <c:pt idx="889">
                  <c:v>excelsum-2</c:v>
                </c:pt>
                <c:pt idx="890">
                  <c:v>nitida-36</c:v>
                </c:pt>
                <c:pt idx="891">
                  <c:v>ferruginea-59</c:v>
                </c:pt>
                <c:pt idx="892">
                  <c:v>quinata-9</c:v>
                </c:pt>
                <c:pt idx="893">
                  <c:v>glabrum-12</c:v>
                </c:pt>
                <c:pt idx="894">
                  <c:v>megalocarpon-4</c:v>
                </c:pt>
                <c:pt idx="895">
                  <c:v>saman-30</c:v>
                </c:pt>
                <c:pt idx="896">
                  <c:v>bidentata-50</c:v>
                </c:pt>
                <c:pt idx="897">
                  <c:v>donneii-smithii-7</c:v>
                </c:pt>
                <c:pt idx="898">
                  <c:v>copaia-7</c:v>
                </c:pt>
                <c:pt idx="899">
                  <c:v>fissilis-35</c:v>
                </c:pt>
                <c:pt idx="900">
                  <c:v>glabra-14</c:v>
                </c:pt>
                <c:pt idx="901">
                  <c:v>rosea-7</c:v>
                </c:pt>
                <c:pt idx="902">
                  <c:v>zapotilla-50</c:v>
                </c:pt>
                <c:pt idx="903">
                  <c:v>serratifolia-7</c:v>
                </c:pt>
                <c:pt idx="904">
                  <c:v>leiocarpa-29</c:v>
                </c:pt>
                <c:pt idx="905">
                  <c:v>simaruba-11</c:v>
                </c:pt>
                <c:pt idx="906">
                  <c:v>guianensis-2</c:v>
                </c:pt>
                <c:pt idx="907">
                  <c:v>sp-17</c:v>
                </c:pt>
                <c:pt idx="908">
                  <c:v>guianense-29</c:v>
                </c:pt>
                <c:pt idx="909">
                  <c:v>amazonia-17</c:v>
                </c:pt>
                <c:pt idx="910">
                  <c:v>schomburgkii-30</c:v>
                </c:pt>
                <c:pt idx="911">
                  <c:v>graveolens-2</c:v>
                </c:pt>
                <c:pt idx="912">
                  <c:v>ivorensis-35</c:v>
                </c:pt>
                <c:pt idx="913">
                  <c:v>pentandra-9</c:v>
                </c:pt>
                <c:pt idx="914">
                  <c:v>alchorneoides-22</c:v>
                </c:pt>
                <c:pt idx="915">
                  <c:v>courbaril-29</c:v>
                </c:pt>
                <c:pt idx="916">
                  <c:v>crepitans-22</c:v>
                </c:pt>
                <c:pt idx="917">
                  <c:v>grandis-58</c:v>
                </c:pt>
                <c:pt idx="918">
                  <c:v>brasiliense-16</c:v>
                </c:pt>
                <c:pt idx="919">
                  <c:v>sp-4</c:v>
                </c:pt>
                <c:pt idx="920">
                  <c:v>odorata-35</c:v>
                </c:pt>
                <c:pt idx="921">
                  <c:v>guianensis-35</c:v>
                </c:pt>
                <c:pt idx="922">
                  <c:v>globulifera-16</c:v>
                </c:pt>
                <c:pt idx="923">
                  <c:v>macrophylla-35</c:v>
                </c:pt>
                <c:pt idx="924">
                  <c:v>alliodora-10</c:v>
                </c:pt>
              </c:strCache>
            </c:strRef>
          </c:cat>
          <c:val>
            <c:numRef>
              <c:f>Taxonomy!$I$2:$I$926</c:f>
              <c:numCache>
                <c:formatCode>#,##0</c:formatCode>
                <c:ptCount val="92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40</c:v>
                </c:pt>
                <c:pt idx="104">
                  <c:v>40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40</c:v>
                </c:pt>
                <c:pt idx="126">
                  <c:v>40</c:v>
                </c:pt>
                <c:pt idx="127">
                  <c:v>40</c:v>
                </c:pt>
                <c:pt idx="128">
                  <c:v>40</c:v>
                </c:pt>
                <c:pt idx="129">
                  <c:v>40</c:v>
                </c:pt>
                <c:pt idx="130">
                  <c:v>40</c:v>
                </c:pt>
                <c:pt idx="131">
                  <c:v>40</c:v>
                </c:pt>
                <c:pt idx="132">
                  <c:v>40</c:v>
                </c:pt>
                <c:pt idx="133">
                  <c:v>40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40</c:v>
                </c:pt>
                <c:pt idx="139">
                  <c:v>40</c:v>
                </c:pt>
                <c:pt idx="140">
                  <c:v>40</c:v>
                </c:pt>
                <c:pt idx="141">
                  <c:v>40</c:v>
                </c:pt>
                <c:pt idx="142">
                  <c:v>40</c:v>
                </c:pt>
                <c:pt idx="143">
                  <c:v>40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60</c:v>
                </c:pt>
                <c:pt idx="276">
                  <c:v>60</c:v>
                </c:pt>
                <c:pt idx="277">
                  <c:v>60</c:v>
                </c:pt>
                <c:pt idx="278">
                  <c:v>60</c:v>
                </c:pt>
                <c:pt idx="279">
                  <c:v>60</c:v>
                </c:pt>
                <c:pt idx="280">
                  <c:v>60</c:v>
                </c:pt>
                <c:pt idx="281">
                  <c:v>60</c:v>
                </c:pt>
                <c:pt idx="282">
                  <c:v>60</c:v>
                </c:pt>
                <c:pt idx="283">
                  <c:v>60</c:v>
                </c:pt>
                <c:pt idx="284">
                  <c:v>60</c:v>
                </c:pt>
                <c:pt idx="285">
                  <c:v>60</c:v>
                </c:pt>
                <c:pt idx="286">
                  <c:v>60</c:v>
                </c:pt>
                <c:pt idx="287">
                  <c:v>60</c:v>
                </c:pt>
                <c:pt idx="288">
                  <c:v>60</c:v>
                </c:pt>
                <c:pt idx="289">
                  <c:v>60</c:v>
                </c:pt>
                <c:pt idx="290">
                  <c:v>60</c:v>
                </c:pt>
                <c:pt idx="291">
                  <c:v>60</c:v>
                </c:pt>
                <c:pt idx="292">
                  <c:v>60</c:v>
                </c:pt>
                <c:pt idx="293">
                  <c:v>60</c:v>
                </c:pt>
                <c:pt idx="294">
                  <c:v>60</c:v>
                </c:pt>
                <c:pt idx="295">
                  <c:v>70</c:v>
                </c:pt>
                <c:pt idx="296">
                  <c:v>70</c:v>
                </c:pt>
                <c:pt idx="297">
                  <c:v>70</c:v>
                </c:pt>
                <c:pt idx="298">
                  <c:v>70</c:v>
                </c:pt>
                <c:pt idx="299">
                  <c:v>70</c:v>
                </c:pt>
                <c:pt idx="300">
                  <c:v>70</c:v>
                </c:pt>
                <c:pt idx="301">
                  <c:v>70</c:v>
                </c:pt>
                <c:pt idx="302">
                  <c:v>70</c:v>
                </c:pt>
                <c:pt idx="303">
                  <c:v>70</c:v>
                </c:pt>
                <c:pt idx="304">
                  <c:v>70</c:v>
                </c:pt>
                <c:pt idx="305">
                  <c:v>70</c:v>
                </c:pt>
                <c:pt idx="306">
                  <c:v>70</c:v>
                </c:pt>
                <c:pt idx="307">
                  <c:v>70</c:v>
                </c:pt>
                <c:pt idx="308">
                  <c:v>70</c:v>
                </c:pt>
                <c:pt idx="309">
                  <c:v>70</c:v>
                </c:pt>
                <c:pt idx="310">
                  <c:v>70</c:v>
                </c:pt>
                <c:pt idx="311">
                  <c:v>70</c:v>
                </c:pt>
                <c:pt idx="312">
                  <c:v>70</c:v>
                </c:pt>
                <c:pt idx="313">
                  <c:v>70</c:v>
                </c:pt>
                <c:pt idx="314">
                  <c:v>70</c:v>
                </c:pt>
                <c:pt idx="315">
                  <c:v>70</c:v>
                </c:pt>
                <c:pt idx="316">
                  <c:v>70</c:v>
                </c:pt>
                <c:pt idx="317">
                  <c:v>70</c:v>
                </c:pt>
                <c:pt idx="318">
                  <c:v>70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70</c:v>
                </c:pt>
                <c:pt idx="323">
                  <c:v>70</c:v>
                </c:pt>
                <c:pt idx="324">
                  <c:v>70</c:v>
                </c:pt>
                <c:pt idx="325">
                  <c:v>70</c:v>
                </c:pt>
                <c:pt idx="326">
                  <c:v>70</c:v>
                </c:pt>
                <c:pt idx="327">
                  <c:v>70</c:v>
                </c:pt>
                <c:pt idx="328">
                  <c:v>70</c:v>
                </c:pt>
                <c:pt idx="329">
                  <c:v>70</c:v>
                </c:pt>
                <c:pt idx="330">
                  <c:v>70</c:v>
                </c:pt>
                <c:pt idx="331">
                  <c:v>70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80</c:v>
                </c:pt>
                <c:pt idx="350">
                  <c:v>80</c:v>
                </c:pt>
                <c:pt idx="351">
                  <c:v>80</c:v>
                </c:pt>
                <c:pt idx="352">
                  <c:v>80</c:v>
                </c:pt>
                <c:pt idx="353">
                  <c:v>80</c:v>
                </c:pt>
                <c:pt idx="354">
                  <c:v>80</c:v>
                </c:pt>
                <c:pt idx="355">
                  <c:v>80</c:v>
                </c:pt>
                <c:pt idx="356">
                  <c:v>80</c:v>
                </c:pt>
                <c:pt idx="357">
                  <c:v>80</c:v>
                </c:pt>
                <c:pt idx="358">
                  <c:v>80</c:v>
                </c:pt>
                <c:pt idx="359">
                  <c:v>80</c:v>
                </c:pt>
                <c:pt idx="360">
                  <c:v>80</c:v>
                </c:pt>
                <c:pt idx="361">
                  <c:v>80</c:v>
                </c:pt>
                <c:pt idx="362">
                  <c:v>80</c:v>
                </c:pt>
                <c:pt idx="363">
                  <c:v>80</c:v>
                </c:pt>
                <c:pt idx="364">
                  <c:v>80</c:v>
                </c:pt>
                <c:pt idx="365">
                  <c:v>80</c:v>
                </c:pt>
                <c:pt idx="366">
                  <c:v>80</c:v>
                </c:pt>
                <c:pt idx="367">
                  <c:v>80</c:v>
                </c:pt>
                <c:pt idx="368">
                  <c:v>80</c:v>
                </c:pt>
                <c:pt idx="369">
                  <c:v>80</c:v>
                </c:pt>
                <c:pt idx="370">
                  <c:v>80</c:v>
                </c:pt>
                <c:pt idx="371">
                  <c:v>80</c:v>
                </c:pt>
                <c:pt idx="372">
                  <c:v>80</c:v>
                </c:pt>
                <c:pt idx="373">
                  <c:v>80</c:v>
                </c:pt>
                <c:pt idx="374">
                  <c:v>80</c:v>
                </c:pt>
                <c:pt idx="375">
                  <c:v>80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80</c:v>
                </c:pt>
                <c:pt idx="380">
                  <c:v>80</c:v>
                </c:pt>
                <c:pt idx="381">
                  <c:v>80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80</c:v>
                </c:pt>
                <c:pt idx="386">
                  <c:v>80</c:v>
                </c:pt>
                <c:pt idx="387">
                  <c:v>80</c:v>
                </c:pt>
                <c:pt idx="388">
                  <c:v>80</c:v>
                </c:pt>
                <c:pt idx="389">
                  <c:v>80</c:v>
                </c:pt>
                <c:pt idx="390">
                  <c:v>90</c:v>
                </c:pt>
                <c:pt idx="391">
                  <c:v>90</c:v>
                </c:pt>
                <c:pt idx="392">
                  <c:v>90</c:v>
                </c:pt>
                <c:pt idx="393">
                  <c:v>90</c:v>
                </c:pt>
                <c:pt idx="394">
                  <c:v>90</c:v>
                </c:pt>
                <c:pt idx="395">
                  <c:v>90</c:v>
                </c:pt>
                <c:pt idx="396">
                  <c:v>90</c:v>
                </c:pt>
                <c:pt idx="397">
                  <c:v>90</c:v>
                </c:pt>
                <c:pt idx="398">
                  <c:v>90</c:v>
                </c:pt>
                <c:pt idx="399">
                  <c:v>90</c:v>
                </c:pt>
                <c:pt idx="400">
                  <c:v>90</c:v>
                </c:pt>
                <c:pt idx="401">
                  <c:v>90</c:v>
                </c:pt>
                <c:pt idx="402">
                  <c:v>90</c:v>
                </c:pt>
                <c:pt idx="403">
                  <c:v>90</c:v>
                </c:pt>
                <c:pt idx="404">
                  <c:v>90</c:v>
                </c:pt>
                <c:pt idx="405">
                  <c:v>90</c:v>
                </c:pt>
                <c:pt idx="406">
                  <c:v>90</c:v>
                </c:pt>
                <c:pt idx="407">
                  <c:v>90</c:v>
                </c:pt>
                <c:pt idx="408">
                  <c:v>90</c:v>
                </c:pt>
                <c:pt idx="409">
                  <c:v>90</c:v>
                </c:pt>
                <c:pt idx="410">
                  <c:v>90</c:v>
                </c:pt>
                <c:pt idx="411">
                  <c:v>90</c:v>
                </c:pt>
                <c:pt idx="412">
                  <c:v>90</c:v>
                </c:pt>
                <c:pt idx="413">
                  <c:v>90</c:v>
                </c:pt>
                <c:pt idx="414">
                  <c:v>90</c:v>
                </c:pt>
                <c:pt idx="415">
                  <c:v>90</c:v>
                </c:pt>
                <c:pt idx="416">
                  <c:v>90</c:v>
                </c:pt>
                <c:pt idx="417">
                  <c:v>90</c:v>
                </c:pt>
                <c:pt idx="418">
                  <c:v>90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110</c:v>
                </c:pt>
                <c:pt idx="455">
                  <c:v>110</c:v>
                </c:pt>
                <c:pt idx="456">
                  <c:v>110</c:v>
                </c:pt>
                <c:pt idx="457">
                  <c:v>110</c:v>
                </c:pt>
                <c:pt idx="458">
                  <c:v>110</c:v>
                </c:pt>
                <c:pt idx="459">
                  <c:v>110</c:v>
                </c:pt>
                <c:pt idx="460">
                  <c:v>110</c:v>
                </c:pt>
                <c:pt idx="461">
                  <c:v>110</c:v>
                </c:pt>
                <c:pt idx="462">
                  <c:v>110</c:v>
                </c:pt>
                <c:pt idx="463">
                  <c:v>110</c:v>
                </c:pt>
                <c:pt idx="464">
                  <c:v>110</c:v>
                </c:pt>
                <c:pt idx="465">
                  <c:v>110</c:v>
                </c:pt>
                <c:pt idx="466">
                  <c:v>110</c:v>
                </c:pt>
                <c:pt idx="467">
                  <c:v>110</c:v>
                </c:pt>
                <c:pt idx="468">
                  <c:v>110</c:v>
                </c:pt>
                <c:pt idx="469">
                  <c:v>110</c:v>
                </c:pt>
                <c:pt idx="470">
                  <c:v>110</c:v>
                </c:pt>
                <c:pt idx="471">
                  <c:v>110</c:v>
                </c:pt>
                <c:pt idx="472">
                  <c:v>110</c:v>
                </c:pt>
                <c:pt idx="473">
                  <c:v>110</c:v>
                </c:pt>
                <c:pt idx="474">
                  <c:v>110</c:v>
                </c:pt>
                <c:pt idx="475">
                  <c:v>110</c:v>
                </c:pt>
                <c:pt idx="476">
                  <c:v>110</c:v>
                </c:pt>
                <c:pt idx="477">
                  <c:v>110</c:v>
                </c:pt>
                <c:pt idx="478">
                  <c:v>110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120</c:v>
                </c:pt>
                <c:pt idx="486">
                  <c:v>120</c:v>
                </c:pt>
                <c:pt idx="487">
                  <c:v>120</c:v>
                </c:pt>
                <c:pt idx="488">
                  <c:v>120</c:v>
                </c:pt>
                <c:pt idx="489">
                  <c:v>120</c:v>
                </c:pt>
                <c:pt idx="490">
                  <c:v>120</c:v>
                </c:pt>
                <c:pt idx="491">
                  <c:v>120</c:v>
                </c:pt>
                <c:pt idx="492">
                  <c:v>120</c:v>
                </c:pt>
                <c:pt idx="493">
                  <c:v>120</c:v>
                </c:pt>
                <c:pt idx="494">
                  <c:v>120</c:v>
                </c:pt>
                <c:pt idx="495">
                  <c:v>120</c:v>
                </c:pt>
                <c:pt idx="496">
                  <c:v>120</c:v>
                </c:pt>
                <c:pt idx="497">
                  <c:v>120</c:v>
                </c:pt>
                <c:pt idx="498">
                  <c:v>120</c:v>
                </c:pt>
                <c:pt idx="499">
                  <c:v>120</c:v>
                </c:pt>
                <c:pt idx="500">
                  <c:v>120</c:v>
                </c:pt>
                <c:pt idx="501">
                  <c:v>120</c:v>
                </c:pt>
                <c:pt idx="502">
                  <c:v>120</c:v>
                </c:pt>
                <c:pt idx="503">
                  <c:v>120</c:v>
                </c:pt>
                <c:pt idx="504">
                  <c:v>120</c:v>
                </c:pt>
                <c:pt idx="505">
                  <c:v>120</c:v>
                </c:pt>
                <c:pt idx="506">
                  <c:v>120</c:v>
                </c:pt>
                <c:pt idx="507">
                  <c:v>120</c:v>
                </c:pt>
                <c:pt idx="508">
                  <c:v>120</c:v>
                </c:pt>
                <c:pt idx="509">
                  <c:v>120</c:v>
                </c:pt>
                <c:pt idx="510">
                  <c:v>130</c:v>
                </c:pt>
                <c:pt idx="511">
                  <c:v>130</c:v>
                </c:pt>
                <c:pt idx="512">
                  <c:v>130</c:v>
                </c:pt>
                <c:pt idx="513">
                  <c:v>130</c:v>
                </c:pt>
                <c:pt idx="514">
                  <c:v>130</c:v>
                </c:pt>
                <c:pt idx="515">
                  <c:v>130</c:v>
                </c:pt>
                <c:pt idx="516">
                  <c:v>130</c:v>
                </c:pt>
                <c:pt idx="517">
                  <c:v>130</c:v>
                </c:pt>
                <c:pt idx="518">
                  <c:v>130</c:v>
                </c:pt>
                <c:pt idx="519">
                  <c:v>130</c:v>
                </c:pt>
                <c:pt idx="520">
                  <c:v>130</c:v>
                </c:pt>
                <c:pt idx="521">
                  <c:v>130</c:v>
                </c:pt>
                <c:pt idx="522">
                  <c:v>130</c:v>
                </c:pt>
                <c:pt idx="523">
                  <c:v>130</c:v>
                </c:pt>
                <c:pt idx="524">
                  <c:v>130</c:v>
                </c:pt>
                <c:pt idx="525">
                  <c:v>130</c:v>
                </c:pt>
                <c:pt idx="526">
                  <c:v>130</c:v>
                </c:pt>
                <c:pt idx="527">
                  <c:v>130</c:v>
                </c:pt>
                <c:pt idx="528">
                  <c:v>130</c:v>
                </c:pt>
                <c:pt idx="529">
                  <c:v>130</c:v>
                </c:pt>
                <c:pt idx="530">
                  <c:v>130</c:v>
                </c:pt>
                <c:pt idx="531">
                  <c:v>130</c:v>
                </c:pt>
                <c:pt idx="532">
                  <c:v>130</c:v>
                </c:pt>
                <c:pt idx="533">
                  <c:v>140</c:v>
                </c:pt>
                <c:pt idx="534">
                  <c:v>140</c:v>
                </c:pt>
                <c:pt idx="535">
                  <c:v>140</c:v>
                </c:pt>
                <c:pt idx="536">
                  <c:v>140</c:v>
                </c:pt>
                <c:pt idx="537">
                  <c:v>140</c:v>
                </c:pt>
                <c:pt idx="538">
                  <c:v>140</c:v>
                </c:pt>
                <c:pt idx="539">
                  <c:v>140</c:v>
                </c:pt>
                <c:pt idx="540">
                  <c:v>140</c:v>
                </c:pt>
                <c:pt idx="541">
                  <c:v>140</c:v>
                </c:pt>
                <c:pt idx="542">
                  <c:v>140</c:v>
                </c:pt>
                <c:pt idx="543">
                  <c:v>140</c:v>
                </c:pt>
                <c:pt idx="544">
                  <c:v>140</c:v>
                </c:pt>
                <c:pt idx="545">
                  <c:v>140</c:v>
                </c:pt>
                <c:pt idx="546">
                  <c:v>140</c:v>
                </c:pt>
                <c:pt idx="547">
                  <c:v>140</c:v>
                </c:pt>
                <c:pt idx="548">
                  <c:v>140</c:v>
                </c:pt>
                <c:pt idx="549">
                  <c:v>140</c:v>
                </c:pt>
                <c:pt idx="550">
                  <c:v>140</c:v>
                </c:pt>
                <c:pt idx="551">
                  <c:v>140</c:v>
                </c:pt>
                <c:pt idx="552">
                  <c:v>140</c:v>
                </c:pt>
                <c:pt idx="553">
                  <c:v>140</c:v>
                </c:pt>
                <c:pt idx="554">
                  <c:v>140</c:v>
                </c:pt>
                <c:pt idx="555">
                  <c:v>150</c:v>
                </c:pt>
                <c:pt idx="556">
                  <c:v>150</c:v>
                </c:pt>
                <c:pt idx="557">
                  <c:v>150</c:v>
                </c:pt>
                <c:pt idx="558">
                  <c:v>150</c:v>
                </c:pt>
                <c:pt idx="559">
                  <c:v>150</c:v>
                </c:pt>
                <c:pt idx="560">
                  <c:v>150</c:v>
                </c:pt>
                <c:pt idx="561">
                  <c:v>150</c:v>
                </c:pt>
                <c:pt idx="562">
                  <c:v>150</c:v>
                </c:pt>
                <c:pt idx="563">
                  <c:v>150</c:v>
                </c:pt>
                <c:pt idx="564">
                  <c:v>150</c:v>
                </c:pt>
                <c:pt idx="565">
                  <c:v>150</c:v>
                </c:pt>
                <c:pt idx="566">
                  <c:v>150</c:v>
                </c:pt>
                <c:pt idx="567">
                  <c:v>150</c:v>
                </c:pt>
                <c:pt idx="568">
                  <c:v>150</c:v>
                </c:pt>
                <c:pt idx="569">
                  <c:v>150</c:v>
                </c:pt>
                <c:pt idx="570">
                  <c:v>150</c:v>
                </c:pt>
                <c:pt idx="571">
                  <c:v>150</c:v>
                </c:pt>
                <c:pt idx="572">
                  <c:v>150</c:v>
                </c:pt>
                <c:pt idx="573">
                  <c:v>150</c:v>
                </c:pt>
                <c:pt idx="574">
                  <c:v>150</c:v>
                </c:pt>
                <c:pt idx="575">
                  <c:v>150</c:v>
                </c:pt>
                <c:pt idx="576">
                  <c:v>160</c:v>
                </c:pt>
                <c:pt idx="577">
                  <c:v>160</c:v>
                </c:pt>
                <c:pt idx="578">
                  <c:v>160</c:v>
                </c:pt>
                <c:pt idx="579">
                  <c:v>160</c:v>
                </c:pt>
                <c:pt idx="580">
                  <c:v>160</c:v>
                </c:pt>
                <c:pt idx="581">
                  <c:v>160</c:v>
                </c:pt>
                <c:pt idx="582">
                  <c:v>160</c:v>
                </c:pt>
                <c:pt idx="583">
                  <c:v>160</c:v>
                </c:pt>
                <c:pt idx="584">
                  <c:v>160</c:v>
                </c:pt>
                <c:pt idx="585">
                  <c:v>160</c:v>
                </c:pt>
                <c:pt idx="586">
                  <c:v>160</c:v>
                </c:pt>
                <c:pt idx="587">
                  <c:v>160</c:v>
                </c:pt>
                <c:pt idx="588">
                  <c:v>160</c:v>
                </c:pt>
                <c:pt idx="589">
                  <c:v>160</c:v>
                </c:pt>
                <c:pt idx="590">
                  <c:v>160</c:v>
                </c:pt>
                <c:pt idx="591">
                  <c:v>160</c:v>
                </c:pt>
                <c:pt idx="592">
                  <c:v>170</c:v>
                </c:pt>
                <c:pt idx="593">
                  <c:v>170</c:v>
                </c:pt>
                <c:pt idx="594">
                  <c:v>170</c:v>
                </c:pt>
                <c:pt idx="595">
                  <c:v>170</c:v>
                </c:pt>
                <c:pt idx="596">
                  <c:v>170</c:v>
                </c:pt>
                <c:pt idx="597">
                  <c:v>170</c:v>
                </c:pt>
                <c:pt idx="598">
                  <c:v>170</c:v>
                </c:pt>
                <c:pt idx="599">
                  <c:v>170</c:v>
                </c:pt>
                <c:pt idx="600">
                  <c:v>170</c:v>
                </c:pt>
                <c:pt idx="601">
                  <c:v>170</c:v>
                </c:pt>
                <c:pt idx="602">
                  <c:v>170</c:v>
                </c:pt>
                <c:pt idx="603">
                  <c:v>170</c:v>
                </c:pt>
                <c:pt idx="604">
                  <c:v>170</c:v>
                </c:pt>
                <c:pt idx="605">
                  <c:v>170</c:v>
                </c:pt>
                <c:pt idx="606">
                  <c:v>170</c:v>
                </c:pt>
                <c:pt idx="607">
                  <c:v>170</c:v>
                </c:pt>
                <c:pt idx="608">
                  <c:v>170</c:v>
                </c:pt>
                <c:pt idx="609">
                  <c:v>180</c:v>
                </c:pt>
                <c:pt idx="610">
                  <c:v>180</c:v>
                </c:pt>
                <c:pt idx="611">
                  <c:v>180</c:v>
                </c:pt>
                <c:pt idx="612">
                  <c:v>180</c:v>
                </c:pt>
                <c:pt idx="613">
                  <c:v>180</c:v>
                </c:pt>
                <c:pt idx="614">
                  <c:v>180</c:v>
                </c:pt>
                <c:pt idx="615">
                  <c:v>180</c:v>
                </c:pt>
                <c:pt idx="616">
                  <c:v>180</c:v>
                </c:pt>
                <c:pt idx="617">
                  <c:v>180</c:v>
                </c:pt>
                <c:pt idx="618">
                  <c:v>180</c:v>
                </c:pt>
                <c:pt idx="619">
                  <c:v>180</c:v>
                </c:pt>
                <c:pt idx="620">
                  <c:v>190</c:v>
                </c:pt>
                <c:pt idx="621">
                  <c:v>190</c:v>
                </c:pt>
                <c:pt idx="622">
                  <c:v>190</c:v>
                </c:pt>
                <c:pt idx="623">
                  <c:v>190</c:v>
                </c:pt>
                <c:pt idx="624">
                  <c:v>190</c:v>
                </c:pt>
                <c:pt idx="625">
                  <c:v>190</c:v>
                </c:pt>
                <c:pt idx="626">
                  <c:v>190</c:v>
                </c:pt>
                <c:pt idx="627">
                  <c:v>190</c:v>
                </c:pt>
                <c:pt idx="628">
                  <c:v>190</c:v>
                </c:pt>
                <c:pt idx="629">
                  <c:v>190</c:v>
                </c:pt>
                <c:pt idx="630">
                  <c:v>190</c:v>
                </c:pt>
                <c:pt idx="631">
                  <c:v>190</c:v>
                </c:pt>
                <c:pt idx="632">
                  <c:v>190</c:v>
                </c:pt>
                <c:pt idx="633">
                  <c:v>190</c:v>
                </c:pt>
                <c:pt idx="634">
                  <c:v>200</c:v>
                </c:pt>
                <c:pt idx="635">
                  <c:v>200</c:v>
                </c:pt>
                <c:pt idx="636">
                  <c:v>200</c:v>
                </c:pt>
                <c:pt idx="637">
                  <c:v>200</c:v>
                </c:pt>
                <c:pt idx="638">
                  <c:v>200</c:v>
                </c:pt>
                <c:pt idx="639">
                  <c:v>200</c:v>
                </c:pt>
                <c:pt idx="640">
                  <c:v>200</c:v>
                </c:pt>
                <c:pt idx="641">
                  <c:v>200</c:v>
                </c:pt>
                <c:pt idx="642">
                  <c:v>200</c:v>
                </c:pt>
                <c:pt idx="643">
                  <c:v>200</c:v>
                </c:pt>
                <c:pt idx="644">
                  <c:v>200</c:v>
                </c:pt>
                <c:pt idx="645">
                  <c:v>200</c:v>
                </c:pt>
                <c:pt idx="646">
                  <c:v>200</c:v>
                </c:pt>
                <c:pt idx="647">
                  <c:v>200</c:v>
                </c:pt>
                <c:pt idx="648">
                  <c:v>200</c:v>
                </c:pt>
                <c:pt idx="649">
                  <c:v>200</c:v>
                </c:pt>
                <c:pt idx="650">
                  <c:v>210</c:v>
                </c:pt>
                <c:pt idx="651">
                  <c:v>210</c:v>
                </c:pt>
                <c:pt idx="652">
                  <c:v>210</c:v>
                </c:pt>
                <c:pt idx="653">
                  <c:v>210</c:v>
                </c:pt>
                <c:pt idx="654">
                  <c:v>210</c:v>
                </c:pt>
                <c:pt idx="655">
                  <c:v>210</c:v>
                </c:pt>
                <c:pt idx="656">
                  <c:v>210</c:v>
                </c:pt>
                <c:pt idx="657">
                  <c:v>210</c:v>
                </c:pt>
                <c:pt idx="658">
                  <c:v>210</c:v>
                </c:pt>
                <c:pt idx="659">
                  <c:v>210</c:v>
                </c:pt>
                <c:pt idx="660">
                  <c:v>210</c:v>
                </c:pt>
                <c:pt idx="661">
                  <c:v>210</c:v>
                </c:pt>
                <c:pt idx="662">
                  <c:v>210</c:v>
                </c:pt>
                <c:pt idx="663">
                  <c:v>220</c:v>
                </c:pt>
                <c:pt idx="664">
                  <c:v>220</c:v>
                </c:pt>
                <c:pt idx="665">
                  <c:v>220</c:v>
                </c:pt>
                <c:pt idx="666">
                  <c:v>220</c:v>
                </c:pt>
                <c:pt idx="667">
                  <c:v>220</c:v>
                </c:pt>
                <c:pt idx="668">
                  <c:v>220</c:v>
                </c:pt>
                <c:pt idx="669">
                  <c:v>220</c:v>
                </c:pt>
                <c:pt idx="670">
                  <c:v>220</c:v>
                </c:pt>
                <c:pt idx="671">
                  <c:v>220</c:v>
                </c:pt>
                <c:pt idx="672">
                  <c:v>220</c:v>
                </c:pt>
                <c:pt idx="673">
                  <c:v>220</c:v>
                </c:pt>
                <c:pt idx="674">
                  <c:v>220</c:v>
                </c:pt>
                <c:pt idx="675">
                  <c:v>220</c:v>
                </c:pt>
                <c:pt idx="676">
                  <c:v>230</c:v>
                </c:pt>
                <c:pt idx="677">
                  <c:v>230</c:v>
                </c:pt>
                <c:pt idx="678">
                  <c:v>230</c:v>
                </c:pt>
                <c:pt idx="679">
                  <c:v>230</c:v>
                </c:pt>
                <c:pt idx="680">
                  <c:v>230</c:v>
                </c:pt>
                <c:pt idx="681">
                  <c:v>230</c:v>
                </c:pt>
                <c:pt idx="682">
                  <c:v>230</c:v>
                </c:pt>
                <c:pt idx="683">
                  <c:v>230</c:v>
                </c:pt>
                <c:pt idx="684">
                  <c:v>230</c:v>
                </c:pt>
                <c:pt idx="685">
                  <c:v>230</c:v>
                </c:pt>
                <c:pt idx="686">
                  <c:v>230</c:v>
                </c:pt>
                <c:pt idx="687">
                  <c:v>230</c:v>
                </c:pt>
                <c:pt idx="688">
                  <c:v>240</c:v>
                </c:pt>
                <c:pt idx="689">
                  <c:v>240</c:v>
                </c:pt>
                <c:pt idx="690">
                  <c:v>240</c:v>
                </c:pt>
                <c:pt idx="691">
                  <c:v>240</c:v>
                </c:pt>
                <c:pt idx="692">
                  <c:v>240</c:v>
                </c:pt>
                <c:pt idx="693">
                  <c:v>240</c:v>
                </c:pt>
                <c:pt idx="694">
                  <c:v>240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260</c:v>
                </c:pt>
                <c:pt idx="705">
                  <c:v>260</c:v>
                </c:pt>
                <c:pt idx="706">
                  <c:v>260</c:v>
                </c:pt>
                <c:pt idx="707">
                  <c:v>260</c:v>
                </c:pt>
                <c:pt idx="708">
                  <c:v>260</c:v>
                </c:pt>
                <c:pt idx="709">
                  <c:v>270</c:v>
                </c:pt>
                <c:pt idx="710">
                  <c:v>270</c:v>
                </c:pt>
                <c:pt idx="711">
                  <c:v>270</c:v>
                </c:pt>
                <c:pt idx="712">
                  <c:v>270</c:v>
                </c:pt>
                <c:pt idx="713">
                  <c:v>270</c:v>
                </c:pt>
                <c:pt idx="714">
                  <c:v>270</c:v>
                </c:pt>
                <c:pt idx="715">
                  <c:v>270</c:v>
                </c:pt>
                <c:pt idx="716">
                  <c:v>270</c:v>
                </c:pt>
                <c:pt idx="717">
                  <c:v>270</c:v>
                </c:pt>
                <c:pt idx="718">
                  <c:v>280</c:v>
                </c:pt>
                <c:pt idx="719">
                  <c:v>280</c:v>
                </c:pt>
                <c:pt idx="720">
                  <c:v>280</c:v>
                </c:pt>
                <c:pt idx="721">
                  <c:v>280</c:v>
                </c:pt>
                <c:pt idx="722">
                  <c:v>280</c:v>
                </c:pt>
                <c:pt idx="723">
                  <c:v>280</c:v>
                </c:pt>
                <c:pt idx="724">
                  <c:v>280</c:v>
                </c:pt>
                <c:pt idx="725">
                  <c:v>280</c:v>
                </c:pt>
                <c:pt idx="726">
                  <c:v>290</c:v>
                </c:pt>
                <c:pt idx="727">
                  <c:v>290</c:v>
                </c:pt>
                <c:pt idx="728">
                  <c:v>290</c:v>
                </c:pt>
                <c:pt idx="729">
                  <c:v>290</c:v>
                </c:pt>
                <c:pt idx="730">
                  <c:v>290</c:v>
                </c:pt>
                <c:pt idx="731">
                  <c:v>290</c:v>
                </c:pt>
                <c:pt idx="732">
                  <c:v>300</c:v>
                </c:pt>
                <c:pt idx="733">
                  <c:v>300</c:v>
                </c:pt>
                <c:pt idx="734">
                  <c:v>300</c:v>
                </c:pt>
                <c:pt idx="735">
                  <c:v>300</c:v>
                </c:pt>
                <c:pt idx="736">
                  <c:v>300</c:v>
                </c:pt>
                <c:pt idx="737">
                  <c:v>300</c:v>
                </c:pt>
                <c:pt idx="738">
                  <c:v>300</c:v>
                </c:pt>
                <c:pt idx="739">
                  <c:v>310</c:v>
                </c:pt>
                <c:pt idx="740">
                  <c:v>310</c:v>
                </c:pt>
                <c:pt idx="741">
                  <c:v>310</c:v>
                </c:pt>
                <c:pt idx="742">
                  <c:v>310</c:v>
                </c:pt>
                <c:pt idx="743">
                  <c:v>320</c:v>
                </c:pt>
                <c:pt idx="744">
                  <c:v>320</c:v>
                </c:pt>
                <c:pt idx="745">
                  <c:v>320</c:v>
                </c:pt>
                <c:pt idx="746">
                  <c:v>320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340</c:v>
                </c:pt>
                <c:pt idx="751">
                  <c:v>340</c:v>
                </c:pt>
                <c:pt idx="752">
                  <c:v>340</c:v>
                </c:pt>
                <c:pt idx="753">
                  <c:v>340</c:v>
                </c:pt>
                <c:pt idx="754">
                  <c:v>340</c:v>
                </c:pt>
                <c:pt idx="755">
                  <c:v>350</c:v>
                </c:pt>
                <c:pt idx="756">
                  <c:v>350</c:v>
                </c:pt>
                <c:pt idx="757">
                  <c:v>350</c:v>
                </c:pt>
                <c:pt idx="758">
                  <c:v>350</c:v>
                </c:pt>
                <c:pt idx="759">
                  <c:v>350</c:v>
                </c:pt>
                <c:pt idx="760">
                  <c:v>350</c:v>
                </c:pt>
                <c:pt idx="761">
                  <c:v>350</c:v>
                </c:pt>
                <c:pt idx="762">
                  <c:v>350</c:v>
                </c:pt>
                <c:pt idx="763">
                  <c:v>360</c:v>
                </c:pt>
                <c:pt idx="764">
                  <c:v>360</c:v>
                </c:pt>
                <c:pt idx="765">
                  <c:v>360</c:v>
                </c:pt>
                <c:pt idx="766">
                  <c:v>360</c:v>
                </c:pt>
                <c:pt idx="767">
                  <c:v>360</c:v>
                </c:pt>
                <c:pt idx="768">
                  <c:v>370</c:v>
                </c:pt>
                <c:pt idx="769">
                  <c:v>370</c:v>
                </c:pt>
                <c:pt idx="770">
                  <c:v>380</c:v>
                </c:pt>
                <c:pt idx="771">
                  <c:v>380</c:v>
                </c:pt>
                <c:pt idx="772">
                  <c:v>390</c:v>
                </c:pt>
                <c:pt idx="773">
                  <c:v>390</c:v>
                </c:pt>
                <c:pt idx="774">
                  <c:v>390</c:v>
                </c:pt>
                <c:pt idx="775">
                  <c:v>390</c:v>
                </c:pt>
                <c:pt idx="776">
                  <c:v>390</c:v>
                </c:pt>
                <c:pt idx="777">
                  <c:v>390</c:v>
                </c:pt>
                <c:pt idx="778">
                  <c:v>390</c:v>
                </c:pt>
                <c:pt idx="779">
                  <c:v>400</c:v>
                </c:pt>
                <c:pt idx="780">
                  <c:v>400</c:v>
                </c:pt>
                <c:pt idx="781">
                  <c:v>400</c:v>
                </c:pt>
                <c:pt idx="782">
                  <c:v>400</c:v>
                </c:pt>
                <c:pt idx="783">
                  <c:v>400</c:v>
                </c:pt>
                <c:pt idx="784">
                  <c:v>400</c:v>
                </c:pt>
                <c:pt idx="785">
                  <c:v>410</c:v>
                </c:pt>
                <c:pt idx="786">
                  <c:v>410</c:v>
                </c:pt>
                <c:pt idx="787">
                  <c:v>420</c:v>
                </c:pt>
                <c:pt idx="788">
                  <c:v>420</c:v>
                </c:pt>
                <c:pt idx="789">
                  <c:v>440</c:v>
                </c:pt>
                <c:pt idx="790">
                  <c:v>440</c:v>
                </c:pt>
                <c:pt idx="791">
                  <c:v>440</c:v>
                </c:pt>
                <c:pt idx="792">
                  <c:v>450</c:v>
                </c:pt>
                <c:pt idx="793">
                  <c:v>450</c:v>
                </c:pt>
                <c:pt idx="794">
                  <c:v>450</c:v>
                </c:pt>
                <c:pt idx="795">
                  <c:v>470</c:v>
                </c:pt>
                <c:pt idx="796">
                  <c:v>470</c:v>
                </c:pt>
                <c:pt idx="797">
                  <c:v>470</c:v>
                </c:pt>
                <c:pt idx="798">
                  <c:v>470</c:v>
                </c:pt>
                <c:pt idx="799">
                  <c:v>480</c:v>
                </c:pt>
                <c:pt idx="800">
                  <c:v>480</c:v>
                </c:pt>
                <c:pt idx="801">
                  <c:v>480</c:v>
                </c:pt>
                <c:pt idx="802">
                  <c:v>480</c:v>
                </c:pt>
                <c:pt idx="803">
                  <c:v>490</c:v>
                </c:pt>
                <c:pt idx="804">
                  <c:v>500</c:v>
                </c:pt>
                <c:pt idx="805">
                  <c:v>500</c:v>
                </c:pt>
                <c:pt idx="806">
                  <c:v>500</c:v>
                </c:pt>
                <c:pt idx="807">
                  <c:v>510</c:v>
                </c:pt>
                <c:pt idx="808">
                  <c:v>510</c:v>
                </c:pt>
                <c:pt idx="809">
                  <c:v>510</c:v>
                </c:pt>
                <c:pt idx="810">
                  <c:v>520</c:v>
                </c:pt>
                <c:pt idx="811">
                  <c:v>530</c:v>
                </c:pt>
                <c:pt idx="812">
                  <c:v>530</c:v>
                </c:pt>
                <c:pt idx="813">
                  <c:v>540</c:v>
                </c:pt>
                <c:pt idx="814">
                  <c:v>540</c:v>
                </c:pt>
                <c:pt idx="815">
                  <c:v>550</c:v>
                </c:pt>
                <c:pt idx="816">
                  <c:v>550</c:v>
                </c:pt>
                <c:pt idx="817">
                  <c:v>550</c:v>
                </c:pt>
                <c:pt idx="818">
                  <c:v>560</c:v>
                </c:pt>
                <c:pt idx="819">
                  <c:v>560</c:v>
                </c:pt>
                <c:pt idx="820">
                  <c:v>560</c:v>
                </c:pt>
                <c:pt idx="821">
                  <c:v>570</c:v>
                </c:pt>
                <c:pt idx="822">
                  <c:v>580</c:v>
                </c:pt>
                <c:pt idx="823">
                  <c:v>580</c:v>
                </c:pt>
                <c:pt idx="824">
                  <c:v>590</c:v>
                </c:pt>
                <c:pt idx="825">
                  <c:v>590</c:v>
                </c:pt>
                <c:pt idx="826">
                  <c:v>600</c:v>
                </c:pt>
                <c:pt idx="827">
                  <c:v>610</c:v>
                </c:pt>
                <c:pt idx="828">
                  <c:v>610</c:v>
                </c:pt>
                <c:pt idx="829">
                  <c:v>620</c:v>
                </c:pt>
                <c:pt idx="830">
                  <c:v>630</c:v>
                </c:pt>
                <c:pt idx="831">
                  <c:v>630</c:v>
                </c:pt>
                <c:pt idx="832">
                  <c:v>640</c:v>
                </c:pt>
                <c:pt idx="833">
                  <c:v>650</c:v>
                </c:pt>
                <c:pt idx="834">
                  <c:v>650</c:v>
                </c:pt>
                <c:pt idx="835">
                  <c:v>650</c:v>
                </c:pt>
                <c:pt idx="836">
                  <c:v>650</c:v>
                </c:pt>
                <c:pt idx="837">
                  <c:v>650</c:v>
                </c:pt>
                <c:pt idx="838">
                  <c:v>680</c:v>
                </c:pt>
                <c:pt idx="839">
                  <c:v>700</c:v>
                </c:pt>
                <c:pt idx="840">
                  <c:v>710</c:v>
                </c:pt>
                <c:pt idx="841">
                  <c:v>720</c:v>
                </c:pt>
                <c:pt idx="842">
                  <c:v>720</c:v>
                </c:pt>
                <c:pt idx="843">
                  <c:v>720</c:v>
                </c:pt>
                <c:pt idx="844">
                  <c:v>720</c:v>
                </c:pt>
                <c:pt idx="845">
                  <c:v>740</c:v>
                </c:pt>
                <c:pt idx="846">
                  <c:v>740</c:v>
                </c:pt>
                <c:pt idx="847">
                  <c:v>740</c:v>
                </c:pt>
                <c:pt idx="848">
                  <c:v>750</c:v>
                </c:pt>
                <c:pt idx="849">
                  <c:v>780</c:v>
                </c:pt>
                <c:pt idx="850">
                  <c:v>800</c:v>
                </c:pt>
                <c:pt idx="851">
                  <c:v>800</c:v>
                </c:pt>
                <c:pt idx="852">
                  <c:v>800</c:v>
                </c:pt>
                <c:pt idx="853">
                  <c:v>800</c:v>
                </c:pt>
                <c:pt idx="854">
                  <c:v>800</c:v>
                </c:pt>
                <c:pt idx="855">
                  <c:v>820</c:v>
                </c:pt>
                <c:pt idx="856">
                  <c:v>830</c:v>
                </c:pt>
                <c:pt idx="857">
                  <c:v>850</c:v>
                </c:pt>
                <c:pt idx="858">
                  <c:v>850</c:v>
                </c:pt>
                <c:pt idx="859">
                  <c:v>850</c:v>
                </c:pt>
                <c:pt idx="860">
                  <c:v>870</c:v>
                </c:pt>
                <c:pt idx="861">
                  <c:v>870</c:v>
                </c:pt>
                <c:pt idx="862">
                  <c:v>890</c:v>
                </c:pt>
                <c:pt idx="863">
                  <c:v>910</c:v>
                </c:pt>
                <c:pt idx="864">
                  <c:v>910</c:v>
                </c:pt>
                <c:pt idx="865">
                  <c:v>950</c:v>
                </c:pt>
                <c:pt idx="866">
                  <c:v>990</c:v>
                </c:pt>
                <c:pt idx="867">
                  <c:v>1010</c:v>
                </c:pt>
                <c:pt idx="868">
                  <c:v>1020</c:v>
                </c:pt>
                <c:pt idx="869">
                  <c:v>1090</c:v>
                </c:pt>
                <c:pt idx="870">
                  <c:v>1130</c:v>
                </c:pt>
                <c:pt idx="871">
                  <c:v>1150</c:v>
                </c:pt>
                <c:pt idx="872">
                  <c:v>1150</c:v>
                </c:pt>
                <c:pt idx="873">
                  <c:v>1190</c:v>
                </c:pt>
                <c:pt idx="874">
                  <c:v>1190</c:v>
                </c:pt>
                <c:pt idx="875">
                  <c:v>1210</c:v>
                </c:pt>
                <c:pt idx="876">
                  <c:v>1220</c:v>
                </c:pt>
                <c:pt idx="877">
                  <c:v>1240</c:v>
                </c:pt>
                <c:pt idx="878">
                  <c:v>1280</c:v>
                </c:pt>
                <c:pt idx="879">
                  <c:v>1300</c:v>
                </c:pt>
                <c:pt idx="880">
                  <c:v>1330</c:v>
                </c:pt>
                <c:pt idx="881">
                  <c:v>1340</c:v>
                </c:pt>
                <c:pt idx="882">
                  <c:v>1350</c:v>
                </c:pt>
                <c:pt idx="883">
                  <c:v>1380</c:v>
                </c:pt>
                <c:pt idx="884">
                  <c:v>1410</c:v>
                </c:pt>
                <c:pt idx="885">
                  <c:v>1420</c:v>
                </c:pt>
                <c:pt idx="886">
                  <c:v>1420</c:v>
                </c:pt>
                <c:pt idx="887">
                  <c:v>1480</c:v>
                </c:pt>
                <c:pt idx="888">
                  <c:v>1490</c:v>
                </c:pt>
                <c:pt idx="889">
                  <c:v>1500</c:v>
                </c:pt>
                <c:pt idx="890">
                  <c:v>1500</c:v>
                </c:pt>
                <c:pt idx="891">
                  <c:v>1540</c:v>
                </c:pt>
                <c:pt idx="892">
                  <c:v>1570</c:v>
                </c:pt>
                <c:pt idx="893">
                  <c:v>1570</c:v>
                </c:pt>
                <c:pt idx="894">
                  <c:v>1580</c:v>
                </c:pt>
                <c:pt idx="895">
                  <c:v>1600</c:v>
                </c:pt>
                <c:pt idx="896">
                  <c:v>1710</c:v>
                </c:pt>
                <c:pt idx="897">
                  <c:v>1730</c:v>
                </c:pt>
                <c:pt idx="898">
                  <c:v>1750</c:v>
                </c:pt>
                <c:pt idx="899">
                  <c:v>2110</c:v>
                </c:pt>
                <c:pt idx="900">
                  <c:v>2210</c:v>
                </c:pt>
                <c:pt idx="901">
                  <c:v>2250</c:v>
                </c:pt>
                <c:pt idx="902">
                  <c:v>2290</c:v>
                </c:pt>
                <c:pt idx="903">
                  <c:v>2300</c:v>
                </c:pt>
                <c:pt idx="904">
                  <c:v>2320</c:v>
                </c:pt>
                <c:pt idx="905">
                  <c:v>2380</c:v>
                </c:pt>
                <c:pt idx="906">
                  <c:v>2620</c:v>
                </c:pt>
                <c:pt idx="907">
                  <c:v>2820</c:v>
                </c:pt>
                <c:pt idx="908">
                  <c:v>3200</c:v>
                </c:pt>
                <c:pt idx="909">
                  <c:v>3270</c:v>
                </c:pt>
                <c:pt idx="910">
                  <c:v>3540</c:v>
                </c:pt>
                <c:pt idx="911">
                  <c:v>3620</c:v>
                </c:pt>
                <c:pt idx="912">
                  <c:v>3640</c:v>
                </c:pt>
                <c:pt idx="913">
                  <c:v>3660</c:v>
                </c:pt>
                <c:pt idx="914">
                  <c:v>3900</c:v>
                </c:pt>
                <c:pt idx="915">
                  <c:v>4010</c:v>
                </c:pt>
                <c:pt idx="916">
                  <c:v>4250</c:v>
                </c:pt>
                <c:pt idx="917">
                  <c:v>4390</c:v>
                </c:pt>
                <c:pt idx="918">
                  <c:v>5020</c:v>
                </c:pt>
                <c:pt idx="919">
                  <c:v>5200</c:v>
                </c:pt>
                <c:pt idx="920">
                  <c:v>5380</c:v>
                </c:pt>
                <c:pt idx="921">
                  <c:v>5600</c:v>
                </c:pt>
                <c:pt idx="922">
                  <c:v>6340</c:v>
                </c:pt>
                <c:pt idx="923">
                  <c:v>7330</c:v>
                </c:pt>
                <c:pt idx="924">
                  <c:v>11320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5-4F2C-8387-AA1EEF313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127921856"/>
        <c:axId val="1127922336"/>
      </c:barChart>
      <c:catAx>
        <c:axId val="1127921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Species</a:t>
                </a:r>
              </a:p>
            </c:rich>
          </c:tx>
          <c:layout>
            <c:manualLayout>
              <c:xMode val="edge"/>
              <c:yMode val="edge"/>
              <c:x val="0.48214444214325858"/>
              <c:y val="0.945180261375659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2336"/>
        <c:crosses val="autoZero"/>
        <c:auto val="1"/>
        <c:lblAlgn val="ctr"/>
        <c:lblOffset val="100"/>
        <c:noMultiLvlLbl val="0"/>
      </c:catAx>
      <c:valAx>
        <c:axId val="11279223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Observation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21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AF969DA-0D33-4D22-840B-2478B7EB149C}">
  <sheetPr/>
  <sheetViews>
    <sheetView zoomScale="9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E4970B9-6F88-4B45-8360-52B495E2572E}">
  <sheetPr/>
  <sheetViews>
    <sheetView zoomScale="115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E206B-FB3E-4358-B50C-56824B587B18}">
  <sheetPr/>
  <sheetViews>
    <sheetView zoomScale="9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75EDA04-8591-43D3-8531-BF4C6AB5DCD1}">
  <sheetPr/>
  <sheetViews>
    <sheetView zoomScale="9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4725" cy="607087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E4501-F4F3-6A3D-1690-71AE682EFD1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4725" cy="607087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452A3E-3C7C-592B-B280-53DD8F41BD7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4725" cy="607087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F7AC82-9F20-B255-E42C-A0A4B5CC843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4725" cy="607087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9121D3-6FD3-455B-E62B-5E7AE6D5348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16535400" y="2057400"/>
    <xdr:ext cx="113004600" cy="564642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2D0A78-1D22-4521-876B-9090C94DEF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576943</xdr:colOff>
      <xdr:row>62</xdr:row>
      <xdr:rowOff>10885</xdr:rowOff>
    </xdr:from>
    <xdr:to>
      <xdr:col>60</xdr:col>
      <xdr:colOff>10885</xdr:colOff>
      <xdr:row>90</xdr:row>
      <xdr:rowOff>32657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82EA656-C128-D73D-C358-0ECE67E4D4D7}"/>
            </a:ext>
          </a:extLst>
        </xdr:cNvPr>
        <xdr:cNvSpPr txBox="1"/>
      </xdr:nvSpPr>
      <xdr:spPr>
        <a:xfrm>
          <a:off x="6226629" y="402771"/>
          <a:ext cx="11625942" cy="52033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/>
            <a:t>Insights</a:t>
          </a:r>
          <a:r>
            <a:rPr lang="en-AU" sz="1100" b="1" baseline="0"/>
            <a:t> Derived from Preliminary Family - &gt; Genus Analysis:</a:t>
          </a:r>
        </a:p>
        <a:p>
          <a:endParaRPr lang="en-AU" sz="1100" b="1" baseline="0"/>
        </a:p>
        <a:p>
          <a:r>
            <a:rPr lang="en-AU" sz="1100" b="1" baseline="0"/>
            <a:t>* Genus and Family are both labels so it actually doesnt Matter</a:t>
          </a:r>
        </a:p>
        <a:p>
          <a:endParaRPr lang="en-AU" sz="1100" b="1" baseline="0"/>
        </a:p>
        <a:p>
          <a:r>
            <a:rPr lang="en-AU" sz="1100" b="1" baseline="0"/>
            <a:t>* The numerical representation of Genus might need remapping in some form for Support Vector Machine Implementation.</a:t>
          </a:r>
          <a:endParaRPr lang="en-AU" sz="1100" b="1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926"/>
  <sheetViews>
    <sheetView tabSelected="1" topLeftCell="U204" zoomScale="55" zoomScaleNormal="55" workbookViewId="0">
      <selection activeCell="U224" sqref="U224"/>
    </sheetView>
  </sheetViews>
  <sheetFormatPr defaultRowHeight="14.4" x14ac:dyDescent="0.3"/>
  <cols>
    <col min="1" max="1" width="15.88671875" bestFit="1" customWidth="1"/>
    <col min="2" max="2" width="16.44140625" bestFit="1" customWidth="1"/>
    <col min="3" max="3" width="18.33203125" bestFit="1" customWidth="1"/>
    <col min="4" max="4" width="14" style="5" bestFit="1" customWidth="1"/>
    <col min="5" max="5" width="14.33203125" style="5" bestFit="1" customWidth="1"/>
    <col min="6" max="6" width="14.6640625" style="5" bestFit="1" customWidth="1"/>
    <col min="9" max="9" width="21.6640625" style="5" bestFit="1" customWidth="1"/>
  </cols>
  <sheetData>
    <row r="1" spans="1:9" ht="18.7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H1" s="23" t="s">
        <v>2</v>
      </c>
      <c r="I1" s="2" t="s">
        <v>6</v>
      </c>
    </row>
    <row r="2" spans="1:9" ht="18.75" customHeight="1" x14ac:dyDescent="0.3">
      <c r="A2" t="s">
        <v>28</v>
      </c>
      <c r="B2" t="s">
        <v>37</v>
      </c>
      <c r="C2" t="s">
        <v>47</v>
      </c>
      <c r="D2" s="3">
        <v>4</v>
      </c>
      <c r="E2" s="3">
        <v>15</v>
      </c>
      <c r="F2" s="3">
        <v>52</v>
      </c>
      <c r="H2" t="str">
        <f>_xlfn.CONCAT(C2,"-",F2)</f>
        <v>inundata-52</v>
      </c>
      <c r="I2" s="3">
        <v>10</v>
      </c>
    </row>
    <row r="3" spans="1:9" ht="18.75" customHeight="1" x14ac:dyDescent="0.3">
      <c r="A3" t="s">
        <v>171</v>
      </c>
      <c r="B3" t="s">
        <v>172</v>
      </c>
      <c r="C3" t="s">
        <v>178</v>
      </c>
      <c r="D3" s="3">
        <v>15</v>
      </c>
      <c r="E3" s="3">
        <v>91</v>
      </c>
      <c r="F3" s="3">
        <v>350</v>
      </c>
      <c r="H3" t="str">
        <f t="shared" ref="H3:H66" si="0">_xlfn.CONCAT(C3,"-",D3)</f>
        <v>enneandra-15</v>
      </c>
      <c r="I3" s="3">
        <v>10</v>
      </c>
    </row>
    <row r="4" spans="1:9" ht="18.75" customHeight="1" x14ac:dyDescent="0.3">
      <c r="A4" t="s">
        <v>456</v>
      </c>
      <c r="B4" t="s">
        <v>500</v>
      </c>
      <c r="C4" t="s">
        <v>501</v>
      </c>
      <c r="D4" s="3">
        <v>29</v>
      </c>
      <c r="E4" s="3">
        <v>97</v>
      </c>
      <c r="F4" s="3">
        <v>366</v>
      </c>
      <c r="H4" t="str">
        <f t="shared" si="0"/>
        <v>cf-parvifolia-29</v>
      </c>
      <c r="I4" s="3">
        <v>10</v>
      </c>
    </row>
    <row r="5" spans="1:9" ht="18.75" customHeight="1" x14ac:dyDescent="0.3">
      <c r="A5" t="s">
        <v>536</v>
      </c>
      <c r="B5" t="s">
        <v>563</v>
      </c>
      <c r="C5" t="s">
        <v>564</v>
      </c>
      <c r="D5" s="3">
        <v>30</v>
      </c>
      <c r="E5" s="3">
        <v>131</v>
      </c>
      <c r="F5" s="3">
        <v>600</v>
      </c>
      <c r="H5" t="str">
        <f t="shared" si="0"/>
        <v>auriculata-30</v>
      </c>
      <c r="I5" s="3">
        <v>10</v>
      </c>
    </row>
    <row r="6" spans="1:9" ht="18.75" customHeight="1" x14ac:dyDescent="0.3">
      <c r="A6" t="s">
        <v>745</v>
      </c>
      <c r="B6" t="s">
        <v>757</v>
      </c>
      <c r="C6" t="s">
        <v>760</v>
      </c>
      <c r="D6" s="3">
        <v>36</v>
      </c>
      <c r="E6" s="3">
        <v>79</v>
      </c>
      <c r="F6" s="3">
        <v>289</v>
      </c>
      <c r="H6" t="str">
        <f t="shared" si="0"/>
        <v>ampelos-36</v>
      </c>
      <c r="I6" s="3">
        <v>10</v>
      </c>
    </row>
    <row r="7" spans="1:9" ht="18.75" customHeight="1" x14ac:dyDescent="0.3">
      <c r="A7" t="s">
        <v>745</v>
      </c>
      <c r="B7" t="s">
        <v>757</v>
      </c>
      <c r="C7" t="s">
        <v>772</v>
      </c>
      <c r="D7" s="3">
        <v>36</v>
      </c>
      <c r="E7" s="3">
        <v>79</v>
      </c>
      <c r="F7" s="3">
        <v>303</v>
      </c>
      <c r="H7" t="str">
        <f t="shared" si="0"/>
        <v>caballina-36</v>
      </c>
      <c r="I7" s="3">
        <v>10</v>
      </c>
    </row>
    <row r="8" spans="1:9" ht="18.75" customHeight="1" x14ac:dyDescent="0.3">
      <c r="A8" t="s">
        <v>852</v>
      </c>
      <c r="B8" t="s">
        <v>853</v>
      </c>
      <c r="C8" t="s">
        <v>854</v>
      </c>
      <c r="D8" s="3">
        <v>43</v>
      </c>
      <c r="E8" s="3">
        <v>150</v>
      </c>
      <c r="F8" s="3">
        <v>645</v>
      </c>
      <c r="H8" t="str">
        <f t="shared" si="0"/>
        <v>lambertii-43</v>
      </c>
      <c r="I8" s="3">
        <v>10</v>
      </c>
    </row>
    <row r="9" spans="1:9" ht="18.75" customHeight="1" x14ac:dyDescent="0.3">
      <c r="A9" t="s">
        <v>7</v>
      </c>
      <c r="B9" t="s">
        <v>8</v>
      </c>
      <c r="C9" t="s">
        <v>13</v>
      </c>
      <c r="D9" s="3">
        <v>2</v>
      </c>
      <c r="E9" s="3">
        <v>7</v>
      </c>
      <c r="F9" s="3">
        <v>29</v>
      </c>
      <c r="H9" t="str">
        <f t="shared" si="0"/>
        <v>tenulfolium-2</v>
      </c>
      <c r="I9" s="3">
        <v>20</v>
      </c>
    </row>
    <row r="10" spans="1:9" ht="18.75" customHeight="1" x14ac:dyDescent="0.3">
      <c r="A10" t="s">
        <v>75</v>
      </c>
      <c r="B10" t="s">
        <v>82</v>
      </c>
      <c r="C10" t="s">
        <v>92</v>
      </c>
      <c r="D10" s="3">
        <v>7</v>
      </c>
      <c r="E10" s="3">
        <v>178</v>
      </c>
      <c r="F10" s="3">
        <v>769</v>
      </c>
      <c r="H10" t="str">
        <f t="shared" si="0"/>
        <v>cf-guayacan-7</v>
      </c>
      <c r="I10" s="3">
        <v>20</v>
      </c>
    </row>
    <row r="11" spans="1:9" ht="18.75" customHeight="1" x14ac:dyDescent="0.3">
      <c r="A11" t="s">
        <v>75</v>
      </c>
      <c r="B11" t="s">
        <v>82</v>
      </c>
      <c r="C11" t="s">
        <v>93</v>
      </c>
      <c r="D11" s="3">
        <v>7</v>
      </c>
      <c r="E11" s="3">
        <v>178</v>
      </c>
      <c r="F11" s="3">
        <v>770</v>
      </c>
      <c r="H11" t="str">
        <f t="shared" si="0"/>
        <v>cf-heptaphilla-7</v>
      </c>
      <c r="I11" s="3">
        <v>20</v>
      </c>
    </row>
    <row r="12" spans="1:9" ht="18.75" customHeight="1" x14ac:dyDescent="0.3">
      <c r="A12" t="s">
        <v>144</v>
      </c>
      <c r="B12" t="s">
        <v>145</v>
      </c>
      <c r="C12" t="s">
        <v>146</v>
      </c>
      <c r="D12" s="3">
        <v>11</v>
      </c>
      <c r="E12" s="3">
        <v>27</v>
      </c>
      <c r="F12" s="3">
        <v>100</v>
      </c>
      <c r="H12" t="str">
        <f t="shared" si="0"/>
        <v>aff-simaruba-11</v>
      </c>
      <c r="I12" s="3">
        <v>20</v>
      </c>
    </row>
    <row r="13" spans="1:9" ht="18.75" customHeight="1" x14ac:dyDescent="0.3">
      <c r="A13" t="s">
        <v>239</v>
      </c>
      <c r="B13" t="s">
        <v>245</v>
      </c>
      <c r="C13" t="s">
        <v>246</v>
      </c>
      <c r="D13" s="3">
        <v>17</v>
      </c>
      <c r="E13" s="3">
        <v>185</v>
      </c>
      <c r="F13" s="3">
        <v>812</v>
      </c>
      <c r="H13" t="str">
        <f t="shared" si="0"/>
        <v>alata-17</v>
      </c>
      <c r="I13" s="3">
        <v>20</v>
      </c>
    </row>
    <row r="14" spans="1:9" ht="18.75" customHeight="1" x14ac:dyDescent="0.3">
      <c r="A14" t="s">
        <v>321</v>
      </c>
      <c r="B14" t="s">
        <v>322</v>
      </c>
      <c r="C14" t="s">
        <v>328</v>
      </c>
      <c r="D14" s="3">
        <v>21</v>
      </c>
      <c r="E14" s="3">
        <v>173</v>
      </c>
      <c r="F14" s="3">
        <v>740</v>
      </c>
      <c r="H14" t="str">
        <f t="shared" si="0"/>
        <v>quadrivalvis-21</v>
      </c>
      <c r="I14" s="3">
        <v>20</v>
      </c>
    </row>
    <row r="15" spans="1:9" ht="18.75" customHeight="1" x14ac:dyDescent="0.3">
      <c r="A15" t="s">
        <v>416</v>
      </c>
      <c r="B15" t="s">
        <v>424</v>
      </c>
      <c r="C15" t="s">
        <v>425</v>
      </c>
      <c r="D15" s="3">
        <v>27</v>
      </c>
      <c r="E15" s="3">
        <v>50</v>
      </c>
      <c r="F15" s="3">
        <v>182</v>
      </c>
      <c r="H15" t="str">
        <f t="shared" si="0"/>
        <v>peruviana-27</v>
      </c>
      <c r="I15" s="3">
        <v>20</v>
      </c>
    </row>
    <row r="16" spans="1:9" ht="18.75" customHeight="1" x14ac:dyDescent="0.3">
      <c r="A16" t="s">
        <v>456</v>
      </c>
      <c r="B16" t="s">
        <v>507</v>
      </c>
      <c r="C16" t="s">
        <v>516</v>
      </c>
      <c r="D16" s="3">
        <v>29</v>
      </c>
      <c r="E16" s="3">
        <v>106</v>
      </c>
      <c r="F16" s="3">
        <v>408</v>
      </c>
      <c r="H16" t="str">
        <f t="shared" si="0"/>
        <v>schlerocarpa-29</v>
      </c>
      <c r="I16" s="3">
        <v>20</v>
      </c>
    </row>
    <row r="17" spans="1:9" ht="18.75" customHeight="1" x14ac:dyDescent="0.3">
      <c r="A17" t="s">
        <v>616</v>
      </c>
      <c r="B17" t="s">
        <v>617</v>
      </c>
      <c r="C17" t="s">
        <v>618</v>
      </c>
      <c r="D17" s="3">
        <v>28</v>
      </c>
      <c r="E17" s="3">
        <v>61</v>
      </c>
      <c r="F17" s="3">
        <v>215</v>
      </c>
      <c r="H17" t="str">
        <f t="shared" si="0"/>
        <v>oleifera-28</v>
      </c>
      <c r="I17" s="3">
        <v>20</v>
      </c>
    </row>
    <row r="18" spans="1:9" ht="18.75" customHeight="1" x14ac:dyDescent="0.3">
      <c r="A18" t="s">
        <v>593</v>
      </c>
      <c r="B18" t="s">
        <v>626</v>
      </c>
      <c r="C18" t="s">
        <v>627</v>
      </c>
      <c r="D18" s="3">
        <v>31</v>
      </c>
      <c r="E18" s="3">
        <v>109</v>
      </c>
      <c r="F18" s="3">
        <v>458</v>
      </c>
      <c r="H18" t="str">
        <f t="shared" si="0"/>
        <v>laxiflorus-31</v>
      </c>
      <c r="I18" s="3">
        <v>20</v>
      </c>
    </row>
    <row r="19" spans="1:9" ht="18.75" customHeight="1" x14ac:dyDescent="0.3">
      <c r="A19" t="s">
        <v>593</v>
      </c>
      <c r="B19" t="s">
        <v>626</v>
      </c>
      <c r="C19" t="s">
        <v>629</v>
      </c>
      <c r="D19" s="3">
        <v>31</v>
      </c>
      <c r="E19" s="3">
        <v>109</v>
      </c>
      <c r="F19" s="3">
        <v>460</v>
      </c>
      <c r="H19" t="str">
        <f t="shared" si="0"/>
        <v>atropurpureus-31</v>
      </c>
      <c r="I19" s="3">
        <v>20</v>
      </c>
    </row>
    <row r="20" spans="1:9" ht="18.75" customHeight="1" x14ac:dyDescent="0.3">
      <c r="A20" t="s">
        <v>593</v>
      </c>
      <c r="B20" t="s">
        <v>626</v>
      </c>
      <c r="C20" t="s">
        <v>649</v>
      </c>
      <c r="D20" s="3">
        <v>31</v>
      </c>
      <c r="E20" s="3">
        <v>109</v>
      </c>
      <c r="F20" s="3">
        <v>480</v>
      </c>
      <c r="H20" t="str">
        <f t="shared" si="0"/>
        <v>neuroscapha-31</v>
      </c>
      <c r="I20" s="3">
        <v>20</v>
      </c>
    </row>
    <row r="21" spans="1:9" ht="18.75" customHeight="1" x14ac:dyDescent="0.3">
      <c r="A21" t="s">
        <v>593</v>
      </c>
      <c r="B21" t="s">
        <v>626</v>
      </c>
      <c r="C21" t="s">
        <v>651</v>
      </c>
      <c r="D21" s="3">
        <v>31</v>
      </c>
      <c r="E21" s="3">
        <v>109</v>
      </c>
      <c r="F21" s="3">
        <v>482</v>
      </c>
      <c r="H21" t="str">
        <f t="shared" si="0"/>
        <v>punctatus-31</v>
      </c>
      <c r="I21" s="3">
        <v>20</v>
      </c>
    </row>
    <row r="22" spans="1:9" ht="18.75" customHeight="1" x14ac:dyDescent="0.3">
      <c r="A22" t="s">
        <v>593</v>
      </c>
      <c r="B22" t="s">
        <v>656</v>
      </c>
      <c r="C22" t="s">
        <v>675</v>
      </c>
      <c r="D22" s="3">
        <v>31</v>
      </c>
      <c r="E22" s="3">
        <v>112</v>
      </c>
      <c r="F22" s="3">
        <v>509</v>
      </c>
      <c r="H22" t="str">
        <f t="shared" si="0"/>
        <v>whitfordii-31</v>
      </c>
      <c r="I22" s="3">
        <v>20</v>
      </c>
    </row>
    <row r="23" spans="1:9" ht="18.75" customHeight="1" x14ac:dyDescent="0.3">
      <c r="A23" t="s">
        <v>593</v>
      </c>
      <c r="B23" t="s">
        <v>694</v>
      </c>
      <c r="C23" t="s">
        <v>380</v>
      </c>
      <c r="D23" s="3">
        <v>31</v>
      </c>
      <c r="E23" s="3">
        <v>157</v>
      </c>
      <c r="F23" s="3">
        <v>684</v>
      </c>
      <c r="H23" t="str">
        <f t="shared" si="0"/>
        <v>amazonum-31</v>
      </c>
      <c r="I23" s="3">
        <v>20</v>
      </c>
    </row>
    <row r="24" spans="1:9" ht="18.75" customHeight="1" x14ac:dyDescent="0.3">
      <c r="A24" t="s">
        <v>745</v>
      </c>
      <c r="B24" t="s">
        <v>746</v>
      </c>
      <c r="C24" t="s">
        <v>747</v>
      </c>
      <c r="D24" s="3">
        <v>36</v>
      </c>
      <c r="E24" s="3">
        <v>17</v>
      </c>
      <c r="F24" s="3">
        <v>161</v>
      </c>
      <c r="H24" t="str">
        <f t="shared" si="0"/>
        <v>tinctoria-36</v>
      </c>
      <c r="I24" s="3">
        <v>20</v>
      </c>
    </row>
    <row r="25" spans="1:9" ht="18.75" customHeight="1" x14ac:dyDescent="0.3">
      <c r="A25" t="s">
        <v>808</v>
      </c>
      <c r="B25" t="s">
        <v>810</v>
      </c>
      <c r="C25" t="s">
        <v>234</v>
      </c>
      <c r="D25" s="3">
        <v>38</v>
      </c>
      <c r="E25" s="3">
        <v>76</v>
      </c>
      <c r="F25" s="3">
        <v>262</v>
      </c>
      <c r="H25" t="str">
        <f t="shared" si="0"/>
        <v>brasiliensis-38</v>
      </c>
      <c r="I25" s="3">
        <v>20</v>
      </c>
    </row>
    <row r="26" spans="1:9" ht="18.75" customHeight="1" x14ac:dyDescent="0.3">
      <c r="A26" t="s">
        <v>808</v>
      </c>
      <c r="B26" t="s">
        <v>810</v>
      </c>
      <c r="C26" t="s">
        <v>814</v>
      </c>
      <c r="D26" s="3">
        <v>38</v>
      </c>
      <c r="E26" s="3">
        <v>76</v>
      </c>
      <c r="F26" s="3">
        <v>265</v>
      </c>
      <c r="H26" t="str">
        <f t="shared" si="0"/>
        <v>clinocarpa-38</v>
      </c>
      <c r="I26" s="3">
        <v>20</v>
      </c>
    </row>
    <row r="27" spans="1:9" ht="18.75" customHeight="1" x14ac:dyDescent="0.3">
      <c r="A27" t="s">
        <v>808</v>
      </c>
      <c r="B27" t="s">
        <v>810</v>
      </c>
      <c r="C27" t="s">
        <v>815</v>
      </c>
      <c r="D27" s="3">
        <v>38</v>
      </c>
      <c r="E27" s="3">
        <v>76</v>
      </c>
      <c r="F27" s="3">
        <v>266</v>
      </c>
      <c r="H27" t="str">
        <f t="shared" si="0"/>
        <v>confusa-38</v>
      </c>
      <c r="I27" s="3">
        <v>20</v>
      </c>
    </row>
    <row r="28" spans="1:9" ht="18.75" customHeight="1" x14ac:dyDescent="0.3">
      <c r="A28" t="s">
        <v>808</v>
      </c>
      <c r="B28" t="s">
        <v>810</v>
      </c>
      <c r="C28" t="s">
        <v>824</v>
      </c>
      <c r="D28" s="3">
        <v>38</v>
      </c>
      <c r="E28" s="3">
        <v>76</v>
      </c>
      <c r="F28" s="3">
        <v>277</v>
      </c>
      <c r="H28" t="str">
        <f t="shared" si="0"/>
        <v>quadrijuga-38</v>
      </c>
      <c r="I28" s="3">
        <v>20</v>
      </c>
    </row>
    <row r="29" spans="1:9" ht="18.75" customHeight="1" x14ac:dyDescent="0.3">
      <c r="A29" t="s">
        <v>808</v>
      </c>
      <c r="B29" t="s">
        <v>810</v>
      </c>
      <c r="C29" t="s">
        <v>825</v>
      </c>
      <c r="D29" s="3">
        <v>38</v>
      </c>
      <c r="E29" s="3">
        <v>76</v>
      </c>
      <c r="F29" s="3">
        <v>278</v>
      </c>
      <c r="H29" t="str">
        <f t="shared" si="0"/>
        <v>riparia-38</v>
      </c>
      <c r="I29" s="3">
        <v>20</v>
      </c>
    </row>
    <row r="30" spans="1:9" ht="18.75" customHeight="1" x14ac:dyDescent="0.3">
      <c r="A30" t="s">
        <v>832</v>
      </c>
      <c r="B30" t="s">
        <v>833</v>
      </c>
      <c r="C30" t="s">
        <v>838</v>
      </c>
      <c r="D30" s="3">
        <v>39</v>
      </c>
      <c r="E30" s="3">
        <v>124</v>
      </c>
      <c r="F30" s="3">
        <v>564</v>
      </c>
      <c r="H30" t="str">
        <f t="shared" si="0"/>
        <v>spruceana-39</v>
      </c>
      <c r="I30" s="3">
        <v>20</v>
      </c>
    </row>
    <row r="31" spans="1:9" ht="18.75" customHeight="1" x14ac:dyDescent="0.3">
      <c r="A31" t="s">
        <v>875</v>
      </c>
      <c r="B31" t="s">
        <v>896</v>
      </c>
      <c r="C31" t="s">
        <v>900</v>
      </c>
      <c r="D31" s="3">
        <v>50</v>
      </c>
      <c r="E31" s="3">
        <v>152</v>
      </c>
      <c r="F31" s="3">
        <v>651</v>
      </c>
      <c r="H31" t="str">
        <f t="shared" si="0"/>
        <v>decorticans-50</v>
      </c>
      <c r="I31" s="3">
        <v>20</v>
      </c>
    </row>
    <row r="32" spans="1:9" ht="18.75" customHeight="1" x14ac:dyDescent="0.3">
      <c r="A32" t="s">
        <v>875</v>
      </c>
      <c r="B32" t="s">
        <v>896</v>
      </c>
      <c r="C32" t="s">
        <v>711</v>
      </c>
      <c r="D32" s="3">
        <v>50</v>
      </c>
      <c r="E32" s="3">
        <v>152</v>
      </c>
      <c r="F32" s="3">
        <v>666</v>
      </c>
      <c r="H32" t="str">
        <f t="shared" si="0"/>
        <v>ovata-50</v>
      </c>
      <c r="I32" s="3">
        <v>20</v>
      </c>
    </row>
    <row r="33" spans="1:9" ht="18.75" customHeight="1" x14ac:dyDescent="0.3">
      <c r="A33" t="s">
        <v>7</v>
      </c>
      <c r="B33" t="s">
        <v>20</v>
      </c>
      <c r="C33" t="s">
        <v>22</v>
      </c>
      <c r="D33" s="3">
        <v>2</v>
      </c>
      <c r="E33" s="3">
        <v>182</v>
      </c>
      <c r="F33" s="3">
        <v>808</v>
      </c>
      <c r="H33" t="str">
        <f t="shared" si="0"/>
        <v>myriantha-2</v>
      </c>
      <c r="I33" s="3">
        <v>30</v>
      </c>
    </row>
    <row r="34" spans="1:9" ht="18.75" customHeight="1" x14ac:dyDescent="0.3">
      <c r="A34" t="s">
        <v>28</v>
      </c>
      <c r="B34" t="s">
        <v>37</v>
      </c>
      <c r="C34" t="s">
        <v>43</v>
      </c>
      <c r="D34" s="3">
        <v>4</v>
      </c>
      <c r="E34" s="3">
        <v>15</v>
      </c>
      <c r="F34" s="3">
        <v>48</v>
      </c>
      <c r="H34" t="str">
        <f t="shared" si="0"/>
        <v>cylindrocarpon-4</v>
      </c>
      <c r="I34" s="3">
        <v>30</v>
      </c>
    </row>
    <row r="35" spans="1:9" ht="18.75" customHeight="1" x14ac:dyDescent="0.3">
      <c r="A35" t="s">
        <v>28</v>
      </c>
      <c r="B35" t="s">
        <v>37</v>
      </c>
      <c r="C35" t="s">
        <v>51</v>
      </c>
      <c r="D35" s="3">
        <v>4</v>
      </c>
      <c r="E35" s="3">
        <v>15</v>
      </c>
      <c r="F35" s="3">
        <v>56</v>
      </c>
      <c r="H35" t="str">
        <f t="shared" si="0"/>
        <v>melanocalix-4</v>
      </c>
      <c r="I35" s="3">
        <v>30</v>
      </c>
    </row>
    <row r="36" spans="1:9" ht="18.75" customHeight="1" x14ac:dyDescent="0.3">
      <c r="A36" t="s">
        <v>28</v>
      </c>
      <c r="B36" t="s">
        <v>37</v>
      </c>
      <c r="C36" t="s">
        <v>52</v>
      </c>
      <c r="D36" s="3">
        <v>4</v>
      </c>
      <c r="E36" s="3">
        <v>15</v>
      </c>
      <c r="F36" s="3">
        <v>57</v>
      </c>
      <c r="H36" t="str">
        <f t="shared" si="0"/>
        <v>monterol-4</v>
      </c>
      <c r="I36" s="3">
        <v>30</v>
      </c>
    </row>
    <row r="37" spans="1:9" ht="18.75" customHeight="1" x14ac:dyDescent="0.3">
      <c r="A37" t="s">
        <v>75</v>
      </c>
      <c r="B37" t="s">
        <v>82</v>
      </c>
      <c r="C37" t="s">
        <v>119</v>
      </c>
      <c r="D37" s="3">
        <v>7</v>
      </c>
      <c r="E37" s="3">
        <v>178</v>
      </c>
      <c r="F37" s="3">
        <v>796</v>
      </c>
      <c r="H37" t="str">
        <f t="shared" si="0"/>
        <v>rufescens-7</v>
      </c>
      <c r="I37" s="3">
        <v>30</v>
      </c>
    </row>
    <row r="38" spans="1:9" ht="18.75" customHeight="1" x14ac:dyDescent="0.3">
      <c r="A38" t="s">
        <v>158</v>
      </c>
      <c r="B38" t="s">
        <v>159</v>
      </c>
      <c r="C38" t="s">
        <v>163</v>
      </c>
      <c r="D38" s="3">
        <v>13</v>
      </c>
      <c r="E38" s="3">
        <v>38</v>
      </c>
      <c r="F38" s="3">
        <v>141</v>
      </c>
      <c r="H38" t="str">
        <f t="shared" si="0"/>
        <v>juranylana-13</v>
      </c>
      <c r="I38" s="3">
        <v>30</v>
      </c>
    </row>
    <row r="39" spans="1:9" ht="18.75" customHeight="1" x14ac:dyDescent="0.3">
      <c r="A39" t="s">
        <v>158</v>
      </c>
      <c r="B39" t="s">
        <v>159</v>
      </c>
      <c r="C39" t="s">
        <v>164</v>
      </c>
      <c r="D39" s="3">
        <v>13</v>
      </c>
      <c r="E39" s="3">
        <v>38</v>
      </c>
      <c r="F39" s="3">
        <v>142</v>
      </c>
      <c r="H39" t="str">
        <f t="shared" si="0"/>
        <v>obtusa-13</v>
      </c>
      <c r="I39" s="3">
        <v>30</v>
      </c>
    </row>
    <row r="40" spans="1:9" ht="18.75" customHeight="1" x14ac:dyDescent="0.3">
      <c r="A40" t="s">
        <v>171</v>
      </c>
      <c r="B40" t="s">
        <v>188</v>
      </c>
      <c r="C40" t="s">
        <v>217</v>
      </c>
      <c r="D40" s="3">
        <v>15</v>
      </c>
      <c r="E40" s="3">
        <v>107</v>
      </c>
      <c r="F40" s="3">
        <v>443</v>
      </c>
      <c r="H40" t="str">
        <f t="shared" si="0"/>
        <v>robusta-15</v>
      </c>
      <c r="I40" s="3">
        <v>30</v>
      </c>
    </row>
    <row r="41" spans="1:9" ht="18.75" customHeight="1" x14ac:dyDescent="0.3">
      <c r="A41" t="s">
        <v>222</v>
      </c>
      <c r="B41" t="s">
        <v>223</v>
      </c>
      <c r="C41" t="s">
        <v>224</v>
      </c>
      <c r="D41" s="3">
        <v>16</v>
      </c>
      <c r="E41" s="3">
        <v>32</v>
      </c>
      <c r="F41" s="3">
        <v>122</v>
      </c>
      <c r="H41" t="str">
        <f t="shared" si="0"/>
        <v>bracteatum-16</v>
      </c>
      <c r="I41" s="3">
        <v>30</v>
      </c>
    </row>
    <row r="42" spans="1:9" ht="18.75" customHeight="1" x14ac:dyDescent="0.3">
      <c r="A42" t="s">
        <v>239</v>
      </c>
      <c r="B42" t="s">
        <v>245</v>
      </c>
      <c r="C42" t="s">
        <v>257</v>
      </c>
      <c r="D42" s="3">
        <v>17</v>
      </c>
      <c r="E42" s="3">
        <v>185</v>
      </c>
      <c r="F42" s="3">
        <v>824</v>
      </c>
      <c r="H42" t="str">
        <f t="shared" si="0"/>
        <v>brownii-17</v>
      </c>
      <c r="I42" s="3">
        <v>30</v>
      </c>
    </row>
    <row r="43" spans="1:9" ht="18.75" customHeight="1" x14ac:dyDescent="0.3">
      <c r="A43" t="s">
        <v>239</v>
      </c>
      <c r="B43" t="s">
        <v>245</v>
      </c>
      <c r="C43" t="s">
        <v>277</v>
      </c>
      <c r="D43" s="3">
        <v>17</v>
      </c>
      <c r="E43" s="3">
        <v>185</v>
      </c>
      <c r="F43" s="3">
        <v>845</v>
      </c>
      <c r="H43" t="str">
        <f t="shared" si="0"/>
        <v>macroptera-17</v>
      </c>
      <c r="I43" s="3">
        <v>30</v>
      </c>
    </row>
    <row r="44" spans="1:9" ht="18.75" customHeight="1" x14ac:dyDescent="0.3">
      <c r="A44" t="s">
        <v>239</v>
      </c>
      <c r="B44" t="s">
        <v>245</v>
      </c>
      <c r="C44" t="s">
        <v>288</v>
      </c>
      <c r="D44" s="3">
        <v>17</v>
      </c>
      <c r="E44" s="3">
        <v>185</v>
      </c>
      <c r="F44" s="3">
        <v>857</v>
      </c>
      <c r="H44" t="str">
        <f t="shared" si="0"/>
        <v>pellucida-17</v>
      </c>
      <c r="I44" s="3">
        <v>30</v>
      </c>
    </row>
    <row r="45" spans="1:9" ht="18.75" customHeight="1" x14ac:dyDescent="0.3">
      <c r="A45" t="s">
        <v>239</v>
      </c>
      <c r="B45" t="s">
        <v>245</v>
      </c>
      <c r="C45" t="s">
        <v>296</v>
      </c>
      <c r="D45" s="3">
        <v>17</v>
      </c>
      <c r="E45" s="3">
        <v>185</v>
      </c>
      <c r="F45" s="3">
        <v>865</v>
      </c>
      <c r="H45" t="str">
        <f t="shared" si="0"/>
        <v>ruspolii-17</v>
      </c>
      <c r="I45" s="3">
        <v>30</v>
      </c>
    </row>
    <row r="46" spans="1:9" ht="18.75" customHeight="1" x14ac:dyDescent="0.3">
      <c r="A46" t="s">
        <v>363</v>
      </c>
      <c r="B46" t="s">
        <v>366</v>
      </c>
      <c r="C46" t="s">
        <v>371</v>
      </c>
      <c r="D46" s="3">
        <v>26</v>
      </c>
      <c r="E46" s="3">
        <v>108</v>
      </c>
      <c r="F46" s="3">
        <v>454</v>
      </c>
      <c r="H46" t="str">
        <f t="shared" si="0"/>
        <v>martiniana-26</v>
      </c>
      <c r="I46" s="3">
        <v>30</v>
      </c>
    </row>
    <row r="47" spans="1:9" ht="18.75" customHeight="1" x14ac:dyDescent="0.3">
      <c r="A47" t="s">
        <v>363</v>
      </c>
      <c r="B47" t="s">
        <v>390</v>
      </c>
      <c r="C47" t="s">
        <v>400</v>
      </c>
      <c r="D47" s="3">
        <v>26</v>
      </c>
      <c r="E47" s="3">
        <v>126</v>
      </c>
      <c r="F47" s="3">
        <v>578</v>
      </c>
      <c r="H47" t="str">
        <f t="shared" si="0"/>
        <v>glomerata-26</v>
      </c>
      <c r="I47" s="3">
        <v>30</v>
      </c>
    </row>
    <row r="48" spans="1:9" ht="18.75" customHeight="1" x14ac:dyDescent="0.3">
      <c r="A48" t="s">
        <v>363</v>
      </c>
      <c r="B48" t="s">
        <v>413</v>
      </c>
      <c r="C48" t="s">
        <v>60</v>
      </c>
      <c r="D48" s="3">
        <v>26</v>
      </c>
      <c r="E48" s="3">
        <v>149</v>
      </c>
      <c r="F48" s="3">
        <v>644</v>
      </c>
      <c r="H48" t="str">
        <f t="shared" si="0"/>
        <v>sp-26</v>
      </c>
      <c r="I48" s="3">
        <v>30</v>
      </c>
    </row>
    <row r="49" spans="1:9" ht="18.75" customHeight="1" x14ac:dyDescent="0.3">
      <c r="A49" t="s">
        <v>416</v>
      </c>
      <c r="B49" t="s">
        <v>427</v>
      </c>
      <c r="C49" t="s">
        <v>433</v>
      </c>
      <c r="D49" s="3">
        <v>27</v>
      </c>
      <c r="E49" s="3">
        <v>73</v>
      </c>
      <c r="F49" s="3">
        <v>242</v>
      </c>
      <c r="H49" t="str">
        <f t="shared" si="0"/>
        <v>corrugata-27</v>
      </c>
      <c r="I49" s="3">
        <v>30</v>
      </c>
    </row>
    <row r="50" spans="1:9" ht="18.75" customHeight="1" x14ac:dyDescent="0.3">
      <c r="A50" t="s">
        <v>416</v>
      </c>
      <c r="B50" t="s">
        <v>450</v>
      </c>
      <c r="C50" t="s">
        <v>455</v>
      </c>
      <c r="D50" s="3">
        <v>27</v>
      </c>
      <c r="E50" s="3">
        <v>105</v>
      </c>
      <c r="F50" s="3">
        <v>399</v>
      </c>
      <c r="H50" t="str">
        <f t="shared" si="0"/>
        <v>zabucaja-27</v>
      </c>
      <c r="I50" s="3">
        <v>30</v>
      </c>
    </row>
    <row r="51" spans="1:9" ht="18.75" customHeight="1" x14ac:dyDescent="0.3">
      <c r="A51" t="s">
        <v>456</v>
      </c>
      <c r="B51" t="s">
        <v>474</v>
      </c>
      <c r="C51" t="s">
        <v>479</v>
      </c>
      <c r="D51" s="3">
        <v>29</v>
      </c>
      <c r="E51" s="3">
        <v>31</v>
      </c>
      <c r="F51" s="3">
        <v>120</v>
      </c>
      <c r="H51" t="str">
        <f t="shared" si="0"/>
        <v>pulcherrima-29</v>
      </c>
      <c r="I51" s="3">
        <v>30</v>
      </c>
    </row>
    <row r="52" spans="1:9" ht="18.75" customHeight="1" x14ac:dyDescent="0.3">
      <c r="A52" t="s">
        <v>456</v>
      </c>
      <c r="B52" t="s">
        <v>507</v>
      </c>
      <c r="C52" t="s">
        <v>511</v>
      </c>
      <c r="D52" s="3">
        <v>29</v>
      </c>
      <c r="E52" s="3">
        <v>106</v>
      </c>
      <c r="F52" s="3">
        <v>403</v>
      </c>
      <c r="H52" t="str">
        <f t="shared" si="0"/>
        <v>ebano-29</v>
      </c>
      <c r="I52" s="3">
        <v>30</v>
      </c>
    </row>
    <row r="53" spans="1:9" ht="18.75" customHeight="1" x14ac:dyDescent="0.3">
      <c r="A53" t="s">
        <v>456</v>
      </c>
      <c r="B53" t="s">
        <v>520</v>
      </c>
      <c r="C53" t="s">
        <v>521</v>
      </c>
      <c r="D53" s="3">
        <v>29</v>
      </c>
      <c r="E53" s="3">
        <v>133</v>
      </c>
      <c r="F53" s="3">
        <v>612</v>
      </c>
      <c r="H53" t="str">
        <f t="shared" si="0"/>
        <v>maranhensis-29</v>
      </c>
      <c r="I53" s="3">
        <v>30</v>
      </c>
    </row>
    <row r="54" spans="1:9" ht="18.75" customHeight="1" x14ac:dyDescent="0.3">
      <c r="A54" t="s">
        <v>456</v>
      </c>
      <c r="B54" t="s">
        <v>527</v>
      </c>
      <c r="C54" t="s">
        <v>60</v>
      </c>
      <c r="D54" s="3">
        <v>29</v>
      </c>
      <c r="E54" s="3">
        <v>168</v>
      </c>
      <c r="F54" s="3">
        <v>721</v>
      </c>
      <c r="H54" t="str">
        <f t="shared" si="0"/>
        <v>sp-29</v>
      </c>
      <c r="I54" s="3">
        <v>30</v>
      </c>
    </row>
    <row r="55" spans="1:9" ht="18.75" customHeight="1" x14ac:dyDescent="0.3">
      <c r="A55" t="s">
        <v>536</v>
      </c>
      <c r="B55" t="s">
        <v>537</v>
      </c>
      <c r="C55" t="s">
        <v>541</v>
      </c>
      <c r="D55" s="3">
        <v>30</v>
      </c>
      <c r="E55" s="3">
        <v>1</v>
      </c>
      <c r="F55" s="3">
        <v>4</v>
      </c>
      <c r="H55" t="str">
        <f t="shared" si="0"/>
        <v>mangium-30</v>
      </c>
      <c r="I55" s="3">
        <v>30</v>
      </c>
    </row>
    <row r="56" spans="1:9" ht="18.75" customHeight="1" x14ac:dyDescent="0.3">
      <c r="A56" t="s">
        <v>536</v>
      </c>
      <c r="B56" t="s">
        <v>563</v>
      </c>
      <c r="C56" t="s">
        <v>570</v>
      </c>
      <c r="D56" s="3">
        <v>30</v>
      </c>
      <c r="E56" s="3">
        <v>131</v>
      </c>
      <c r="F56" s="3">
        <v>608</v>
      </c>
      <c r="H56" t="str">
        <f t="shared" si="0"/>
        <v>platycephala-30</v>
      </c>
      <c r="I56" s="3">
        <v>30</v>
      </c>
    </row>
    <row r="57" spans="1:9" ht="18.75" customHeight="1" x14ac:dyDescent="0.3">
      <c r="A57" t="s">
        <v>536</v>
      </c>
      <c r="B57" t="s">
        <v>581</v>
      </c>
      <c r="C57" t="s">
        <v>582</v>
      </c>
      <c r="D57" s="3">
        <v>30</v>
      </c>
      <c r="E57" s="3">
        <v>146</v>
      </c>
      <c r="F57" s="3">
        <v>634</v>
      </c>
      <c r="H57" t="str">
        <f t="shared" si="0"/>
        <v>foliolosa-30</v>
      </c>
      <c r="I57" s="3">
        <v>30</v>
      </c>
    </row>
    <row r="58" spans="1:9" ht="18.75" customHeight="1" x14ac:dyDescent="0.3">
      <c r="A58" t="s">
        <v>536</v>
      </c>
      <c r="B58" t="s">
        <v>585</v>
      </c>
      <c r="C58" t="s">
        <v>373</v>
      </c>
      <c r="D58" s="3">
        <v>30</v>
      </c>
      <c r="E58" s="3">
        <v>169</v>
      </c>
      <c r="F58" s="3">
        <v>725</v>
      </c>
      <c r="H58" t="str">
        <f t="shared" si="0"/>
        <v>polyphylla-30</v>
      </c>
      <c r="I58" s="3">
        <v>30</v>
      </c>
    </row>
    <row r="59" spans="1:9" ht="18.75" customHeight="1" x14ac:dyDescent="0.3">
      <c r="A59" t="s">
        <v>593</v>
      </c>
      <c r="B59" t="s">
        <v>601</v>
      </c>
      <c r="C59" t="s">
        <v>605</v>
      </c>
      <c r="D59" s="3">
        <v>31</v>
      </c>
      <c r="E59" s="3">
        <v>54</v>
      </c>
      <c r="F59" s="3">
        <v>190</v>
      </c>
      <c r="H59" t="str">
        <f t="shared" si="0"/>
        <v>greveana-31</v>
      </c>
      <c r="I59" s="3">
        <v>30</v>
      </c>
    </row>
    <row r="60" spans="1:9" ht="18.75" customHeight="1" x14ac:dyDescent="0.3">
      <c r="A60" t="s">
        <v>593</v>
      </c>
      <c r="B60" t="s">
        <v>601</v>
      </c>
      <c r="C60" t="s">
        <v>201</v>
      </c>
      <c r="D60" s="3">
        <v>31</v>
      </c>
      <c r="E60" s="3">
        <v>54</v>
      </c>
      <c r="F60" s="3">
        <v>191</v>
      </c>
      <c r="H60" t="str">
        <f t="shared" si="0"/>
        <v>latifolia-31</v>
      </c>
      <c r="I60" s="3">
        <v>30</v>
      </c>
    </row>
    <row r="61" spans="1:9" ht="18.75" customHeight="1" x14ac:dyDescent="0.3">
      <c r="A61" t="s">
        <v>593</v>
      </c>
      <c r="B61" t="s">
        <v>617</v>
      </c>
      <c r="C61" t="s">
        <v>373</v>
      </c>
      <c r="D61" s="3">
        <v>31</v>
      </c>
      <c r="E61" s="3">
        <v>61</v>
      </c>
      <c r="F61" s="3">
        <v>218</v>
      </c>
      <c r="H61" t="str">
        <f t="shared" si="0"/>
        <v>polyphylla-31</v>
      </c>
      <c r="I61" s="3">
        <v>30</v>
      </c>
    </row>
    <row r="62" spans="1:9" ht="18.75" customHeight="1" x14ac:dyDescent="0.3">
      <c r="A62" t="s">
        <v>593</v>
      </c>
      <c r="B62" t="s">
        <v>621</v>
      </c>
      <c r="C62" t="s">
        <v>624</v>
      </c>
      <c r="D62" s="3">
        <v>31</v>
      </c>
      <c r="E62" s="3">
        <v>98</v>
      </c>
      <c r="F62" s="3">
        <v>376</v>
      </c>
      <c r="H62" t="str">
        <f t="shared" si="0"/>
        <v>heterocarpum-31</v>
      </c>
      <c r="I62" s="3">
        <v>30</v>
      </c>
    </row>
    <row r="63" spans="1:9" ht="18.75" customHeight="1" x14ac:dyDescent="0.3">
      <c r="A63" t="s">
        <v>593</v>
      </c>
      <c r="B63" t="s">
        <v>626</v>
      </c>
      <c r="C63" t="s">
        <v>647</v>
      </c>
      <c r="D63" s="3">
        <v>31</v>
      </c>
      <c r="E63" s="3">
        <v>109</v>
      </c>
      <c r="F63" s="3">
        <v>478</v>
      </c>
      <c r="H63" t="str">
        <f t="shared" si="0"/>
        <v>michelianus-31</v>
      </c>
      <c r="I63" s="3">
        <v>30</v>
      </c>
    </row>
    <row r="64" spans="1:9" ht="18.75" customHeight="1" x14ac:dyDescent="0.3">
      <c r="A64" t="s">
        <v>593</v>
      </c>
      <c r="B64" t="s">
        <v>626</v>
      </c>
      <c r="C64" t="s">
        <v>648</v>
      </c>
      <c r="D64" s="3">
        <v>31</v>
      </c>
      <c r="E64" s="3">
        <v>109</v>
      </c>
      <c r="F64" s="3">
        <v>479</v>
      </c>
      <c r="H64" t="str">
        <f t="shared" si="0"/>
        <v>muehlenbergianus-31</v>
      </c>
      <c r="I64" s="3">
        <v>30</v>
      </c>
    </row>
    <row r="65" spans="1:9" ht="18.75" customHeight="1" x14ac:dyDescent="0.3">
      <c r="A65" t="s">
        <v>593</v>
      </c>
      <c r="B65" t="s">
        <v>626</v>
      </c>
      <c r="C65" t="s">
        <v>652</v>
      </c>
      <c r="D65" s="3">
        <v>31</v>
      </c>
      <c r="E65" s="3">
        <v>109</v>
      </c>
      <c r="F65" s="3">
        <v>483</v>
      </c>
      <c r="H65" t="str">
        <f t="shared" si="0"/>
        <v>rugosus-31</v>
      </c>
      <c r="I65" s="3">
        <v>30</v>
      </c>
    </row>
    <row r="66" spans="1:9" ht="18.75" customHeight="1" x14ac:dyDescent="0.3">
      <c r="A66" t="s">
        <v>593</v>
      </c>
      <c r="B66" t="s">
        <v>656</v>
      </c>
      <c r="C66" t="s">
        <v>659</v>
      </c>
      <c r="D66" s="3">
        <v>31</v>
      </c>
      <c r="E66" s="3">
        <v>112</v>
      </c>
      <c r="F66" s="3">
        <v>490</v>
      </c>
      <c r="H66" t="str">
        <f t="shared" si="0"/>
        <v>angustifolium-31</v>
      </c>
      <c r="I66" s="3">
        <v>30</v>
      </c>
    </row>
    <row r="67" spans="1:9" ht="18.75" customHeight="1" x14ac:dyDescent="0.3">
      <c r="A67" t="s">
        <v>593</v>
      </c>
      <c r="B67" t="s">
        <v>656</v>
      </c>
      <c r="C67" t="s">
        <v>663</v>
      </c>
      <c r="D67" s="3">
        <v>31</v>
      </c>
      <c r="E67" s="3">
        <v>112</v>
      </c>
      <c r="F67" s="3">
        <v>495</v>
      </c>
      <c r="H67" t="str">
        <f t="shared" ref="H67:H130" si="1">_xlfn.CONCAT(C67,"-",D67)</f>
        <v>floribundum-31</v>
      </c>
      <c r="I67" s="3">
        <v>30</v>
      </c>
    </row>
    <row r="68" spans="1:9" ht="18.75" customHeight="1" x14ac:dyDescent="0.3">
      <c r="A68" t="s">
        <v>593</v>
      </c>
      <c r="B68" t="s">
        <v>656</v>
      </c>
      <c r="C68" t="s">
        <v>664</v>
      </c>
      <c r="D68" s="3">
        <v>31</v>
      </c>
      <c r="E68" s="3">
        <v>112</v>
      </c>
      <c r="F68" s="3">
        <v>496</v>
      </c>
      <c r="H68" t="str">
        <f t="shared" si="1"/>
        <v>grandifolium-31</v>
      </c>
      <c r="I68" s="3">
        <v>30</v>
      </c>
    </row>
    <row r="69" spans="1:9" ht="18.75" customHeight="1" x14ac:dyDescent="0.3">
      <c r="A69" t="s">
        <v>593</v>
      </c>
      <c r="B69" t="s">
        <v>656</v>
      </c>
      <c r="C69" t="s">
        <v>666</v>
      </c>
      <c r="D69" s="3">
        <v>31</v>
      </c>
      <c r="E69" s="3">
        <v>112</v>
      </c>
      <c r="F69" s="3">
        <v>498</v>
      </c>
      <c r="H69" t="str">
        <f t="shared" si="1"/>
        <v>latialatum-31</v>
      </c>
      <c r="I69" s="3">
        <v>30</v>
      </c>
    </row>
    <row r="70" spans="1:9" ht="18.75" customHeight="1" x14ac:dyDescent="0.3">
      <c r="A70" t="s">
        <v>593</v>
      </c>
      <c r="B70" t="s">
        <v>688</v>
      </c>
      <c r="C70" t="s">
        <v>18</v>
      </c>
      <c r="D70" s="3">
        <v>31</v>
      </c>
      <c r="E70" s="3">
        <v>148</v>
      </c>
      <c r="F70" s="3">
        <v>641</v>
      </c>
      <c r="H70" t="str">
        <f t="shared" si="1"/>
        <v>ulei-31</v>
      </c>
      <c r="I70" s="3">
        <v>30</v>
      </c>
    </row>
    <row r="71" spans="1:9" ht="18.75" customHeight="1" x14ac:dyDescent="0.3">
      <c r="A71" t="s">
        <v>725</v>
      </c>
      <c r="B71" t="s">
        <v>735</v>
      </c>
      <c r="C71" t="s">
        <v>736</v>
      </c>
      <c r="D71" s="3">
        <v>35</v>
      </c>
      <c r="E71" s="3">
        <v>88</v>
      </c>
      <c r="F71" s="3">
        <v>341</v>
      </c>
      <c r="H71" t="str">
        <f t="shared" si="1"/>
        <v>guedesii-35</v>
      </c>
      <c r="I71" s="3">
        <v>30</v>
      </c>
    </row>
    <row r="72" spans="1:9" ht="18.75" customHeight="1" x14ac:dyDescent="0.3">
      <c r="A72" t="s">
        <v>745</v>
      </c>
      <c r="B72" t="s">
        <v>757</v>
      </c>
      <c r="C72" t="s">
        <v>205</v>
      </c>
      <c r="D72" s="3">
        <v>36</v>
      </c>
      <c r="E72" s="3">
        <v>79</v>
      </c>
      <c r="F72" s="3">
        <v>314</v>
      </c>
      <c r="H72" t="str">
        <f t="shared" si="1"/>
        <v>maxima-36</v>
      </c>
      <c r="I72" s="3">
        <v>30</v>
      </c>
    </row>
    <row r="73" spans="1:9" ht="18.75" customHeight="1" x14ac:dyDescent="0.3">
      <c r="A73" t="s">
        <v>745</v>
      </c>
      <c r="B73" t="s">
        <v>757</v>
      </c>
      <c r="C73" t="s">
        <v>783</v>
      </c>
      <c r="D73" s="3">
        <v>36</v>
      </c>
      <c r="E73" s="3">
        <v>79</v>
      </c>
      <c r="F73" s="3">
        <v>315</v>
      </c>
      <c r="H73" t="str">
        <f t="shared" si="1"/>
        <v>nymphaeafolia-36</v>
      </c>
      <c r="I73" s="3">
        <v>30</v>
      </c>
    </row>
    <row r="74" spans="1:9" ht="18.75" customHeight="1" x14ac:dyDescent="0.3">
      <c r="A74" t="s">
        <v>790</v>
      </c>
      <c r="B74" t="s">
        <v>791</v>
      </c>
      <c r="C74" t="s">
        <v>795</v>
      </c>
      <c r="D74" s="3">
        <v>37</v>
      </c>
      <c r="E74" s="3">
        <v>194</v>
      </c>
      <c r="F74" s="3">
        <v>900</v>
      </c>
      <c r="H74" t="str">
        <f t="shared" si="1"/>
        <v>flexuosa-37</v>
      </c>
      <c r="I74" s="3">
        <v>30</v>
      </c>
    </row>
    <row r="75" spans="1:9" ht="18.75" customHeight="1" x14ac:dyDescent="0.3">
      <c r="A75" t="s">
        <v>808</v>
      </c>
      <c r="B75" t="s">
        <v>810</v>
      </c>
      <c r="C75" t="s">
        <v>820</v>
      </c>
      <c r="D75" s="3">
        <v>38</v>
      </c>
      <c r="E75" s="3">
        <v>76</v>
      </c>
      <c r="F75" s="3">
        <v>273</v>
      </c>
      <c r="H75" t="str">
        <f t="shared" si="1"/>
        <v>malaccensis-38</v>
      </c>
      <c r="I75" s="3">
        <v>30</v>
      </c>
    </row>
    <row r="76" spans="1:9" ht="18.75" customHeight="1" x14ac:dyDescent="0.3">
      <c r="A76" t="s">
        <v>808</v>
      </c>
      <c r="B76" t="s">
        <v>810</v>
      </c>
      <c r="C76" t="s">
        <v>827</v>
      </c>
      <c r="D76" s="3">
        <v>38</v>
      </c>
      <c r="E76" s="3">
        <v>76</v>
      </c>
      <c r="F76" s="3">
        <v>281</v>
      </c>
      <c r="H76" t="str">
        <f t="shared" si="1"/>
        <v>stipitata-38</v>
      </c>
      <c r="I76" s="3">
        <v>30</v>
      </c>
    </row>
    <row r="77" spans="1:9" ht="18.75" customHeight="1" x14ac:dyDescent="0.3">
      <c r="A77" t="s">
        <v>832</v>
      </c>
      <c r="B77" t="s">
        <v>833</v>
      </c>
      <c r="C77" t="s">
        <v>834</v>
      </c>
      <c r="D77" s="3">
        <v>39</v>
      </c>
      <c r="E77" s="3">
        <v>124</v>
      </c>
      <c r="F77" s="3">
        <v>554</v>
      </c>
      <c r="H77" t="str">
        <f t="shared" si="1"/>
        <v>aeruginosa-39</v>
      </c>
      <c r="I77" s="3">
        <v>30</v>
      </c>
    </row>
    <row r="78" spans="1:9" ht="18.75" customHeight="1" x14ac:dyDescent="0.3">
      <c r="A78" t="s">
        <v>832</v>
      </c>
      <c r="B78" t="s">
        <v>833</v>
      </c>
      <c r="C78" t="s">
        <v>840</v>
      </c>
      <c r="D78" s="3">
        <v>39</v>
      </c>
      <c r="E78" s="3">
        <v>124</v>
      </c>
      <c r="F78" s="3">
        <v>566</v>
      </c>
      <c r="H78" t="str">
        <f t="shared" si="1"/>
        <v>uberrima-39</v>
      </c>
      <c r="I78" s="3">
        <v>30</v>
      </c>
    </row>
    <row r="79" spans="1:9" ht="18.75" customHeight="1" x14ac:dyDescent="0.3">
      <c r="A79" t="s">
        <v>875</v>
      </c>
      <c r="B79" t="s">
        <v>878</v>
      </c>
      <c r="C79" t="s">
        <v>27</v>
      </c>
      <c r="D79" s="3">
        <v>50</v>
      </c>
      <c r="E79" s="3">
        <v>66</v>
      </c>
      <c r="F79" s="3">
        <v>224</v>
      </c>
      <c r="H79" t="str">
        <f t="shared" si="1"/>
        <v>lanceolata-50</v>
      </c>
      <c r="I79" s="3">
        <v>30</v>
      </c>
    </row>
    <row r="80" spans="1:9" ht="18.75" customHeight="1" x14ac:dyDescent="0.3">
      <c r="A80" t="s">
        <v>875</v>
      </c>
      <c r="B80" t="s">
        <v>881</v>
      </c>
      <c r="C80" t="s">
        <v>883</v>
      </c>
      <c r="D80" s="3">
        <v>50</v>
      </c>
      <c r="E80" s="3">
        <v>71</v>
      </c>
      <c r="F80" s="3">
        <v>234</v>
      </c>
      <c r="H80" t="str">
        <f t="shared" si="1"/>
        <v>purusiana-50</v>
      </c>
      <c r="I80" s="3">
        <v>30</v>
      </c>
    </row>
    <row r="81" spans="1:9" ht="18.75" customHeight="1" x14ac:dyDescent="0.3">
      <c r="A81" t="s">
        <v>875</v>
      </c>
      <c r="B81" t="s">
        <v>896</v>
      </c>
      <c r="C81" t="s">
        <v>902</v>
      </c>
      <c r="D81" s="3">
        <v>50</v>
      </c>
      <c r="E81" s="3">
        <v>152</v>
      </c>
      <c r="F81" s="3">
        <v>653</v>
      </c>
      <c r="H81" t="str">
        <f t="shared" si="1"/>
        <v>franciscana-50</v>
      </c>
      <c r="I81" s="3">
        <v>30</v>
      </c>
    </row>
    <row r="82" spans="1:9" ht="18.75" customHeight="1" x14ac:dyDescent="0.3">
      <c r="A82" t="s">
        <v>875</v>
      </c>
      <c r="B82" t="s">
        <v>896</v>
      </c>
      <c r="C82" t="s">
        <v>904</v>
      </c>
      <c r="D82" s="3">
        <v>50</v>
      </c>
      <c r="E82" s="3">
        <v>152</v>
      </c>
      <c r="F82" s="3">
        <v>656</v>
      </c>
      <c r="H82" t="str">
        <f t="shared" si="1"/>
        <v>gomphiifolia-50</v>
      </c>
      <c r="I82" s="3">
        <v>30</v>
      </c>
    </row>
    <row r="83" spans="1:9" ht="18.75" customHeight="1" x14ac:dyDescent="0.3">
      <c r="A83" t="s">
        <v>875</v>
      </c>
      <c r="B83" t="s">
        <v>896</v>
      </c>
      <c r="C83" t="s">
        <v>910</v>
      </c>
      <c r="D83" s="3">
        <v>50</v>
      </c>
      <c r="E83" s="3">
        <v>152</v>
      </c>
      <c r="F83" s="3">
        <v>664</v>
      </c>
      <c r="H83" t="str">
        <f t="shared" si="1"/>
        <v>laurifolia-50</v>
      </c>
      <c r="I83" s="3">
        <v>30</v>
      </c>
    </row>
    <row r="84" spans="1:9" ht="18.75" customHeight="1" x14ac:dyDescent="0.3">
      <c r="A84" t="s">
        <v>28</v>
      </c>
      <c r="B84" t="s">
        <v>29</v>
      </c>
      <c r="C84" t="s">
        <v>34</v>
      </c>
      <c r="D84" s="3">
        <v>4</v>
      </c>
      <c r="E84" s="3">
        <v>5</v>
      </c>
      <c r="F84" s="3">
        <v>21</v>
      </c>
      <c r="H84" t="str">
        <f t="shared" si="1"/>
        <v>pachycarpa-4</v>
      </c>
      <c r="I84" s="3">
        <v>40</v>
      </c>
    </row>
    <row r="85" spans="1:9" ht="18.75" customHeight="1" x14ac:dyDescent="0.3">
      <c r="A85" t="s">
        <v>28</v>
      </c>
      <c r="B85" t="s">
        <v>37</v>
      </c>
      <c r="C85" t="s">
        <v>49</v>
      </c>
      <c r="D85" s="3">
        <v>4</v>
      </c>
      <c r="E85" s="3">
        <v>15</v>
      </c>
      <c r="F85" s="3">
        <v>54</v>
      </c>
      <c r="H85" t="str">
        <f t="shared" si="1"/>
        <v>marcgravianum-4</v>
      </c>
      <c r="I85" s="3">
        <v>40</v>
      </c>
    </row>
    <row r="86" spans="1:9" ht="18.75" customHeight="1" x14ac:dyDescent="0.3">
      <c r="A86" t="s">
        <v>75</v>
      </c>
      <c r="B86" t="s">
        <v>82</v>
      </c>
      <c r="C86" t="s">
        <v>98</v>
      </c>
      <c r="D86" s="3">
        <v>7</v>
      </c>
      <c r="E86" s="3">
        <v>178</v>
      </c>
      <c r="F86" s="3">
        <v>775</v>
      </c>
      <c r="H86" t="str">
        <f t="shared" si="1"/>
        <v>dugandii-7</v>
      </c>
      <c r="I86" s="3">
        <v>40</v>
      </c>
    </row>
    <row r="87" spans="1:9" ht="18.75" customHeight="1" x14ac:dyDescent="0.3">
      <c r="A87" t="s">
        <v>124</v>
      </c>
      <c r="B87" t="s">
        <v>125</v>
      </c>
      <c r="C87" t="s">
        <v>126</v>
      </c>
      <c r="D87" s="3">
        <v>8</v>
      </c>
      <c r="E87" s="3">
        <v>21</v>
      </c>
      <c r="F87" s="3">
        <v>78</v>
      </c>
      <c r="H87" t="str">
        <f t="shared" si="1"/>
        <v>arborea-8</v>
      </c>
      <c r="I87" s="3">
        <v>40</v>
      </c>
    </row>
    <row r="88" spans="1:9" ht="18.75" customHeight="1" x14ac:dyDescent="0.3">
      <c r="A88" t="s">
        <v>152</v>
      </c>
      <c r="B88" t="s">
        <v>153</v>
      </c>
      <c r="C88" t="s">
        <v>155</v>
      </c>
      <c r="D88" s="3">
        <v>12</v>
      </c>
      <c r="E88" s="3">
        <v>36</v>
      </c>
      <c r="F88" s="3">
        <v>132</v>
      </c>
      <c r="H88" t="str">
        <f t="shared" si="1"/>
        <v>edule-12</v>
      </c>
      <c r="I88" s="3">
        <v>40</v>
      </c>
    </row>
    <row r="89" spans="1:9" ht="18.75" customHeight="1" x14ac:dyDescent="0.3">
      <c r="A89" t="s">
        <v>152</v>
      </c>
      <c r="B89" t="s">
        <v>153</v>
      </c>
      <c r="C89" t="s">
        <v>60</v>
      </c>
      <c r="D89" s="3">
        <v>12</v>
      </c>
      <c r="E89" s="3">
        <v>36</v>
      </c>
      <c r="F89" s="3">
        <v>134</v>
      </c>
      <c r="H89" t="str">
        <f t="shared" si="1"/>
        <v>sp-12</v>
      </c>
      <c r="I89" s="3">
        <v>40</v>
      </c>
    </row>
    <row r="90" spans="1:9" ht="18.75" customHeight="1" x14ac:dyDescent="0.3">
      <c r="A90" t="s">
        <v>158</v>
      </c>
      <c r="B90" t="s">
        <v>159</v>
      </c>
      <c r="C90" t="s">
        <v>160</v>
      </c>
      <c r="D90" s="3">
        <v>13</v>
      </c>
      <c r="E90" s="3">
        <v>38</v>
      </c>
      <c r="F90" s="3">
        <v>138</v>
      </c>
      <c r="H90" t="str">
        <f t="shared" si="1"/>
        <v>bureaniana-13</v>
      </c>
      <c r="I90" s="3">
        <v>40</v>
      </c>
    </row>
    <row r="91" spans="1:9" ht="18.75" customHeight="1" x14ac:dyDescent="0.3">
      <c r="A91" t="s">
        <v>158</v>
      </c>
      <c r="B91" t="s">
        <v>159</v>
      </c>
      <c r="C91" t="s">
        <v>161</v>
      </c>
      <c r="D91" s="3">
        <v>13</v>
      </c>
      <c r="E91" s="3">
        <v>38</v>
      </c>
      <c r="F91" s="3">
        <v>139</v>
      </c>
      <c r="H91" t="str">
        <f t="shared" si="1"/>
        <v>concolor-13</v>
      </c>
      <c r="I91" s="3">
        <v>40</v>
      </c>
    </row>
    <row r="92" spans="1:9" ht="18.75" customHeight="1" x14ac:dyDescent="0.3">
      <c r="A92" t="s">
        <v>171</v>
      </c>
      <c r="B92" t="s">
        <v>172</v>
      </c>
      <c r="C92" t="s">
        <v>174</v>
      </c>
      <c r="D92" s="3">
        <v>15</v>
      </c>
      <c r="E92" s="3">
        <v>91</v>
      </c>
      <c r="F92" s="3">
        <v>346</v>
      </c>
      <c r="H92" t="str">
        <f t="shared" si="1"/>
        <v>bullata-15</v>
      </c>
      <c r="I92" s="3">
        <v>40</v>
      </c>
    </row>
    <row r="93" spans="1:9" ht="18.75" customHeight="1" x14ac:dyDescent="0.3">
      <c r="A93" t="s">
        <v>171</v>
      </c>
      <c r="B93" t="s">
        <v>172</v>
      </c>
      <c r="C93" t="s">
        <v>183</v>
      </c>
      <c r="D93" s="3">
        <v>15</v>
      </c>
      <c r="E93" s="3">
        <v>91</v>
      </c>
      <c r="F93" s="3">
        <v>355</v>
      </c>
      <c r="H93" t="str">
        <f t="shared" si="1"/>
        <v>punctillata-15</v>
      </c>
      <c r="I93" s="3">
        <v>40</v>
      </c>
    </row>
    <row r="94" spans="1:9" ht="18.75" customHeight="1" x14ac:dyDescent="0.3">
      <c r="A94" t="s">
        <v>171</v>
      </c>
      <c r="B94" t="s">
        <v>188</v>
      </c>
      <c r="C94" t="s">
        <v>200</v>
      </c>
      <c r="D94" s="3">
        <v>15</v>
      </c>
      <c r="E94" s="3">
        <v>107</v>
      </c>
      <c r="F94" s="3">
        <v>424</v>
      </c>
      <c r="H94" t="str">
        <f t="shared" si="1"/>
        <v>kunthiana-15</v>
      </c>
      <c r="I94" s="3">
        <v>40</v>
      </c>
    </row>
    <row r="95" spans="1:9" ht="18.75" customHeight="1" x14ac:dyDescent="0.3">
      <c r="A95" t="s">
        <v>171</v>
      </c>
      <c r="B95" t="s">
        <v>188</v>
      </c>
      <c r="C95" t="s">
        <v>215</v>
      </c>
      <c r="D95" s="3">
        <v>15</v>
      </c>
      <c r="E95" s="3">
        <v>107</v>
      </c>
      <c r="F95" s="3">
        <v>440</v>
      </c>
      <c r="H95" t="str">
        <f t="shared" si="1"/>
        <v>piresii-15</v>
      </c>
      <c r="I95" s="3">
        <v>40</v>
      </c>
    </row>
    <row r="96" spans="1:9" ht="18.75" customHeight="1" x14ac:dyDescent="0.3">
      <c r="A96" t="s">
        <v>171</v>
      </c>
      <c r="B96" t="s">
        <v>188</v>
      </c>
      <c r="C96" t="s">
        <v>218</v>
      </c>
      <c r="D96" s="3">
        <v>15</v>
      </c>
      <c r="E96" s="3">
        <v>107</v>
      </c>
      <c r="F96" s="3">
        <v>444</v>
      </c>
      <c r="H96" t="str">
        <f t="shared" si="1"/>
        <v>rondonii-15</v>
      </c>
      <c r="I96" s="3">
        <v>40</v>
      </c>
    </row>
    <row r="97" spans="1:9" ht="18.75" customHeight="1" x14ac:dyDescent="0.3">
      <c r="A97" t="s">
        <v>239</v>
      </c>
      <c r="B97" t="s">
        <v>245</v>
      </c>
      <c r="C97" t="s">
        <v>254</v>
      </c>
      <c r="D97" s="3">
        <v>17</v>
      </c>
      <c r="E97" s="3">
        <v>185</v>
      </c>
      <c r="F97" s="3">
        <v>821</v>
      </c>
      <c r="H97" t="str">
        <f t="shared" si="1"/>
        <v>benzoin-17</v>
      </c>
      <c r="I97" s="3">
        <v>40</v>
      </c>
    </row>
    <row r="98" spans="1:9" ht="18.75" customHeight="1" x14ac:dyDescent="0.3">
      <c r="A98" t="s">
        <v>239</v>
      </c>
      <c r="B98" t="s">
        <v>245</v>
      </c>
      <c r="C98" t="s">
        <v>286</v>
      </c>
      <c r="D98" s="3">
        <v>17</v>
      </c>
      <c r="E98" s="3">
        <v>185</v>
      </c>
      <c r="F98" s="3">
        <v>855</v>
      </c>
      <c r="H98" t="str">
        <f t="shared" si="1"/>
        <v>ovocarpa-17</v>
      </c>
      <c r="I98" s="3">
        <v>40</v>
      </c>
    </row>
    <row r="99" spans="1:9" ht="18.75" customHeight="1" x14ac:dyDescent="0.3">
      <c r="A99" t="s">
        <v>239</v>
      </c>
      <c r="B99" t="s">
        <v>245</v>
      </c>
      <c r="C99" t="s">
        <v>306</v>
      </c>
      <c r="D99" s="3">
        <v>17</v>
      </c>
      <c r="E99" s="3">
        <v>185</v>
      </c>
      <c r="F99" s="3">
        <v>876</v>
      </c>
      <c r="H99" t="str">
        <f t="shared" si="1"/>
        <v>travancoricus-17</v>
      </c>
      <c r="I99" s="3">
        <v>40</v>
      </c>
    </row>
    <row r="100" spans="1:9" ht="18.75" customHeight="1" x14ac:dyDescent="0.3">
      <c r="A100" t="s">
        <v>321</v>
      </c>
      <c r="B100" t="s">
        <v>322</v>
      </c>
      <c r="C100" t="s">
        <v>325</v>
      </c>
      <c r="D100" s="3">
        <v>21</v>
      </c>
      <c r="E100" s="3">
        <v>173</v>
      </c>
      <c r="F100" s="3">
        <v>734</v>
      </c>
      <c r="H100" t="str">
        <f t="shared" si="1"/>
        <v>fendieriana-21</v>
      </c>
      <c r="I100" s="3">
        <v>40</v>
      </c>
    </row>
    <row r="101" spans="1:9" ht="18.75" customHeight="1" x14ac:dyDescent="0.3">
      <c r="A101" t="s">
        <v>344</v>
      </c>
      <c r="B101" t="s">
        <v>345</v>
      </c>
      <c r="C101" t="s">
        <v>346</v>
      </c>
      <c r="D101" s="3">
        <v>23</v>
      </c>
      <c r="E101" s="3">
        <v>162</v>
      </c>
      <c r="F101" s="3">
        <v>703</v>
      </c>
      <c r="H101" t="str">
        <f t="shared" si="1"/>
        <v>sapotifolia-23</v>
      </c>
      <c r="I101" s="3">
        <v>40</v>
      </c>
    </row>
    <row r="102" spans="1:9" ht="18.75" customHeight="1" x14ac:dyDescent="0.3">
      <c r="A102" t="s">
        <v>363</v>
      </c>
      <c r="B102" t="s">
        <v>379</v>
      </c>
      <c r="C102" t="s">
        <v>381</v>
      </c>
      <c r="D102" s="3">
        <v>26</v>
      </c>
      <c r="E102" s="3">
        <v>123</v>
      </c>
      <c r="F102" s="3">
        <v>538</v>
      </c>
      <c r="H102" t="str">
        <f t="shared" si="1"/>
        <v>cissiflora-26</v>
      </c>
      <c r="I102" s="3">
        <v>40</v>
      </c>
    </row>
    <row r="103" spans="1:9" ht="18.75" customHeight="1" x14ac:dyDescent="0.3">
      <c r="A103" t="s">
        <v>363</v>
      </c>
      <c r="B103" t="s">
        <v>390</v>
      </c>
      <c r="C103" t="s">
        <v>393</v>
      </c>
      <c r="D103" s="3">
        <v>26</v>
      </c>
      <c r="E103" s="3">
        <v>126</v>
      </c>
      <c r="F103" s="3">
        <v>570</v>
      </c>
      <c r="H103" t="str">
        <f t="shared" si="1"/>
        <v>canaliculata-26</v>
      </c>
      <c r="I103" s="3">
        <v>40</v>
      </c>
    </row>
    <row r="104" spans="1:9" ht="18.75" customHeight="1" x14ac:dyDescent="0.3">
      <c r="A104" t="s">
        <v>363</v>
      </c>
      <c r="B104" t="s">
        <v>390</v>
      </c>
      <c r="C104" t="s">
        <v>394</v>
      </c>
      <c r="D104" s="3">
        <v>26</v>
      </c>
      <c r="E104" s="3">
        <v>126</v>
      </c>
      <c r="F104" s="3">
        <v>571</v>
      </c>
      <c r="H104" t="str">
        <f t="shared" si="1"/>
        <v>caudata-26</v>
      </c>
      <c r="I104" s="3">
        <v>40</v>
      </c>
    </row>
    <row r="105" spans="1:9" ht="18.75" customHeight="1" x14ac:dyDescent="0.3">
      <c r="A105" t="s">
        <v>363</v>
      </c>
      <c r="B105" t="s">
        <v>390</v>
      </c>
      <c r="C105" t="s">
        <v>402</v>
      </c>
      <c r="D105" s="3">
        <v>26</v>
      </c>
      <c r="E105" s="3">
        <v>126</v>
      </c>
      <c r="F105" s="3">
        <v>582</v>
      </c>
      <c r="H105" t="str">
        <f t="shared" si="1"/>
        <v>maguireana-26</v>
      </c>
      <c r="I105" s="3">
        <v>40</v>
      </c>
    </row>
    <row r="106" spans="1:9" ht="18.75" customHeight="1" x14ac:dyDescent="0.3">
      <c r="A106" t="s">
        <v>363</v>
      </c>
      <c r="B106" t="s">
        <v>390</v>
      </c>
      <c r="C106" t="s">
        <v>410</v>
      </c>
      <c r="D106" s="3">
        <v>26</v>
      </c>
      <c r="E106" s="3">
        <v>126</v>
      </c>
      <c r="F106" s="3">
        <v>591</v>
      </c>
      <c r="H106" t="str">
        <f t="shared" si="1"/>
        <v>sericiflora-26</v>
      </c>
      <c r="I106" s="3">
        <v>40</v>
      </c>
    </row>
    <row r="107" spans="1:9" ht="18.75" customHeight="1" x14ac:dyDescent="0.3">
      <c r="A107" t="s">
        <v>456</v>
      </c>
      <c r="B107" t="s">
        <v>483</v>
      </c>
      <c r="C107" t="s">
        <v>485</v>
      </c>
      <c r="D107" s="3">
        <v>29</v>
      </c>
      <c r="E107" s="3">
        <v>47</v>
      </c>
      <c r="F107" s="3">
        <v>166</v>
      </c>
      <c r="H107" t="str">
        <f t="shared" si="1"/>
        <v>langsdortii-29</v>
      </c>
      <c r="I107" s="3">
        <v>40</v>
      </c>
    </row>
    <row r="108" spans="1:9" ht="18.75" customHeight="1" x14ac:dyDescent="0.3">
      <c r="A108" t="s">
        <v>456</v>
      </c>
      <c r="B108" t="s">
        <v>492</v>
      </c>
      <c r="C108" t="s">
        <v>493</v>
      </c>
      <c r="D108" s="3">
        <v>29</v>
      </c>
      <c r="E108" s="3">
        <v>58</v>
      </c>
      <c r="F108" s="3">
        <v>208</v>
      </c>
      <c r="H108" t="str">
        <f t="shared" si="1"/>
        <v>exaltata-29</v>
      </c>
      <c r="I108" s="3">
        <v>40</v>
      </c>
    </row>
    <row r="109" spans="1:9" ht="18.75" customHeight="1" x14ac:dyDescent="0.3">
      <c r="A109" t="s">
        <v>456</v>
      </c>
      <c r="B109" t="s">
        <v>496</v>
      </c>
      <c r="C109" t="s">
        <v>497</v>
      </c>
      <c r="D109" s="3">
        <v>29</v>
      </c>
      <c r="E109" s="3">
        <v>89</v>
      </c>
      <c r="F109" s="3">
        <v>342</v>
      </c>
      <c r="H109" t="str">
        <f t="shared" si="1"/>
        <v>hymenaefolia-29</v>
      </c>
      <c r="I109" s="3">
        <v>40</v>
      </c>
    </row>
    <row r="110" spans="1:9" ht="18.75" customHeight="1" x14ac:dyDescent="0.3">
      <c r="A110" t="s">
        <v>456</v>
      </c>
      <c r="B110" t="s">
        <v>527</v>
      </c>
      <c r="C110" t="s">
        <v>528</v>
      </c>
      <c r="D110" s="3">
        <v>29</v>
      </c>
      <c r="E110" s="3">
        <v>168</v>
      </c>
      <c r="F110" s="3">
        <v>718</v>
      </c>
      <c r="H110" t="str">
        <f t="shared" si="1"/>
        <v>chysophyllum-29</v>
      </c>
      <c r="I110" s="3">
        <v>40</v>
      </c>
    </row>
    <row r="111" spans="1:9" ht="18.75" customHeight="1" x14ac:dyDescent="0.3">
      <c r="A111" t="s">
        <v>456</v>
      </c>
      <c r="B111" t="s">
        <v>532</v>
      </c>
      <c r="C111" t="s">
        <v>534</v>
      </c>
      <c r="D111" s="3">
        <v>29</v>
      </c>
      <c r="E111" s="3">
        <v>179</v>
      </c>
      <c r="F111" s="3">
        <v>802</v>
      </c>
      <c r="H111" t="str">
        <f t="shared" si="1"/>
        <v>myrmecophila-29</v>
      </c>
      <c r="I111" s="3">
        <v>40</v>
      </c>
    </row>
    <row r="112" spans="1:9" ht="18.75" customHeight="1" x14ac:dyDescent="0.3">
      <c r="A112" s="22" t="s">
        <v>536</v>
      </c>
      <c r="B112" s="22" t="s">
        <v>537</v>
      </c>
      <c r="C112" s="22" t="s">
        <v>538</v>
      </c>
      <c r="D112" s="4">
        <v>30</v>
      </c>
      <c r="E112" s="4">
        <v>1</v>
      </c>
      <c r="F112" s="4">
        <v>1</v>
      </c>
      <c r="H112" t="str">
        <f t="shared" si="1"/>
        <v>cf. glomerosa-30</v>
      </c>
      <c r="I112" s="4">
        <v>40</v>
      </c>
    </row>
    <row r="113" spans="1:9" ht="18.75" customHeight="1" x14ac:dyDescent="0.3">
      <c r="A113" t="s">
        <v>536</v>
      </c>
      <c r="B113" t="s">
        <v>544</v>
      </c>
      <c r="C113" t="s">
        <v>60</v>
      </c>
      <c r="D113" s="3">
        <v>30</v>
      </c>
      <c r="E113" s="3">
        <v>8</v>
      </c>
      <c r="F113" s="3">
        <v>33</v>
      </c>
      <c r="H113" t="str">
        <f t="shared" si="1"/>
        <v>sp-30</v>
      </c>
      <c r="I113" s="3">
        <v>40</v>
      </c>
    </row>
    <row r="114" spans="1:9" ht="18.75" customHeight="1" x14ac:dyDescent="0.3">
      <c r="A114" t="s">
        <v>536</v>
      </c>
      <c r="B114" t="s">
        <v>577</v>
      </c>
      <c r="C114" t="s">
        <v>578</v>
      </c>
      <c r="D114" s="3">
        <v>30</v>
      </c>
      <c r="E114" s="3">
        <v>145</v>
      </c>
      <c r="F114" s="3">
        <v>631</v>
      </c>
      <c r="H114" t="str">
        <f t="shared" si="1"/>
        <v>adiantoides-30</v>
      </c>
      <c r="I114" s="3">
        <v>40</v>
      </c>
    </row>
    <row r="115" spans="1:9" ht="18.75" customHeight="1" x14ac:dyDescent="0.3">
      <c r="A115" t="s">
        <v>536</v>
      </c>
      <c r="B115" t="s">
        <v>585</v>
      </c>
      <c r="C115" t="s">
        <v>539</v>
      </c>
      <c r="D115" s="3">
        <v>30</v>
      </c>
      <c r="E115" s="3">
        <v>169</v>
      </c>
      <c r="F115" s="3">
        <v>723</v>
      </c>
      <c r="H115" t="str">
        <f t="shared" si="1"/>
        <v>glomerosa-30</v>
      </c>
      <c r="I115" s="3">
        <v>40</v>
      </c>
    </row>
    <row r="116" spans="1:9" ht="18.75" customHeight="1" x14ac:dyDescent="0.3">
      <c r="A116" t="s">
        <v>536</v>
      </c>
      <c r="B116" t="s">
        <v>587</v>
      </c>
      <c r="C116" t="s">
        <v>588</v>
      </c>
      <c r="D116" s="3">
        <v>30</v>
      </c>
      <c r="E116" s="3">
        <v>174</v>
      </c>
      <c r="F116" s="3">
        <v>744</v>
      </c>
      <c r="H116" t="str">
        <f t="shared" si="1"/>
        <v>barbatimao-30</v>
      </c>
      <c r="I116" s="3">
        <v>40</v>
      </c>
    </row>
    <row r="117" spans="1:9" ht="18.75" customHeight="1" x14ac:dyDescent="0.3">
      <c r="A117" t="s">
        <v>536</v>
      </c>
      <c r="B117" t="s">
        <v>587</v>
      </c>
      <c r="C117" t="s">
        <v>589</v>
      </c>
      <c r="D117" s="3">
        <v>30</v>
      </c>
      <c r="E117" s="3">
        <v>174</v>
      </c>
      <c r="F117" s="3">
        <v>745</v>
      </c>
      <c r="H117" t="str">
        <f t="shared" si="1"/>
        <v>coriaceum-30</v>
      </c>
      <c r="I117" s="3">
        <v>40</v>
      </c>
    </row>
    <row r="118" spans="1:9" ht="18.75" customHeight="1" x14ac:dyDescent="0.3">
      <c r="A118" t="s">
        <v>593</v>
      </c>
      <c r="B118" t="s">
        <v>601</v>
      </c>
      <c r="C118" t="s">
        <v>607</v>
      </c>
      <c r="D118" s="3">
        <v>31</v>
      </c>
      <c r="E118" s="3">
        <v>54</v>
      </c>
      <c r="F118" s="3">
        <v>193</v>
      </c>
      <c r="H118" t="str">
        <f t="shared" si="1"/>
        <v>madagascariensis-31</v>
      </c>
      <c r="I118" s="3">
        <v>40</v>
      </c>
    </row>
    <row r="119" spans="1:9" ht="18.75" customHeight="1" x14ac:dyDescent="0.3">
      <c r="A119" t="s">
        <v>593</v>
      </c>
      <c r="B119" t="s">
        <v>621</v>
      </c>
      <c r="C119" t="s">
        <v>623</v>
      </c>
      <c r="D119" s="3">
        <v>31</v>
      </c>
      <c r="E119" s="3">
        <v>98</v>
      </c>
      <c r="F119" s="3">
        <v>375</v>
      </c>
      <c r="H119" t="str">
        <f t="shared" si="1"/>
        <v>complicatum-31</v>
      </c>
      <c r="I119" s="3">
        <v>40</v>
      </c>
    </row>
    <row r="120" spans="1:9" ht="18.75" customHeight="1" x14ac:dyDescent="0.3">
      <c r="A120" t="s">
        <v>593</v>
      </c>
      <c r="B120" t="s">
        <v>626</v>
      </c>
      <c r="C120" t="s">
        <v>636</v>
      </c>
      <c r="D120" s="3">
        <v>31</v>
      </c>
      <c r="E120" s="3">
        <v>109</v>
      </c>
      <c r="F120" s="3">
        <v>467</v>
      </c>
      <c r="H120" t="str">
        <f t="shared" si="1"/>
        <v>crucisrubienae-31</v>
      </c>
      <c r="I120" s="3">
        <v>40</v>
      </c>
    </row>
    <row r="121" spans="1:9" ht="18.75" customHeight="1" x14ac:dyDescent="0.3">
      <c r="A121" t="s">
        <v>593</v>
      </c>
      <c r="B121" t="s">
        <v>656</v>
      </c>
      <c r="C121" t="s">
        <v>660</v>
      </c>
      <c r="D121" s="3">
        <v>31</v>
      </c>
      <c r="E121" s="3">
        <v>112</v>
      </c>
      <c r="F121" s="3">
        <v>491</v>
      </c>
      <c r="H121" t="str">
        <f t="shared" si="1"/>
        <v>arboreum-31</v>
      </c>
      <c r="I121" s="3">
        <v>40</v>
      </c>
    </row>
    <row r="122" spans="1:9" ht="18.75" customHeight="1" x14ac:dyDescent="0.3">
      <c r="A122" t="s">
        <v>712</v>
      </c>
      <c r="B122" t="s">
        <v>713</v>
      </c>
      <c r="C122" t="s">
        <v>432</v>
      </c>
      <c r="D122" s="3">
        <v>33</v>
      </c>
      <c r="E122" s="3">
        <v>28</v>
      </c>
      <c r="F122" s="3">
        <v>104</v>
      </c>
      <c r="H122" t="str">
        <f t="shared" si="1"/>
        <v>coriacea-33</v>
      </c>
      <c r="I122" s="3">
        <v>40</v>
      </c>
    </row>
    <row r="123" spans="1:9" ht="18.75" customHeight="1" x14ac:dyDescent="0.3">
      <c r="A123" t="s">
        <v>712</v>
      </c>
      <c r="B123" t="s">
        <v>713</v>
      </c>
      <c r="C123" t="s">
        <v>719</v>
      </c>
      <c r="D123" s="3">
        <v>33</v>
      </c>
      <c r="E123" s="3">
        <v>28</v>
      </c>
      <c r="F123" s="3">
        <v>109</v>
      </c>
      <c r="H123" t="str">
        <f t="shared" si="1"/>
        <v>obsersa-33</v>
      </c>
      <c r="I123" s="3">
        <v>40</v>
      </c>
    </row>
    <row r="124" spans="1:9" ht="18.75" customHeight="1" x14ac:dyDescent="0.3">
      <c r="A124" t="s">
        <v>745</v>
      </c>
      <c r="B124" t="s">
        <v>757</v>
      </c>
      <c r="C124" t="s">
        <v>85</v>
      </c>
      <c r="D124" s="3">
        <v>36</v>
      </c>
      <c r="E124" s="3">
        <v>79</v>
      </c>
      <c r="F124" s="3">
        <v>296</v>
      </c>
      <c r="H124" t="str">
        <f t="shared" si="1"/>
        <v>aurea-36</v>
      </c>
      <c r="I124" s="3">
        <v>40</v>
      </c>
    </row>
    <row r="125" spans="1:9" ht="18.75" customHeight="1" x14ac:dyDescent="0.3">
      <c r="A125" t="s">
        <v>745</v>
      </c>
      <c r="B125" t="s">
        <v>757</v>
      </c>
      <c r="C125" t="s">
        <v>777</v>
      </c>
      <c r="D125" s="3">
        <v>36</v>
      </c>
      <c r="E125" s="3">
        <v>79</v>
      </c>
      <c r="F125" s="3">
        <v>308</v>
      </c>
      <c r="H125" t="str">
        <f t="shared" si="1"/>
        <v>enormis-36</v>
      </c>
      <c r="I125" s="3">
        <v>40</v>
      </c>
    </row>
    <row r="126" spans="1:9" ht="18.75" customHeight="1" x14ac:dyDescent="0.3">
      <c r="A126" t="s">
        <v>745</v>
      </c>
      <c r="B126" t="s">
        <v>757</v>
      </c>
      <c r="C126" t="s">
        <v>784</v>
      </c>
      <c r="D126" s="3">
        <v>36</v>
      </c>
      <c r="E126" s="3">
        <v>79</v>
      </c>
      <c r="F126" s="3">
        <v>317</v>
      </c>
      <c r="H126" t="str">
        <f t="shared" si="1"/>
        <v>pulchelia-36</v>
      </c>
      <c r="I126" s="3">
        <v>40</v>
      </c>
    </row>
    <row r="127" spans="1:9" ht="18.75" customHeight="1" x14ac:dyDescent="0.3">
      <c r="A127" t="s">
        <v>745</v>
      </c>
      <c r="B127" t="s">
        <v>757</v>
      </c>
      <c r="C127" t="s">
        <v>785</v>
      </c>
      <c r="D127" s="3">
        <v>36</v>
      </c>
      <c r="E127" s="3">
        <v>79</v>
      </c>
      <c r="F127" s="3">
        <v>318</v>
      </c>
      <c r="H127" t="str">
        <f t="shared" si="1"/>
        <v>radula-36</v>
      </c>
      <c r="I127" s="3">
        <v>40</v>
      </c>
    </row>
    <row r="128" spans="1:9" ht="18.75" customHeight="1" x14ac:dyDescent="0.3">
      <c r="A128" t="s">
        <v>745</v>
      </c>
      <c r="B128" t="s">
        <v>757</v>
      </c>
      <c r="C128" t="s">
        <v>788</v>
      </c>
      <c r="D128" s="3">
        <v>36</v>
      </c>
      <c r="E128" s="3">
        <v>79</v>
      </c>
      <c r="F128" s="3">
        <v>321</v>
      </c>
      <c r="H128" t="str">
        <f t="shared" si="1"/>
        <v>retusa-36</v>
      </c>
      <c r="I128" s="3">
        <v>40</v>
      </c>
    </row>
    <row r="129" spans="1:9" ht="18.75" customHeight="1" x14ac:dyDescent="0.3">
      <c r="A129" t="s">
        <v>790</v>
      </c>
      <c r="B129" t="s">
        <v>791</v>
      </c>
      <c r="C129" t="s">
        <v>794</v>
      </c>
      <c r="D129" s="3">
        <v>37</v>
      </c>
      <c r="E129" s="3">
        <v>194</v>
      </c>
      <c r="F129" s="3">
        <v>898</v>
      </c>
      <c r="H129" t="str">
        <f t="shared" si="1"/>
        <v>carinata-37</v>
      </c>
      <c r="I129" s="3">
        <v>40</v>
      </c>
    </row>
    <row r="130" spans="1:9" ht="18.75" customHeight="1" x14ac:dyDescent="0.3">
      <c r="A130" t="s">
        <v>790</v>
      </c>
      <c r="B130" t="s">
        <v>791</v>
      </c>
      <c r="C130" t="s">
        <v>353</v>
      </c>
      <c r="D130" s="3">
        <v>37</v>
      </c>
      <c r="E130" s="3">
        <v>194</v>
      </c>
      <c r="F130" s="3">
        <v>906</v>
      </c>
      <c r="H130" t="str">
        <f t="shared" si="1"/>
        <v>macrocarpa-37</v>
      </c>
      <c r="I130" s="3">
        <v>40</v>
      </c>
    </row>
    <row r="131" spans="1:9" ht="18.75" customHeight="1" x14ac:dyDescent="0.3">
      <c r="A131" t="s">
        <v>790</v>
      </c>
      <c r="B131" t="s">
        <v>791</v>
      </c>
      <c r="C131" t="s">
        <v>802</v>
      </c>
      <c r="D131" s="3">
        <v>37</v>
      </c>
      <c r="E131" s="3">
        <v>194</v>
      </c>
      <c r="F131" s="3">
        <v>908</v>
      </c>
      <c r="H131" t="str">
        <f t="shared" ref="H131:H194" si="2">_xlfn.CONCAT(C131,"-",D131)</f>
        <v>molissima-37</v>
      </c>
      <c r="I131" s="3">
        <v>40</v>
      </c>
    </row>
    <row r="132" spans="1:9" ht="18.75" customHeight="1" x14ac:dyDescent="0.3">
      <c r="A132" t="s">
        <v>808</v>
      </c>
      <c r="B132" t="s">
        <v>810</v>
      </c>
      <c r="C132" t="s">
        <v>813</v>
      </c>
      <c r="D132" s="3">
        <v>38</v>
      </c>
      <c r="E132" s="3">
        <v>76</v>
      </c>
      <c r="F132" s="3">
        <v>264</v>
      </c>
      <c r="H132" t="str">
        <f t="shared" si="2"/>
        <v>chartacea-38</v>
      </c>
      <c r="I132" s="3">
        <v>40</v>
      </c>
    </row>
    <row r="133" spans="1:9" ht="18.75" customHeight="1" x14ac:dyDescent="0.3">
      <c r="A133" t="s">
        <v>808</v>
      </c>
      <c r="B133" t="s">
        <v>810</v>
      </c>
      <c r="C133" t="s">
        <v>176</v>
      </c>
      <c r="D133" s="3">
        <v>38</v>
      </c>
      <c r="E133" s="3">
        <v>76</v>
      </c>
      <c r="F133" s="3">
        <v>267</v>
      </c>
      <c r="H133" t="str">
        <f t="shared" si="2"/>
        <v>egensis-38</v>
      </c>
      <c r="I133" s="3">
        <v>40</v>
      </c>
    </row>
    <row r="134" spans="1:9" ht="18.75" customHeight="1" x14ac:dyDescent="0.3">
      <c r="A134" t="s">
        <v>808</v>
      </c>
      <c r="B134" t="s">
        <v>810</v>
      </c>
      <c r="C134" t="s">
        <v>817</v>
      </c>
      <c r="D134" s="3">
        <v>38</v>
      </c>
      <c r="E134" s="3">
        <v>76</v>
      </c>
      <c r="F134" s="3">
        <v>270</v>
      </c>
      <c r="H134" t="str">
        <f t="shared" si="2"/>
        <v>florida-38</v>
      </c>
      <c r="I134" s="3">
        <v>40</v>
      </c>
    </row>
    <row r="135" spans="1:9" ht="18.75" customHeight="1" x14ac:dyDescent="0.3">
      <c r="A135" t="s">
        <v>808</v>
      </c>
      <c r="B135" t="s">
        <v>810</v>
      </c>
      <c r="C135" t="s">
        <v>828</v>
      </c>
      <c r="D135" s="3">
        <v>38</v>
      </c>
      <c r="E135" s="3">
        <v>76</v>
      </c>
      <c r="F135" s="3">
        <v>282</v>
      </c>
      <c r="H135" t="str">
        <f t="shared" si="2"/>
        <v>tapacumensis-38</v>
      </c>
      <c r="I135" s="3">
        <v>40</v>
      </c>
    </row>
    <row r="136" spans="1:9" ht="18.75" customHeight="1" x14ac:dyDescent="0.3">
      <c r="A136" t="s">
        <v>832</v>
      </c>
      <c r="B136" t="s">
        <v>833</v>
      </c>
      <c r="C136" t="s">
        <v>414</v>
      </c>
      <c r="D136" s="3">
        <v>39</v>
      </c>
      <c r="E136" s="3">
        <v>124</v>
      </c>
      <c r="F136" s="3">
        <v>559</v>
      </c>
      <c r="H136" t="str">
        <f t="shared" si="2"/>
        <v>krukovii-39</v>
      </c>
      <c r="I136" s="3">
        <v>40</v>
      </c>
    </row>
    <row r="137" spans="1:9" ht="18.75" customHeight="1" x14ac:dyDescent="0.3">
      <c r="A137" t="s">
        <v>843</v>
      </c>
      <c r="B137" t="s">
        <v>844</v>
      </c>
      <c r="C137" t="s">
        <v>515</v>
      </c>
      <c r="D137" s="3">
        <v>40</v>
      </c>
      <c r="E137" s="3">
        <v>118</v>
      </c>
      <c r="F137" s="3">
        <v>529</v>
      </c>
      <c r="H137" t="str">
        <f t="shared" si="2"/>
        <v>punctata-40</v>
      </c>
      <c r="I137" s="3">
        <v>40</v>
      </c>
    </row>
    <row r="138" spans="1:9" ht="18.75" customHeight="1" x14ac:dyDescent="0.3">
      <c r="A138" t="s">
        <v>848</v>
      </c>
      <c r="B138" t="s">
        <v>849</v>
      </c>
      <c r="C138" t="s">
        <v>851</v>
      </c>
      <c r="D138" s="3">
        <v>42</v>
      </c>
      <c r="E138" s="3">
        <v>140</v>
      </c>
      <c r="F138" s="3">
        <v>625</v>
      </c>
      <c r="H138" t="str">
        <f t="shared" si="2"/>
        <v>oocarpa-42</v>
      </c>
      <c r="I138" s="3">
        <v>40</v>
      </c>
    </row>
    <row r="139" spans="1:9" ht="18.75" customHeight="1" x14ac:dyDescent="0.3">
      <c r="A139" t="s">
        <v>869</v>
      </c>
      <c r="B139" t="s">
        <v>870</v>
      </c>
      <c r="C139" t="s">
        <v>872</v>
      </c>
      <c r="D139" s="3">
        <v>48</v>
      </c>
      <c r="E139" s="3">
        <v>129</v>
      </c>
      <c r="F139" s="3">
        <v>598</v>
      </c>
      <c r="H139" t="str">
        <f t="shared" si="2"/>
        <v>wightiana-48</v>
      </c>
      <c r="I139" s="3">
        <v>40</v>
      </c>
    </row>
    <row r="140" spans="1:9" ht="18.75" customHeight="1" x14ac:dyDescent="0.3">
      <c r="A140" t="s">
        <v>875</v>
      </c>
      <c r="B140" t="s">
        <v>884</v>
      </c>
      <c r="C140" t="s">
        <v>886</v>
      </c>
      <c r="D140" s="3">
        <v>50</v>
      </c>
      <c r="E140" s="3">
        <v>81</v>
      </c>
      <c r="F140" s="3">
        <v>325</v>
      </c>
      <c r="H140" t="str">
        <f t="shared" si="2"/>
        <v>platyphylla-50</v>
      </c>
      <c r="I140" s="3">
        <v>40</v>
      </c>
    </row>
    <row r="141" spans="1:9" ht="18.75" customHeight="1" x14ac:dyDescent="0.3">
      <c r="A141" t="s">
        <v>875</v>
      </c>
      <c r="B141" t="s">
        <v>896</v>
      </c>
      <c r="C141" t="s">
        <v>898</v>
      </c>
      <c r="D141" s="3">
        <v>50</v>
      </c>
      <c r="E141" s="3">
        <v>152</v>
      </c>
      <c r="F141" s="3">
        <v>649</v>
      </c>
      <c r="H141" t="str">
        <f t="shared" si="2"/>
        <v>aff-reticulata-50</v>
      </c>
      <c r="I141" s="3">
        <v>40</v>
      </c>
    </row>
    <row r="142" spans="1:9" ht="18.75" customHeight="1" x14ac:dyDescent="0.3">
      <c r="A142" t="s">
        <v>875</v>
      </c>
      <c r="B142" t="s">
        <v>896</v>
      </c>
      <c r="C142" t="s">
        <v>899</v>
      </c>
      <c r="D142" s="3">
        <v>50</v>
      </c>
      <c r="E142" s="3">
        <v>152</v>
      </c>
      <c r="F142" s="3">
        <v>650</v>
      </c>
      <c r="H142" t="str">
        <f t="shared" si="2"/>
        <v>cuspidata-50</v>
      </c>
      <c r="I142" s="3">
        <v>40</v>
      </c>
    </row>
    <row r="143" spans="1:9" ht="18.75" customHeight="1" x14ac:dyDescent="0.3">
      <c r="A143" t="s">
        <v>875</v>
      </c>
      <c r="B143" t="s">
        <v>896</v>
      </c>
      <c r="C143" t="s">
        <v>909</v>
      </c>
      <c r="D143" s="3">
        <v>50</v>
      </c>
      <c r="E143" s="3">
        <v>152</v>
      </c>
      <c r="F143" s="3">
        <v>663</v>
      </c>
      <c r="H143" t="str">
        <f t="shared" si="2"/>
        <v>lasiocarpa-50</v>
      </c>
      <c r="I143" s="3">
        <v>40</v>
      </c>
    </row>
    <row r="144" spans="1:9" ht="18.75" customHeight="1" x14ac:dyDescent="0.3">
      <c r="A144" t="s">
        <v>875</v>
      </c>
      <c r="B144" t="s">
        <v>896</v>
      </c>
      <c r="C144" t="s">
        <v>915</v>
      </c>
      <c r="D144" s="3">
        <v>50</v>
      </c>
      <c r="E144" s="3">
        <v>152</v>
      </c>
      <c r="F144" s="3">
        <v>676</v>
      </c>
      <c r="H144" t="str">
        <f t="shared" si="2"/>
        <v>trichopoda-50</v>
      </c>
      <c r="I144" s="3">
        <v>40</v>
      </c>
    </row>
    <row r="145" spans="1:9" ht="18.75" customHeight="1" x14ac:dyDescent="0.3">
      <c r="A145" t="s">
        <v>942</v>
      </c>
      <c r="B145" t="s">
        <v>943</v>
      </c>
      <c r="C145" t="s">
        <v>944</v>
      </c>
      <c r="D145" s="3">
        <v>56</v>
      </c>
      <c r="E145" s="3">
        <v>12</v>
      </c>
      <c r="F145" s="3">
        <v>39</v>
      </c>
      <c r="H145" t="str">
        <f t="shared" si="2"/>
        <v>sinensis-56</v>
      </c>
      <c r="I145" s="3">
        <v>40</v>
      </c>
    </row>
    <row r="146" spans="1:9" ht="18.75" customHeight="1" x14ac:dyDescent="0.3">
      <c r="A146" t="s">
        <v>28</v>
      </c>
      <c r="B146" t="s">
        <v>37</v>
      </c>
      <c r="C146" t="s">
        <v>41</v>
      </c>
      <c r="D146" s="3">
        <v>4</v>
      </c>
      <c r="E146" s="3">
        <v>15</v>
      </c>
      <c r="F146" s="3">
        <v>46</v>
      </c>
      <c r="H146" t="str">
        <f t="shared" si="2"/>
        <v>centrala-4</v>
      </c>
      <c r="I146" s="3">
        <v>50</v>
      </c>
    </row>
    <row r="147" spans="1:9" ht="18.75" customHeight="1" x14ac:dyDescent="0.3">
      <c r="A147" t="s">
        <v>28</v>
      </c>
      <c r="B147" t="s">
        <v>37</v>
      </c>
      <c r="C147" t="s">
        <v>11</v>
      </c>
      <c r="D147" s="3">
        <v>4</v>
      </c>
      <c r="E147" s="3">
        <v>15</v>
      </c>
      <c r="F147" s="3">
        <v>58</v>
      </c>
      <c r="H147" t="str">
        <f t="shared" si="2"/>
        <v>occidentale-4</v>
      </c>
      <c r="I147" s="3">
        <v>50</v>
      </c>
    </row>
    <row r="148" spans="1:9" ht="18.75" customHeight="1" x14ac:dyDescent="0.3">
      <c r="A148" t="s">
        <v>28</v>
      </c>
      <c r="B148" t="s">
        <v>37</v>
      </c>
      <c r="C148" t="s">
        <v>61</v>
      </c>
      <c r="D148" s="3">
        <v>4</v>
      </c>
      <c r="E148" s="3">
        <v>15</v>
      </c>
      <c r="F148" s="3">
        <v>67</v>
      </c>
      <c r="H148" t="str">
        <f t="shared" si="2"/>
        <v>subincanum-4</v>
      </c>
      <c r="I148" s="3">
        <v>50</v>
      </c>
    </row>
    <row r="149" spans="1:9" ht="18.75" customHeight="1" x14ac:dyDescent="0.3">
      <c r="A149" t="s">
        <v>75</v>
      </c>
      <c r="B149" t="s">
        <v>82</v>
      </c>
      <c r="C149" t="s">
        <v>84</v>
      </c>
      <c r="D149" s="3">
        <v>7</v>
      </c>
      <c r="E149" s="3">
        <v>178</v>
      </c>
      <c r="F149" s="3">
        <v>761</v>
      </c>
      <c r="H149" t="str">
        <f t="shared" si="2"/>
        <v>argentea-7</v>
      </c>
      <c r="I149" s="3">
        <v>50</v>
      </c>
    </row>
    <row r="150" spans="1:9" ht="18.75" customHeight="1" x14ac:dyDescent="0.3">
      <c r="A150" t="s">
        <v>75</v>
      </c>
      <c r="B150" t="s">
        <v>82</v>
      </c>
      <c r="C150" t="s">
        <v>102</v>
      </c>
      <c r="D150" s="3">
        <v>7</v>
      </c>
      <c r="E150" s="3">
        <v>178</v>
      </c>
      <c r="F150" s="3">
        <v>779</v>
      </c>
      <c r="H150" t="str">
        <f t="shared" si="2"/>
        <v>haemantha-7</v>
      </c>
      <c r="I150" s="3">
        <v>50</v>
      </c>
    </row>
    <row r="151" spans="1:9" ht="18.75" customHeight="1" x14ac:dyDescent="0.3">
      <c r="A151" t="s">
        <v>75</v>
      </c>
      <c r="B151" t="s">
        <v>82</v>
      </c>
      <c r="C151" t="s">
        <v>111</v>
      </c>
      <c r="D151" s="3">
        <v>7</v>
      </c>
      <c r="E151" s="3">
        <v>178</v>
      </c>
      <c r="F151" s="3">
        <v>788</v>
      </c>
      <c r="H151" t="str">
        <f t="shared" si="2"/>
        <v>leptopoda-7</v>
      </c>
      <c r="I151" s="3">
        <v>50</v>
      </c>
    </row>
    <row r="152" spans="1:9" ht="18.75" customHeight="1" x14ac:dyDescent="0.3">
      <c r="A152" t="s">
        <v>75</v>
      </c>
      <c r="B152" t="s">
        <v>82</v>
      </c>
      <c r="C152" t="s">
        <v>117</v>
      </c>
      <c r="D152" s="3">
        <v>7</v>
      </c>
      <c r="E152" s="3">
        <v>178</v>
      </c>
      <c r="F152" s="3">
        <v>794</v>
      </c>
      <c r="H152" t="str">
        <f t="shared" si="2"/>
        <v>rigida-7</v>
      </c>
      <c r="I152" s="3">
        <v>50</v>
      </c>
    </row>
    <row r="153" spans="1:9" ht="18.75" customHeight="1" x14ac:dyDescent="0.3">
      <c r="A153" t="s">
        <v>171</v>
      </c>
      <c r="B153" t="s">
        <v>188</v>
      </c>
      <c r="C153" t="s">
        <v>175</v>
      </c>
      <c r="D153" s="3">
        <v>15</v>
      </c>
      <c r="E153" s="3">
        <v>107</v>
      </c>
      <c r="F153" s="3">
        <v>413</v>
      </c>
      <c r="H153" t="str">
        <f t="shared" si="2"/>
        <v>duckel-15</v>
      </c>
      <c r="I153" s="3">
        <v>50</v>
      </c>
    </row>
    <row r="154" spans="1:9" ht="18.75" customHeight="1" x14ac:dyDescent="0.3">
      <c r="A154" t="s">
        <v>239</v>
      </c>
      <c r="B154" t="s">
        <v>245</v>
      </c>
      <c r="C154" t="s">
        <v>201</v>
      </c>
      <c r="D154" s="3">
        <v>17</v>
      </c>
      <c r="E154" s="3">
        <v>185</v>
      </c>
      <c r="F154" s="3">
        <v>843</v>
      </c>
      <c r="H154" t="str">
        <f t="shared" si="2"/>
        <v>latifolia-17</v>
      </c>
      <c r="I154" s="3">
        <v>50</v>
      </c>
    </row>
    <row r="155" spans="1:9" ht="18.75" customHeight="1" x14ac:dyDescent="0.3">
      <c r="A155" t="s">
        <v>239</v>
      </c>
      <c r="B155" t="s">
        <v>245</v>
      </c>
      <c r="C155" t="s">
        <v>279</v>
      </c>
      <c r="D155" s="3">
        <v>17</v>
      </c>
      <c r="E155" s="3">
        <v>185</v>
      </c>
      <c r="F155" s="3">
        <v>847</v>
      </c>
      <c r="H155" t="str">
        <f t="shared" si="2"/>
        <v>mauritiana-17</v>
      </c>
      <c r="I155" s="3">
        <v>50</v>
      </c>
    </row>
    <row r="156" spans="1:9" ht="18.75" customHeight="1" x14ac:dyDescent="0.3">
      <c r="A156" t="s">
        <v>239</v>
      </c>
      <c r="B156" t="s">
        <v>245</v>
      </c>
      <c r="C156" t="s">
        <v>208</v>
      </c>
      <c r="D156" s="3">
        <v>17</v>
      </c>
      <c r="E156" s="3">
        <v>185</v>
      </c>
      <c r="F156" s="3">
        <v>849</v>
      </c>
      <c r="H156" t="str">
        <f t="shared" si="2"/>
        <v>mollis-17</v>
      </c>
      <c r="I156" s="3">
        <v>50</v>
      </c>
    </row>
    <row r="157" spans="1:9" ht="18.75" customHeight="1" x14ac:dyDescent="0.3">
      <c r="A157" t="s">
        <v>239</v>
      </c>
      <c r="B157" t="s">
        <v>245</v>
      </c>
      <c r="C157" t="s">
        <v>289</v>
      </c>
      <c r="D157" s="3">
        <v>17</v>
      </c>
      <c r="E157" s="3">
        <v>185</v>
      </c>
      <c r="F157" s="3">
        <v>858</v>
      </c>
      <c r="H157" t="str">
        <f t="shared" si="2"/>
        <v>pocarpa-17</v>
      </c>
      <c r="I157" s="3">
        <v>50</v>
      </c>
    </row>
    <row r="158" spans="1:9" ht="18.75" customHeight="1" x14ac:dyDescent="0.3">
      <c r="A158" t="s">
        <v>239</v>
      </c>
      <c r="B158" t="s">
        <v>245</v>
      </c>
      <c r="C158" t="s">
        <v>293</v>
      </c>
      <c r="D158" s="3">
        <v>17</v>
      </c>
      <c r="E158" s="3">
        <v>185</v>
      </c>
      <c r="F158" s="3">
        <v>862</v>
      </c>
      <c r="H158" t="str">
        <f t="shared" si="2"/>
        <v>quintala-17</v>
      </c>
      <c r="I158" s="3">
        <v>50</v>
      </c>
    </row>
    <row r="159" spans="1:9" ht="18.75" customHeight="1" x14ac:dyDescent="0.3">
      <c r="A159" t="s">
        <v>239</v>
      </c>
      <c r="B159" t="s">
        <v>245</v>
      </c>
      <c r="C159" t="s">
        <v>294</v>
      </c>
      <c r="D159" s="3">
        <v>17</v>
      </c>
      <c r="E159" s="3">
        <v>185</v>
      </c>
      <c r="F159" s="3">
        <v>863</v>
      </c>
      <c r="H159" t="str">
        <f t="shared" si="2"/>
        <v>rhodesica-17</v>
      </c>
      <c r="I159" s="3">
        <v>50</v>
      </c>
    </row>
    <row r="160" spans="1:9" ht="18.75" customHeight="1" x14ac:dyDescent="0.3">
      <c r="A160" t="s">
        <v>239</v>
      </c>
      <c r="B160" t="s">
        <v>245</v>
      </c>
      <c r="C160" t="s">
        <v>297</v>
      </c>
      <c r="D160" s="3">
        <v>17</v>
      </c>
      <c r="E160" s="3">
        <v>185</v>
      </c>
      <c r="F160" s="3">
        <v>866</v>
      </c>
      <c r="H160" t="str">
        <f t="shared" si="2"/>
        <v>samoensis-17</v>
      </c>
      <c r="I160" s="3">
        <v>50</v>
      </c>
    </row>
    <row r="161" spans="1:9" ht="18.75" customHeight="1" x14ac:dyDescent="0.3">
      <c r="A161" t="s">
        <v>239</v>
      </c>
      <c r="B161" t="s">
        <v>245</v>
      </c>
      <c r="C161" t="s">
        <v>301</v>
      </c>
      <c r="D161" s="3">
        <v>17</v>
      </c>
      <c r="E161" s="3">
        <v>185</v>
      </c>
      <c r="F161" s="3">
        <v>871</v>
      </c>
      <c r="H161" t="str">
        <f t="shared" si="2"/>
        <v>steenisiana-17</v>
      </c>
      <c r="I161" s="3">
        <v>50</v>
      </c>
    </row>
    <row r="162" spans="1:9" ht="18.75" customHeight="1" x14ac:dyDescent="0.3">
      <c r="A162" t="s">
        <v>321</v>
      </c>
      <c r="B162" t="s">
        <v>322</v>
      </c>
      <c r="C162" t="s">
        <v>324</v>
      </c>
      <c r="D162" s="3">
        <v>21</v>
      </c>
      <c r="E162" s="3">
        <v>173</v>
      </c>
      <c r="F162" s="3">
        <v>733</v>
      </c>
      <c r="H162" t="str">
        <f t="shared" si="2"/>
        <v>durissima-21</v>
      </c>
      <c r="I162" s="3">
        <v>50</v>
      </c>
    </row>
    <row r="163" spans="1:9" ht="18.75" customHeight="1" x14ac:dyDescent="0.3">
      <c r="A163" t="s">
        <v>321</v>
      </c>
      <c r="B163" t="s">
        <v>322</v>
      </c>
      <c r="C163" t="s">
        <v>329</v>
      </c>
      <c r="D163" s="3">
        <v>21</v>
      </c>
      <c r="E163" s="3">
        <v>173</v>
      </c>
      <c r="F163" s="3">
        <v>741</v>
      </c>
      <c r="H163" t="str">
        <f t="shared" si="2"/>
        <v>reticulata-21</v>
      </c>
      <c r="I163" s="3">
        <v>50</v>
      </c>
    </row>
    <row r="164" spans="1:9" ht="18.75" customHeight="1" x14ac:dyDescent="0.3">
      <c r="A164" t="s">
        <v>331</v>
      </c>
      <c r="B164" t="s">
        <v>340</v>
      </c>
      <c r="C164" t="s">
        <v>341</v>
      </c>
      <c r="D164" s="3">
        <v>22</v>
      </c>
      <c r="E164" s="3">
        <v>101</v>
      </c>
      <c r="F164" s="3">
        <v>380</v>
      </c>
      <c r="H164" t="str">
        <f t="shared" si="2"/>
        <v>princeps-22</v>
      </c>
      <c r="I164" s="3">
        <v>50</v>
      </c>
    </row>
    <row r="165" spans="1:9" ht="18.75" customHeight="1" x14ac:dyDescent="0.3">
      <c r="A165" t="s">
        <v>363</v>
      </c>
      <c r="B165" t="s">
        <v>364</v>
      </c>
      <c r="C165" t="s">
        <v>365</v>
      </c>
      <c r="D165" s="3">
        <v>26</v>
      </c>
      <c r="E165" s="3">
        <v>10</v>
      </c>
      <c r="F165" s="3">
        <v>35</v>
      </c>
      <c r="H165" t="str">
        <f t="shared" si="2"/>
        <v>rosaeodora-26</v>
      </c>
      <c r="I165" s="3">
        <v>50</v>
      </c>
    </row>
    <row r="166" spans="1:9" ht="18.75" customHeight="1" x14ac:dyDescent="0.3">
      <c r="A166" t="s">
        <v>363</v>
      </c>
      <c r="B166" t="s">
        <v>379</v>
      </c>
      <c r="C166" t="s">
        <v>386</v>
      </c>
      <c r="D166" s="3">
        <v>26</v>
      </c>
      <c r="E166" s="3">
        <v>123</v>
      </c>
      <c r="F166" s="3">
        <v>546</v>
      </c>
      <c r="H166" t="str">
        <f t="shared" si="2"/>
        <v>nitida-26</v>
      </c>
      <c r="I166" s="3">
        <v>50</v>
      </c>
    </row>
    <row r="167" spans="1:9" ht="18.75" customHeight="1" x14ac:dyDescent="0.3">
      <c r="A167" t="s">
        <v>363</v>
      </c>
      <c r="B167" t="s">
        <v>390</v>
      </c>
      <c r="C167" t="s">
        <v>398</v>
      </c>
      <c r="D167" s="3">
        <v>26</v>
      </c>
      <c r="E167" s="3">
        <v>126</v>
      </c>
      <c r="F167" s="3">
        <v>576</v>
      </c>
      <c r="H167" t="str">
        <f t="shared" si="2"/>
        <v>froesii-26</v>
      </c>
      <c r="I167" s="3">
        <v>50</v>
      </c>
    </row>
    <row r="168" spans="1:9" ht="18.75" customHeight="1" x14ac:dyDescent="0.3">
      <c r="A168" t="s">
        <v>363</v>
      </c>
      <c r="B168" t="s">
        <v>390</v>
      </c>
      <c r="C168" t="s">
        <v>399</v>
      </c>
      <c r="D168" s="3">
        <v>26</v>
      </c>
      <c r="E168" s="3">
        <v>126</v>
      </c>
      <c r="F168" s="3">
        <v>577</v>
      </c>
      <c r="H168" t="str">
        <f t="shared" si="2"/>
        <v>globifera-26</v>
      </c>
      <c r="I168" s="3">
        <v>50</v>
      </c>
    </row>
    <row r="169" spans="1:9" ht="18.75" customHeight="1" x14ac:dyDescent="0.3">
      <c r="A169" t="s">
        <v>363</v>
      </c>
      <c r="B169" t="s">
        <v>390</v>
      </c>
      <c r="C169" t="s">
        <v>403</v>
      </c>
      <c r="D169" s="3">
        <v>26</v>
      </c>
      <c r="E169" s="3">
        <v>126</v>
      </c>
      <c r="F169" s="3">
        <v>583</v>
      </c>
      <c r="H169" t="str">
        <f t="shared" si="2"/>
        <v>marmellensis-26</v>
      </c>
      <c r="I169" s="3">
        <v>50</v>
      </c>
    </row>
    <row r="170" spans="1:9" ht="18.75" customHeight="1" x14ac:dyDescent="0.3">
      <c r="A170" t="s">
        <v>416</v>
      </c>
      <c r="B170" t="s">
        <v>424</v>
      </c>
      <c r="C170" t="s">
        <v>398</v>
      </c>
      <c r="D170" s="3">
        <v>27</v>
      </c>
      <c r="E170" s="3">
        <v>50</v>
      </c>
      <c r="F170" s="3">
        <v>180</v>
      </c>
      <c r="H170" t="str">
        <f t="shared" si="2"/>
        <v>froesii-27</v>
      </c>
      <c r="I170" s="3">
        <v>50</v>
      </c>
    </row>
    <row r="171" spans="1:9" ht="18.75" customHeight="1" x14ac:dyDescent="0.3">
      <c r="A171" t="s">
        <v>416</v>
      </c>
      <c r="B171" t="s">
        <v>427</v>
      </c>
      <c r="C171" t="s">
        <v>437</v>
      </c>
      <c r="D171" s="3">
        <v>27</v>
      </c>
      <c r="E171" s="3">
        <v>73</v>
      </c>
      <c r="F171" s="3">
        <v>248</v>
      </c>
      <c r="H171" t="str">
        <f t="shared" si="2"/>
        <v>matamata-27</v>
      </c>
      <c r="I171" s="3">
        <v>50</v>
      </c>
    </row>
    <row r="172" spans="1:9" ht="18.75" customHeight="1" x14ac:dyDescent="0.3">
      <c r="A172" t="s">
        <v>416</v>
      </c>
      <c r="B172" t="s">
        <v>450</v>
      </c>
      <c r="C172" t="s">
        <v>451</v>
      </c>
      <c r="D172" s="3">
        <v>27</v>
      </c>
      <c r="E172" s="3">
        <v>105</v>
      </c>
      <c r="F172" s="3">
        <v>394</v>
      </c>
      <c r="H172" t="str">
        <f t="shared" si="2"/>
        <v>gigantea-27</v>
      </c>
      <c r="I172" s="3">
        <v>50</v>
      </c>
    </row>
    <row r="173" spans="1:9" ht="18.75" customHeight="1" x14ac:dyDescent="0.3">
      <c r="A173" t="s">
        <v>456</v>
      </c>
      <c r="B173" t="s">
        <v>457</v>
      </c>
      <c r="C173" t="s">
        <v>459</v>
      </c>
      <c r="D173" s="3">
        <v>29</v>
      </c>
      <c r="E173" s="3">
        <v>2</v>
      </c>
      <c r="F173" s="3">
        <v>7</v>
      </c>
      <c r="H173" t="str">
        <f t="shared" si="2"/>
        <v>bipindensis-29</v>
      </c>
      <c r="I173" s="3">
        <v>50</v>
      </c>
    </row>
    <row r="174" spans="1:9" ht="18.75" customHeight="1" x14ac:dyDescent="0.3">
      <c r="A174" t="s">
        <v>456</v>
      </c>
      <c r="B174" t="s">
        <v>474</v>
      </c>
      <c r="C174" t="s">
        <v>475</v>
      </c>
      <c r="D174" s="3">
        <v>29</v>
      </c>
      <c r="E174" s="3">
        <v>31</v>
      </c>
      <c r="F174" s="3">
        <v>115</v>
      </c>
      <c r="H174" t="str">
        <f t="shared" si="2"/>
        <v>bahamensis-29</v>
      </c>
      <c r="I174" s="3">
        <v>50</v>
      </c>
    </row>
    <row r="175" spans="1:9" ht="18.75" customHeight="1" x14ac:dyDescent="0.3">
      <c r="A175" t="s">
        <v>456</v>
      </c>
      <c r="B175" t="s">
        <v>474</v>
      </c>
      <c r="C175" t="s">
        <v>478</v>
      </c>
      <c r="D175" s="3">
        <v>29</v>
      </c>
      <c r="E175" s="3">
        <v>31</v>
      </c>
      <c r="F175" s="3">
        <v>119</v>
      </c>
      <c r="H175" t="str">
        <f t="shared" si="2"/>
        <v>paraguariensis-29</v>
      </c>
      <c r="I175" s="3">
        <v>50</v>
      </c>
    </row>
    <row r="176" spans="1:9" ht="18.75" customHeight="1" x14ac:dyDescent="0.3">
      <c r="A176" t="s">
        <v>456</v>
      </c>
      <c r="B176" t="s">
        <v>498</v>
      </c>
      <c r="C176" t="s">
        <v>60</v>
      </c>
      <c r="D176" s="3">
        <v>29</v>
      </c>
      <c r="E176" s="3">
        <v>90</v>
      </c>
      <c r="F176" s="3">
        <v>344</v>
      </c>
      <c r="H176" t="str">
        <f t="shared" si="2"/>
        <v>sp-29</v>
      </c>
      <c r="I176" s="3">
        <v>50</v>
      </c>
    </row>
    <row r="177" spans="1:9" ht="18.75" customHeight="1" x14ac:dyDescent="0.3">
      <c r="A177" t="s">
        <v>456</v>
      </c>
      <c r="B177" t="s">
        <v>507</v>
      </c>
      <c r="C177" t="s">
        <v>515</v>
      </c>
      <c r="D177" s="3">
        <v>29</v>
      </c>
      <c r="E177" s="3">
        <v>106</v>
      </c>
      <c r="F177" s="3">
        <v>407</v>
      </c>
      <c r="H177" t="str">
        <f t="shared" si="2"/>
        <v>punctata-29</v>
      </c>
      <c r="I177" s="3">
        <v>50</v>
      </c>
    </row>
    <row r="178" spans="1:9" ht="18.75" customHeight="1" x14ac:dyDescent="0.3">
      <c r="A178" s="22" t="s">
        <v>536</v>
      </c>
      <c r="B178" s="22" t="s">
        <v>537</v>
      </c>
      <c r="C178" s="22" t="s">
        <v>539</v>
      </c>
      <c r="D178" s="4">
        <v>30</v>
      </c>
      <c r="E178" s="4">
        <v>1</v>
      </c>
      <c r="F178" s="4">
        <v>2</v>
      </c>
      <c r="H178" t="str">
        <f t="shared" si="2"/>
        <v>glomerosa-30</v>
      </c>
      <c r="I178" s="4">
        <v>50</v>
      </c>
    </row>
    <row r="179" spans="1:9" ht="18.75" customHeight="1" x14ac:dyDescent="0.3">
      <c r="A179" t="s">
        <v>536</v>
      </c>
      <c r="B179" t="s">
        <v>560</v>
      </c>
      <c r="C179" t="s">
        <v>557</v>
      </c>
      <c r="D179" s="3">
        <v>30</v>
      </c>
      <c r="E179" s="3">
        <v>117</v>
      </c>
      <c r="F179" s="3">
        <v>525</v>
      </c>
      <c r="H179" t="str">
        <f t="shared" si="2"/>
        <v>schomburgkii-30</v>
      </c>
      <c r="I179" s="3">
        <v>50</v>
      </c>
    </row>
    <row r="180" spans="1:9" ht="18.75" customHeight="1" x14ac:dyDescent="0.3">
      <c r="A180" t="s">
        <v>536</v>
      </c>
      <c r="B180" t="s">
        <v>575</v>
      </c>
      <c r="C180" t="s">
        <v>576</v>
      </c>
      <c r="D180" s="3">
        <v>30</v>
      </c>
      <c r="E180" s="3">
        <v>144</v>
      </c>
      <c r="F180" s="3">
        <v>630</v>
      </c>
      <c r="H180" t="str">
        <f t="shared" si="2"/>
        <v>pedicellare-30</v>
      </c>
      <c r="I180" s="3">
        <v>50</v>
      </c>
    </row>
    <row r="181" spans="1:9" ht="18.75" customHeight="1" x14ac:dyDescent="0.3">
      <c r="A181" t="s">
        <v>593</v>
      </c>
      <c r="B181" t="s">
        <v>596</v>
      </c>
      <c r="C181" t="s">
        <v>179</v>
      </c>
      <c r="D181" s="3">
        <v>31</v>
      </c>
      <c r="E181" s="3">
        <v>9</v>
      </c>
      <c r="F181" s="3">
        <v>34</v>
      </c>
      <c r="H181" t="str">
        <f t="shared" si="2"/>
        <v>excelsa-31</v>
      </c>
      <c r="I181" s="3">
        <v>50</v>
      </c>
    </row>
    <row r="182" spans="1:9" ht="18.75" customHeight="1" x14ac:dyDescent="0.3">
      <c r="A182" t="s">
        <v>593</v>
      </c>
      <c r="B182" t="s">
        <v>601</v>
      </c>
      <c r="C182" t="s">
        <v>612</v>
      </c>
      <c r="D182" s="3">
        <v>31</v>
      </c>
      <c r="E182" s="3">
        <v>54</v>
      </c>
      <c r="F182" s="3">
        <v>199</v>
      </c>
      <c r="H182" t="str">
        <f t="shared" si="2"/>
        <v>stevensonii-31</v>
      </c>
      <c r="I182" s="3">
        <v>50</v>
      </c>
    </row>
    <row r="183" spans="1:9" ht="18.75" customHeight="1" x14ac:dyDescent="0.3">
      <c r="A183" t="s">
        <v>593</v>
      </c>
      <c r="B183" t="s">
        <v>601</v>
      </c>
      <c r="C183" t="s">
        <v>614</v>
      </c>
      <c r="D183" s="3">
        <v>31</v>
      </c>
      <c r="E183" s="3">
        <v>54</v>
      </c>
      <c r="F183" s="3">
        <v>201</v>
      </c>
      <c r="H183" t="str">
        <f t="shared" si="2"/>
        <v>tricolor-31</v>
      </c>
      <c r="I183" s="3">
        <v>50</v>
      </c>
    </row>
    <row r="184" spans="1:9" ht="18.75" customHeight="1" x14ac:dyDescent="0.3">
      <c r="A184" t="s">
        <v>593</v>
      </c>
      <c r="B184" t="s">
        <v>626</v>
      </c>
      <c r="C184" t="s">
        <v>632</v>
      </c>
      <c r="D184" s="3">
        <v>31</v>
      </c>
      <c r="E184" s="3">
        <v>109</v>
      </c>
      <c r="F184" s="3">
        <v>463</v>
      </c>
      <c r="H184" t="str">
        <f t="shared" si="2"/>
        <v>capassa-31</v>
      </c>
      <c r="I184" s="3">
        <v>50</v>
      </c>
    </row>
    <row r="185" spans="1:9" ht="18.75" customHeight="1" x14ac:dyDescent="0.3">
      <c r="A185" t="s">
        <v>593</v>
      </c>
      <c r="B185" t="s">
        <v>626</v>
      </c>
      <c r="C185" t="s">
        <v>634</v>
      </c>
      <c r="D185" s="3">
        <v>31</v>
      </c>
      <c r="E185" s="3">
        <v>109</v>
      </c>
      <c r="F185" s="3">
        <v>465</v>
      </c>
      <c r="H185" t="str">
        <f t="shared" si="2"/>
        <v>cf-dipteroneurus-31</v>
      </c>
      <c r="I185" s="3">
        <v>50</v>
      </c>
    </row>
    <row r="186" spans="1:9" ht="18.75" customHeight="1" x14ac:dyDescent="0.3">
      <c r="A186" t="s">
        <v>593</v>
      </c>
      <c r="B186" t="s">
        <v>626</v>
      </c>
      <c r="C186" t="s">
        <v>637</v>
      </c>
      <c r="D186" s="3">
        <v>31</v>
      </c>
      <c r="E186" s="3">
        <v>109</v>
      </c>
      <c r="F186" s="3">
        <v>468</v>
      </c>
      <c r="H186" t="str">
        <f t="shared" si="2"/>
        <v>denutatus-31</v>
      </c>
      <c r="I186" s="3">
        <v>50</v>
      </c>
    </row>
    <row r="187" spans="1:9" ht="18.75" customHeight="1" x14ac:dyDescent="0.3">
      <c r="A187" t="s">
        <v>593</v>
      </c>
      <c r="B187" t="s">
        <v>626</v>
      </c>
      <c r="C187" t="s">
        <v>642</v>
      </c>
      <c r="D187" s="3">
        <v>31</v>
      </c>
      <c r="E187" s="3">
        <v>109</v>
      </c>
      <c r="F187" s="3">
        <v>473</v>
      </c>
      <c r="H187" t="str">
        <f t="shared" si="2"/>
        <v>hedyosmus-31</v>
      </c>
      <c r="I187" s="3">
        <v>50</v>
      </c>
    </row>
    <row r="188" spans="1:9" ht="18.75" customHeight="1" x14ac:dyDescent="0.3">
      <c r="A188" t="s">
        <v>593</v>
      </c>
      <c r="B188" t="s">
        <v>626</v>
      </c>
      <c r="C188" t="s">
        <v>653</v>
      </c>
      <c r="D188" s="3">
        <v>31</v>
      </c>
      <c r="E188" s="3">
        <v>109</v>
      </c>
      <c r="F188" s="3">
        <v>484</v>
      </c>
      <c r="H188" t="str">
        <f t="shared" si="2"/>
        <v>salvadorensis-31</v>
      </c>
      <c r="I188" s="3">
        <v>50</v>
      </c>
    </row>
    <row r="189" spans="1:9" ht="18.75" customHeight="1" x14ac:dyDescent="0.3">
      <c r="A189" t="s">
        <v>593</v>
      </c>
      <c r="B189" t="s">
        <v>694</v>
      </c>
      <c r="C189" t="s">
        <v>696</v>
      </c>
      <c r="D189" s="3">
        <v>31</v>
      </c>
      <c r="E189" s="3">
        <v>157</v>
      </c>
      <c r="F189" s="3">
        <v>685</v>
      </c>
      <c r="H189" t="str">
        <f t="shared" si="2"/>
        <v>amphymenium-31</v>
      </c>
      <c r="I189" s="3">
        <v>50</v>
      </c>
    </row>
    <row r="190" spans="1:9" ht="18.75" customHeight="1" x14ac:dyDescent="0.3">
      <c r="A190" t="s">
        <v>725</v>
      </c>
      <c r="B190" t="s">
        <v>729</v>
      </c>
      <c r="C190" t="s">
        <v>60</v>
      </c>
      <c r="D190" s="3">
        <v>35</v>
      </c>
      <c r="E190" s="3">
        <v>39</v>
      </c>
      <c r="F190" s="3">
        <v>153</v>
      </c>
      <c r="H190" t="str">
        <f t="shared" si="2"/>
        <v>sp-35</v>
      </c>
      <c r="I190" s="3">
        <v>50</v>
      </c>
    </row>
    <row r="191" spans="1:9" ht="18.75" customHeight="1" x14ac:dyDescent="0.3">
      <c r="A191" t="s">
        <v>745</v>
      </c>
      <c r="B191" t="s">
        <v>757</v>
      </c>
      <c r="C191" t="s">
        <v>762</v>
      </c>
      <c r="D191" s="3">
        <v>36</v>
      </c>
      <c r="E191" s="3">
        <v>79</v>
      </c>
      <c r="F191" s="3">
        <v>292</v>
      </c>
      <c r="H191" t="str">
        <f t="shared" si="2"/>
        <v>anthelmintica-36</v>
      </c>
      <c r="I191" s="3">
        <v>50</v>
      </c>
    </row>
    <row r="192" spans="1:9" ht="18.75" customHeight="1" x14ac:dyDescent="0.3">
      <c r="A192" t="s">
        <v>745</v>
      </c>
      <c r="B192" t="s">
        <v>757</v>
      </c>
      <c r="C192" t="s">
        <v>764</v>
      </c>
      <c r="D192" s="3">
        <v>36</v>
      </c>
      <c r="E192" s="3">
        <v>79</v>
      </c>
      <c r="F192" s="3">
        <v>294</v>
      </c>
      <c r="H192" t="str">
        <f t="shared" si="2"/>
        <v>asperrima-36</v>
      </c>
      <c r="I192" s="3">
        <v>50</v>
      </c>
    </row>
    <row r="193" spans="1:9" ht="18.75" customHeight="1" x14ac:dyDescent="0.3">
      <c r="A193" t="s">
        <v>745</v>
      </c>
      <c r="B193" t="s">
        <v>757</v>
      </c>
      <c r="C193" t="s">
        <v>769</v>
      </c>
      <c r="D193" s="3">
        <v>36</v>
      </c>
      <c r="E193" s="3">
        <v>79</v>
      </c>
      <c r="F193" s="3">
        <v>300</v>
      </c>
      <c r="H193" t="str">
        <f t="shared" si="2"/>
        <v>benjamina-36</v>
      </c>
      <c r="I193" s="3">
        <v>50</v>
      </c>
    </row>
    <row r="194" spans="1:9" ht="18.75" customHeight="1" x14ac:dyDescent="0.3">
      <c r="A194" t="s">
        <v>745</v>
      </c>
      <c r="B194" t="s">
        <v>757</v>
      </c>
      <c r="C194" t="s">
        <v>775</v>
      </c>
      <c r="D194" s="3">
        <v>36</v>
      </c>
      <c r="E194" s="3">
        <v>79</v>
      </c>
      <c r="F194" s="3">
        <v>306</v>
      </c>
      <c r="H194" t="str">
        <f t="shared" si="2"/>
        <v>capensis-36</v>
      </c>
      <c r="I194" s="3">
        <v>50</v>
      </c>
    </row>
    <row r="195" spans="1:9" ht="18.75" customHeight="1" x14ac:dyDescent="0.3">
      <c r="A195" t="s">
        <v>745</v>
      </c>
      <c r="B195" t="s">
        <v>757</v>
      </c>
      <c r="C195" t="s">
        <v>780</v>
      </c>
      <c r="D195" s="3">
        <v>36</v>
      </c>
      <c r="E195" s="3">
        <v>79</v>
      </c>
      <c r="F195" s="3">
        <v>311</v>
      </c>
      <c r="H195" t="str">
        <f t="shared" ref="H195:H258" si="3">_xlfn.CONCAT(C195,"-",D195)</f>
        <v>glabrata-36</v>
      </c>
      <c r="I195" s="3">
        <v>50</v>
      </c>
    </row>
    <row r="196" spans="1:9" ht="18.75" customHeight="1" x14ac:dyDescent="0.3">
      <c r="A196" t="s">
        <v>790</v>
      </c>
      <c r="B196" t="s">
        <v>791</v>
      </c>
      <c r="C196" t="s">
        <v>792</v>
      </c>
      <c r="D196" s="3">
        <v>37</v>
      </c>
      <c r="E196" s="3">
        <v>194</v>
      </c>
      <c r="F196" s="3">
        <v>896</v>
      </c>
      <c r="H196" t="str">
        <f t="shared" si="3"/>
        <v>calophylla-37</v>
      </c>
      <c r="I196" s="3">
        <v>50</v>
      </c>
    </row>
    <row r="197" spans="1:9" ht="18.75" customHeight="1" x14ac:dyDescent="0.3">
      <c r="A197" t="s">
        <v>790</v>
      </c>
      <c r="B197" t="s">
        <v>791</v>
      </c>
      <c r="C197" t="s">
        <v>803</v>
      </c>
      <c r="D197" s="3">
        <v>37</v>
      </c>
      <c r="E197" s="3">
        <v>194</v>
      </c>
      <c r="F197" s="3">
        <v>909</v>
      </c>
      <c r="H197" t="str">
        <f t="shared" si="3"/>
        <v>multicostata-37</v>
      </c>
      <c r="I197" s="3">
        <v>50</v>
      </c>
    </row>
    <row r="198" spans="1:9" ht="18.75" customHeight="1" x14ac:dyDescent="0.3">
      <c r="A198" t="s">
        <v>790</v>
      </c>
      <c r="B198" t="s">
        <v>791</v>
      </c>
      <c r="C198" t="s">
        <v>488</v>
      </c>
      <c r="D198" s="3">
        <v>37</v>
      </c>
      <c r="E198" s="3">
        <v>194</v>
      </c>
      <c r="F198" s="3">
        <v>911</v>
      </c>
      <c r="H198" t="str">
        <f t="shared" si="3"/>
        <v>officinalis-37</v>
      </c>
      <c r="I198" s="3">
        <v>50</v>
      </c>
    </row>
    <row r="199" spans="1:9" ht="18.75" customHeight="1" x14ac:dyDescent="0.3">
      <c r="A199" t="s">
        <v>790</v>
      </c>
      <c r="B199" t="s">
        <v>791</v>
      </c>
      <c r="C199" t="s">
        <v>805</v>
      </c>
      <c r="D199" s="3">
        <v>37</v>
      </c>
      <c r="E199" s="3">
        <v>194</v>
      </c>
      <c r="F199" s="3">
        <v>913</v>
      </c>
      <c r="H199" t="str">
        <f t="shared" si="3"/>
        <v>pavanis-37</v>
      </c>
      <c r="I199" s="3">
        <v>50</v>
      </c>
    </row>
    <row r="200" spans="1:9" ht="18.75" customHeight="1" x14ac:dyDescent="0.3">
      <c r="A200" t="s">
        <v>808</v>
      </c>
      <c r="B200" t="s">
        <v>810</v>
      </c>
      <c r="C200" t="s">
        <v>818</v>
      </c>
      <c r="D200" s="3">
        <v>38</v>
      </c>
      <c r="E200" s="3">
        <v>76</v>
      </c>
      <c r="F200" s="3">
        <v>271</v>
      </c>
      <c r="H200" t="str">
        <f t="shared" si="3"/>
        <v>jambolana-38</v>
      </c>
      <c r="I200" s="3">
        <v>50</v>
      </c>
    </row>
    <row r="201" spans="1:9" ht="18.75" customHeight="1" x14ac:dyDescent="0.3">
      <c r="A201" t="s">
        <v>808</v>
      </c>
      <c r="B201" t="s">
        <v>810</v>
      </c>
      <c r="C201" t="s">
        <v>819</v>
      </c>
      <c r="D201" s="3">
        <v>38</v>
      </c>
      <c r="E201" s="3">
        <v>76</v>
      </c>
      <c r="F201" s="3">
        <v>272</v>
      </c>
      <c r="H201" t="str">
        <f t="shared" si="3"/>
        <v>macrocalyx-38</v>
      </c>
      <c r="I201" s="3">
        <v>50</v>
      </c>
    </row>
    <row r="202" spans="1:9" ht="18.75" customHeight="1" x14ac:dyDescent="0.3">
      <c r="A202" t="s">
        <v>808</v>
      </c>
      <c r="B202" t="s">
        <v>829</v>
      </c>
      <c r="C202" t="s">
        <v>830</v>
      </c>
      <c r="D202" s="3">
        <v>38</v>
      </c>
      <c r="E202" s="3">
        <v>138</v>
      </c>
      <c r="F202" s="3">
        <v>621</v>
      </c>
      <c r="H202" t="str">
        <f t="shared" si="3"/>
        <v>involucratus-38</v>
      </c>
      <c r="I202" s="3">
        <v>50</v>
      </c>
    </row>
    <row r="203" spans="1:9" ht="18.75" customHeight="1" x14ac:dyDescent="0.3">
      <c r="A203" t="s">
        <v>832</v>
      </c>
      <c r="B203" t="s">
        <v>833</v>
      </c>
      <c r="C203" t="s">
        <v>835</v>
      </c>
      <c r="D203" s="3">
        <v>39</v>
      </c>
      <c r="E203" s="3">
        <v>124</v>
      </c>
      <c r="F203" s="3">
        <v>556</v>
      </c>
      <c r="H203" t="str">
        <f t="shared" si="3"/>
        <v>cauliflora-39</v>
      </c>
      <c r="I203" s="3">
        <v>50</v>
      </c>
    </row>
    <row r="204" spans="1:9" ht="18.75" customHeight="1" x14ac:dyDescent="0.3">
      <c r="A204" t="s">
        <v>832</v>
      </c>
      <c r="B204" t="s">
        <v>833</v>
      </c>
      <c r="C204" t="s">
        <v>204</v>
      </c>
      <c r="D204" s="3">
        <v>39</v>
      </c>
      <c r="E204" s="3">
        <v>124</v>
      </c>
      <c r="F204" s="3">
        <v>560</v>
      </c>
      <c r="H204" t="str">
        <f t="shared" si="3"/>
        <v>macrophylla-39</v>
      </c>
      <c r="I204" s="3">
        <v>50</v>
      </c>
    </row>
    <row r="205" spans="1:9" ht="18.75" customHeight="1" x14ac:dyDescent="0.3">
      <c r="A205" t="s">
        <v>832</v>
      </c>
      <c r="B205" t="s">
        <v>833</v>
      </c>
      <c r="C205" t="s">
        <v>60</v>
      </c>
      <c r="D205" s="3">
        <v>39</v>
      </c>
      <c r="E205" s="3">
        <v>124</v>
      </c>
      <c r="F205" s="3">
        <v>563</v>
      </c>
      <c r="H205" t="str">
        <f t="shared" si="3"/>
        <v>sp-39</v>
      </c>
      <c r="I205" s="3">
        <v>50</v>
      </c>
    </row>
    <row r="206" spans="1:9" ht="18.75" customHeight="1" x14ac:dyDescent="0.3">
      <c r="A206" t="s">
        <v>832</v>
      </c>
      <c r="B206" t="s">
        <v>833</v>
      </c>
      <c r="C206" t="s">
        <v>839</v>
      </c>
      <c r="D206" s="3">
        <v>39</v>
      </c>
      <c r="E206" s="3">
        <v>124</v>
      </c>
      <c r="F206" s="3">
        <v>565</v>
      </c>
      <c r="H206" t="str">
        <f t="shared" si="3"/>
        <v>tristis-39</v>
      </c>
      <c r="I206" s="3">
        <v>50</v>
      </c>
    </row>
    <row r="207" spans="1:9" ht="18.75" customHeight="1" x14ac:dyDescent="0.3">
      <c r="A207" t="s">
        <v>832</v>
      </c>
      <c r="B207" t="s">
        <v>841</v>
      </c>
      <c r="C207" t="s">
        <v>842</v>
      </c>
      <c r="D207" s="3">
        <v>39</v>
      </c>
      <c r="E207" s="3">
        <v>143</v>
      </c>
      <c r="F207" s="3">
        <v>629</v>
      </c>
      <c r="H207" t="str">
        <f t="shared" si="3"/>
        <v>ambigua-39</v>
      </c>
      <c r="I207" s="3">
        <v>50</v>
      </c>
    </row>
    <row r="208" spans="1:9" ht="18.75" customHeight="1" x14ac:dyDescent="0.3">
      <c r="A208" t="s">
        <v>861</v>
      </c>
      <c r="B208" t="s">
        <v>862</v>
      </c>
      <c r="C208" t="s">
        <v>863</v>
      </c>
      <c r="D208" s="3">
        <v>46</v>
      </c>
      <c r="E208" s="3">
        <v>170</v>
      </c>
      <c r="F208" s="3">
        <v>726</v>
      </c>
      <c r="H208" t="str">
        <f t="shared" si="3"/>
        <v>oliveri-46</v>
      </c>
      <c r="I208" s="3">
        <v>50</v>
      </c>
    </row>
    <row r="209" spans="1:9" ht="18.75" customHeight="1" x14ac:dyDescent="0.3">
      <c r="A209" t="s">
        <v>861</v>
      </c>
      <c r="B209" t="s">
        <v>862</v>
      </c>
      <c r="C209" t="s">
        <v>60</v>
      </c>
      <c r="D209" s="3">
        <v>46</v>
      </c>
      <c r="E209" s="3">
        <v>170</v>
      </c>
      <c r="F209" s="3">
        <v>727</v>
      </c>
      <c r="H209" t="str">
        <f t="shared" si="3"/>
        <v>sp-46</v>
      </c>
      <c r="I209" s="3">
        <v>50</v>
      </c>
    </row>
    <row r="210" spans="1:9" ht="18.75" customHeight="1" x14ac:dyDescent="0.3">
      <c r="A210" t="s">
        <v>869</v>
      </c>
      <c r="B210" t="s">
        <v>870</v>
      </c>
      <c r="C210" t="s">
        <v>126</v>
      </c>
      <c r="D210" s="3">
        <v>48</v>
      </c>
      <c r="E210" s="3">
        <v>129</v>
      </c>
      <c r="F210" s="3">
        <v>596</v>
      </c>
      <c r="H210" t="str">
        <f t="shared" si="3"/>
        <v>arborea-48</v>
      </c>
      <c r="I210" s="3">
        <v>50</v>
      </c>
    </row>
    <row r="211" spans="1:9" ht="18.75" customHeight="1" x14ac:dyDescent="0.3">
      <c r="A211" t="s">
        <v>873</v>
      </c>
      <c r="B211" t="s">
        <v>874</v>
      </c>
      <c r="C211" t="s">
        <v>230</v>
      </c>
      <c r="D211" s="3">
        <v>49</v>
      </c>
      <c r="E211" s="3">
        <v>181</v>
      </c>
      <c r="F211" s="3">
        <v>806</v>
      </c>
      <c r="H211" t="str">
        <f t="shared" si="3"/>
        <v>esculenta-49</v>
      </c>
      <c r="I211" s="3">
        <v>50</v>
      </c>
    </row>
    <row r="212" spans="1:9" ht="18.75" customHeight="1" x14ac:dyDescent="0.3">
      <c r="A212" t="s">
        <v>875</v>
      </c>
      <c r="B212" t="s">
        <v>881</v>
      </c>
      <c r="C212" t="s">
        <v>882</v>
      </c>
      <c r="D212" s="3">
        <v>50</v>
      </c>
      <c r="E212" s="3">
        <v>71</v>
      </c>
      <c r="F212" s="3">
        <v>233</v>
      </c>
      <c r="H212" t="str">
        <f t="shared" si="3"/>
        <v>krukoffii-50</v>
      </c>
      <c r="I212" s="3">
        <v>50</v>
      </c>
    </row>
    <row r="213" spans="1:9" ht="18.75" customHeight="1" x14ac:dyDescent="0.3">
      <c r="A213" t="s">
        <v>875</v>
      </c>
      <c r="B213" t="s">
        <v>888</v>
      </c>
      <c r="C213" t="s">
        <v>891</v>
      </c>
      <c r="D213" s="3">
        <v>50</v>
      </c>
      <c r="E213" s="3">
        <v>113</v>
      </c>
      <c r="F213" s="3">
        <v>513</v>
      </c>
      <c r="H213" t="str">
        <f t="shared" si="3"/>
        <v>solimoesensis-50</v>
      </c>
      <c r="I213" s="3">
        <v>50</v>
      </c>
    </row>
    <row r="214" spans="1:9" ht="18.75" customHeight="1" x14ac:dyDescent="0.3">
      <c r="A214" t="s">
        <v>875</v>
      </c>
      <c r="B214" t="s">
        <v>896</v>
      </c>
      <c r="C214" t="s">
        <v>912</v>
      </c>
      <c r="D214" s="3">
        <v>50</v>
      </c>
      <c r="E214" s="3">
        <v>152</v>
      </c>
      <c r="F214" s="3">
        <v>671</v>
      </c>
      <c r="H214" t="str">
        <f t="shared" si="3"/>
        <v>salicifolia-50</v>
      </c>
      <c r="I214" s="3">
        <v>50</v>
      </c>
    </row>
    <row r="215" spans="1:9" ht="18.75" customHeight="1" x14ac:dyDescent="0.3">
      <c r="A215" t="s">
        <v>928</v>
      </c>
      <c r="B215" t="s">
        <v>929</v>
      </c>
      <c r="C215" t="s">
        <v>930</v>
      </c>
      <c r="D215" s="3">
        <v>52</v>
      </c>
      <c r="E215" s="3">
        <v>93</v>
      </c>
      <c r="F215" s="3">
        <v>362</v>
      </c>
      <c r="H215" t="str">
        <f t="shared" si="3"/>
        <v>cubensis-52</v>
      </c>
      <c r="I215" s="3">
        <v>50</v>
      </c>
    </row>
    <row r="216" spans="1:9" ht="18.75" customHeight="1" x14ac:dyDescent="0.3">
      <c r="A216" t="s">
        <v>931</v>
      </c>
      <c r="B216" t="s">
        <v>932</v>
      </c>
      <c r="C216" t="s">
        <v>353</v>
      </c>
      <c r="D216" s="3">
        <v>53</v>
      </c>
      <c r="E216" s="3">
        <v>160</v>
      </c>
      <c r="F216" s="3">
        <v>699</v>
      </c>
      <c r="H216" t="str">
        <f t="shared" si="3"/>
        <v>macrocarpa-53</v>
      </c>
      <c r="I216" s="3">
        <v>50</v>
      </c>
    </row>
    <row r="217" spans="1:9" ht="18.75" customHeight="1" x14ac:dyDescent="0.3">
      <c r="A217" t="s">
        <v>942</v>
      </c>
      <c r="B217" t="s">
        <v>945</v>
      </c>
      <c r="C217" t="s">
        <v>66</v>
      </c>
      <c r="D217" s="3">
        <v>56</v>
      </c>
      <c r="E217" s="3">
        <v>84</v>
      </c>
      <c r="F217" s="3">
        <v>331</v>
      </c>
      <c r="H217" t="str">
        <f t="shared" si="3"/>
        <v>maingayi-56</v>
      </c>
      <c r="I217" s="3">
        <v>50</v>
      </c>
    </row>
    <row r="218" spans="1:9" ht="18.75" customHeight="1" x14ac:dyDescent="0.3">
      <c r="A218" t="s">
        <v>942</v>
      </c>
      <c r="B218" t="s">
        <v>945</v>
      </c>
      <c r="C218" t="s">
        <v>948</v>
      </c>
      <c r="D218" s="3">
        <v>56</v>
      </c>
      <c r="E218" s="3">
        <v>84</v>
      </c>
      <c r="F218" s="3">
        <v>332</v>
      </c>
      <c r="H218" t="str">
        <f t="shared" si="3"/>
        <v>philippensis-56</v>
      </c>
      <c r="I218" s="3">
        <v>50</v>
      </c>
    </row>
    <row r="219" spans="1:9" ht="18.75" customHeight="1" x14ac:dyDescent="0.3">
      <c r="A219" t="s">
        <v>957</v>
      </c>
      <c r="B219" t="s">
        <v>962</v>
      </c>
      <c r="C219" t="s">
        <v>963</v>
      </c>
      <c r="D219" s="3">
        <v>59</v>
      </c>
      <c r="E219" s="3">
        <v>195</v>
      </c>
      <c r="F219" s="3">
        <v>918</v>
      </c>
      <c r="H219" t="str">
        <f t="shared" si="3"/>
        <v>cf-ferruginea-59</v>
      </c>
      <c r="I219" s="3">
        <v>50</v>
      </c>
    </row>
    <row r="220" spans="1:9" ht="18.75" customHeight="1" x14ac:dyDescent="0.3">
      <c r="A220" t="s">
        <v>23</v>
      </c>
      <c r="B220" t="s">
        <v>26</v>
      </c>
      <c r="C220" t="s">
        <v>27</v>
      </c>
      <c r="D220" s="3">
        <v>3</v>
      </c>
      <c r="E220" s="3">
        <v>64</v>
      </c>
      <c r="F220" s="3">
        <v>220</v>
      </c>
      <c r="H220" t="str">
        <f t="shared" si="3"/>
        <v>lanceolata-3</v>
      </c>
      <c r="I220" s="3">
        <v>60</v>
      </c>
    </row>
    <row r="221" spans="1:9" ht="18.75" customHeight="1" x14ac:dyDescent="0.3">
      <c r="A221" t="s">
        <v>28</v>
      </c>
      <c r="B221" t="s">
        <v>37</v>
      </c>
      <c r="C221" t="s">
        <v>39</v>
      </c>
      <c r="D221" s="3">
        <v>4</v>
      </c>
      <c r="E221" s="3">
        <v>15</v>
      </c>
      <c r="F221" s="3">
        <v>44</v>
      </c>
      <c r="H221" t="str">
        <f t="shared" si="3"/>
        <v>albun-4</v>
      </c>
      <c r="I221" s="3">
        <v>60</v>
      </c>
    </row>
    <row r="222" spans="1:9" ht="18.75" customHeight="1" x14ac:dyDescent="0.3">
      <c r="A222" t="s">
        <v>28</v>
      </c>
      <c r="B222" t="s">
        <v>63</v>
      </c>
      <c r="C222" t="s">
        <v>66</v>
      </c>
      <c r="D222" s="3">
        <v>4</v>
      </c>
      <c r="E222" s="3">
        <v>65</v>
      </c>
      <c r="F222" s="3">
        <v>223</v>
      </c>
      <c r="H222" t="str">
        <f t="shared" si="3"/>
        <v>maingayi-4</v>
      </c>
      <c r="I222" s="3">
        <v>60</v>
      </c>
    </row>
    <row r="223" spans="1:9" ht="18.75" customHeight="1" x14ac:dyDescent="0.3">
      <c r="A223" t="s">
        <v>75</v>
      </c>
      <c r="B223" t="s">
        <v>82</v>
      </c>
      <c r="C223" t="s">
        <v>85</v>
      </c>
      <c r="D223" s="3">
        <v>7</v>
      </c>
      <c r="E223" s="3">
        <v>178</v>
      </c>
      <c r="F223" s="3">
        <v>762</v>
      </c>
      <c r="H223" t="str">
        <f t="shared" si="3"/>
        <v>aurea-7</v>
      </c>
      <c r="I223" s="3">
        <v>60</v>
      </c>
    </row>
    <row r="224" spans="1:9" ht="18.75" customHeight="1" x14ac:dyDescent="0.3">
      <c r="A224" t="s">
        <v>75</v>
      </c>
      <c r="B224" t="s">
        <v>82</v>
      </c>
      <c r="C224" t="s">
        <v>91</v>
      </c>
      <c r="D224" s="3">
        <v>7</v>
      </c>
      <c r="E224" s="3">
        <v>178</v>
      </c>
      <c r="F224" s="3">
        <v>768</v>
      </c>
      <c r="H224" t="str">
        <f t="shared" si="3"/>
        <v>cf-dugandii-7</v>
      </c>
      <c r="I224" s="3">
        <v>60</v>
      </c>
    </row>
    <row r="225" spans="1:9" ht="18.75" customHeight="1" x14ac:dyDescent="0.3">
      <c r="A225" t="s">
        <v>75</v>
      </c>
      <c r="B225" t="s">
        <v>82</v>
      </c>
      <c r="C225" t="s">
        <v>100</v>
      </c>
      <c r="D225" s="3">
        <v>7</v>
      </c>
      <c r="E225" s="3">
        <v>178</v>
      </c>
      <c r="F225" s="3">
        <v>777</v>
      </c>
      <c r="H225" t="str">
        <f t="shared" si="3"/>
        <v>gaudichaudii-7</v>
      </c>
      <c r="I225" s="3">
        <v>60</v>
      </c>
    </row>
    <row r="226" spans="1:9" ht="18.75" customHeight="1" x14ac:dyDescent="0.3">
      <c r="A226" t="s">
        <v>75</v>
      </c>
      <c r="B226" t="s">
        <v>82</v>
      </c>
      <c r="C226" t="s">
        <v>109</v>
      </c>
      <c r="D226" s="3">
        <v>7</v>
      </c>
      <c r="E226" s="3">
        <v>178</v>
      </c>
      <c r="F226" s="3">
        <v>786</v>
      </c>
      <c r="H226" t="str">
        <f t="shared" si="3"/>
        <v>jacaranda-7</v>
      </c>
      <c r="I226" s="3">
        <v>60</v>
      </c>
    </row>
    <row r="227" spans="1:9" ht="18.75" customHeight="1" x14ac:dyDescent="0.3">
      <c r="A227" t="s">
        <v>75</v>
      </c>
      <c r="B227" t="s">
        <v>82</v>
      </c>
      <c r="C227" t="s">
        <v>110</v>
      </c>
      <c r="D227" s="3">
        <v>7</v>
      </c>
      <c r="E227" s="3">
        <v>178</v>
      </c>
      <c r="F227" s="3">
        <v>787</v>
      </c>
      <c r="H227" t="str">
        <f t="shared" si="3"/>
        <v>lepidophylla-7</v>
      </c>
      <c r="I227" s="3">
        <v>60</v>
      </c>
    </row>
    <row r="228" spans="1:9" ht="18.75" customHeight="1" x14ac:dyDescent="0.3">
      <c r="A228" t="s">
        <v>75</v>
      </c>
      <c r="B228" t="s">
        <v>82</v>
      </c>
      <c r="C228" t="s">
        <v>116</v>
      </c>
      <c r="D228" s="3">
        <v>7</v>
      </c>
      <c r="E228" s="3">
        <v>178</v>
      </c>
      <c r="F228" s="3">
        <v>793</v>
      </c>
      <c r="H228" t="str">
        <f t="shared" si="3"/>
        <v>prieurii-7</v>
      </c>
      <c r="I228" s="3">
        <v>60</v>
      </c>
    </row>
    <row r="229" spans="1:9" ht="18.75" customHeight="1" x14ac:dyDescent="0.3">
      <c r="A229" t="s">
        <v>158</v>
      </c>
      <c r="B229" t="s">
        <v>159</v>
      </c>
      <c r="C229" t="s">
        <v>137</v>
      </c>
      <c r="D229" s="3">
        <v>13</v>
      </c>
      <c r="E229" s="3">
        <v>38</v>
      </c>
      <c r="F229" s="3">
        <v>137</v>
      </c>
      <c r="H229" t="str">
        <f t="shared" si="3"/>
        <v>bicolor-13</v>
      </c>
      <c r="I229" s="3">
        <v>60</v>
      </c>
    </row>
    <row r="230" spans="1:9" ht="18.75" customHeight="1" x14ac:dyDescent="0.3">
      <c r="A230" t="s">
        <v>171</v>
      </c>
      <c r="B230" t="s">
        <v>172</v>
      </c>
      <c r="C230" t="s">
        <v>181</v>
      </c>
      <c r="D230" s="3">
        <v>15</v>
      </c>
      <c r="E230" s="3">
        <v>91</v>
      </c>
      <c r="F230" s="3">
        <v>353</v>
      </c>
      <c r="H230" t="str">
        <f t="shared" si="3"/>
        <v>hebeciada-15</v>
      </c>
      <c r="I230" s="3">
        <v>60</v>
      </c>
    </row>
    <row r="231" spans="1:9" ht="18.75" customHeight="1" x14ac:dyDescent="0.3">
      <c r="A231" t="s">
        <v>171</v>
      </c>
      <c r="B231" t="s">
        <v>172</v>
      </c>
      <c r="C231" t="s">
        <v>185</v>
      </c>
      <c r="D231" s="3">
        <v>15</v>
      </c>
      <c r="E231" s="3">
        <v>91</v>
      </c>
      <c r="F231" s="3">
        <v>357</v>
      </c>
      <c r="H231" t="str">
        <f t="shared" si="3"/>
        <v>rasa-15</v>
      </c>
      <c r="I231" s="3">
        <v>60</v>
      </c>
    </row>
    <row r="232" spans="1:9" ht="18.75" customHeight="1" x14ac:dyDescent="0.3">
      <c r="A232" t="s">
        <v>171</v>
      </c>
      <c r="B232" t="s">
        <v>188</v>
      </c>
      <c r="C232" t="s">
        <v>195</v>
      </c>
      <c r="D232" s="3">
        <v>15</v>
      </c>
      <c r="E232" s="3">
        <v>107</v>
      </c>
      <c r="F232" s="3">
        <v>417</v>
      </c>
      <c r="H232" t="str">
        <f t="shared" si="3"/>
        <v>eriandra-15</v>
      </c>
      <c r="I232" s="3">
        <v>60</v>
      </c>
    </row>
    <row r="233" spans="1:9" ht="18.75" customHeight="1" x14ac:dyDescent="0.3">
      <c r="A233" t="s">
        <v>171</v>
      </c>
      <c r="B233" t="s">
        <v>188</v>
      </c>
      <c r="C233" t="s">
        <v>203</v>
      </c>
      <c r="D233" s="3">
        <v>15</v>
      </c>
      <c r="E233" s="3">
        <v>107</v>
      </c>
      <c r="F233" s="3">
        <v>427</v>
      </c>
      <c r="H233" t="str">
        <f t="shared" si="3"/>
        <v>longistyla-15</v>
      </c>
      <c r="I233" s="3">
        <v>60</v>
      </c>
    </row>
    <row r="234" spans="1:9" ht="18.75" customHeight="1" x14ac:dyDescent="0.3">
      <c r="A234" t="s">
        <v>171</v>
      </c>
      <c r="B234" t="s">
        <v>188</v>
      </c>
      <c r="C234" t="s">
        <v>205</v>
      </c>
      <c r="D234" s="3">
        <v>15</v>
      </c>
      <c r="E234" s="3">
        <v>107</v>
      </c>
      <c r="F234" s="3">
        <v>429</v>
      </c>
      <c r="H234" t="str">
        <f t="shared" si="3"/>
        <v>maxima-15</v>
      </c>
      <c r="I234" s="3">
        <v>60</v>
      </c>
    </row>
    <row r="235" spans="1:9" ht="18.75" customHeight="1" x14ac:dyDescent="0.3">
      <c r="A235" t="s">
        <v>171</v>
      </c>
      <c r="B235" t="s">
        <v>188</v>
      </c>
      <c r="C235" t="s">
        <v>209</v>
      </c>
      <c r="D235" s="3">
        <v>15</v>
      </c>
      <c r="E235" s="3">
        <v>107</v>
      </c>
      <c r="F235" s="3">
        <v>433</v>
      </c>
      <c r="H235" t="str">
        <f t="shared" si="3"/>
        <v>niloi-15</v>
      </c>
      <c r="I235" s="3">
        <v>60</v>
      </c>
    </row>
    <row r="236" spans="1:9" ht="18.75" customHeight="1" x14ac:dyDescent="0.3">
      <c r="A236" t="s">
        <v>171</v>
      </c>
      <c r="B236" t="s">
        <v>188</v>
      </c>
      <c r="C236" t="s">
        <v>219</v>
      </c>
      <c r="D236" s="3">
        <v>15</v>
      </c>
      <c r="E236" s="3">
        <v>107</v>
      </c>
      <c r="F236" s="3">
        <v>445</v>
      </c>
      <c r="H236" t="str">
        <f t="shared" si="3"/>
        <v>sclerophylla-15</v>
      </c>
      <c r="I236" s="3">
        <v>60</v>
      </c>
    </row>
    <row r="237" spans="1:9" ht="18.75" customHeight="1" x14ac:dyDescent="0.3">
      <c r="A237" t="s">
        <v>171</v>
      </c>
      <c r="B237" t="s">
        <v>188</v>
      </c>
      <c r="C237" t="s">
        <v>220</v>
      </c>
      <c r="D237" s="3">
        <v>15</v>
      </c>
      <c r="E237" s="3">
        <v>107</v>
      </c>
      <c r="F237" s="3">
        <v>447</v>
      </c>
      <c r="H237" t="str">
        <f t="shared" si="3"/>
        <v>uniguiculata-15</v>
      </c>
      <c r="I237" s="3">
        <v>60</v>
      </c>
    </row>
    <row r="238" spans="1:9" ht="18.75" customHeight="1" x14ac:dyDescent="0.3">
      <c r="A238" t="s">
        <v>239</v>
      </c>
      <c r="B238" t="s">
        <v>240</v>
      </c>
      <c r="C238" t="s">
        <v>241</v>
      </c>
      <c r="D238" s="3">
        <v>17</v>
      </c>
      <c r="E238" s="3">
        <v>25</v>
      </c>
      <c r="F238" s="3">
        <v>92</v>
      </c>
      <c r="H238" t="str">
        <f t="shared" si="3"/>
        <v>fanshawei-17</v>
      </c>
      <c r="I238" s="3">
        <v>60</v>
      </c>
    </row>
    <row r="239" spans="1:9" ht="18.75" customHeight="1" x14ac:dyDescent="0.3">
      <c r="A239" t="s">
        <v>239</v>
      </c>
      <c r="B239" t="s">
        <v>245</v>
      </c>
      <c r="C239" t="s">
        <v>256</v>
      </c>
      <c r="D239" s="3">
        <v>17</v>
      </c>
      <c r="E239" s="3">
        <v>185</v>
      </c>
      <c r="F239" s="3">
        <v>823</v>
      </c>
      <c r="H239" t="str">
        <f t="shared" si="3"/>
        <v>brachystemma-17</v>
      </c>
      <c r="I239" s="3">
        <v>60</v>
      </c>
    </row>
    <row r="240" spans="1:9" ht="18.75" customHeight="1" x14ac:dyDescent="0.3">
      <c r="A240" t="s">
        <v>239</v>
      </c>
      <c r="B240" t="s">
        <v>245</v>
      </c>
      <c r="C240" t="s">
        <v>266</v>
      </c>
      <c r="D240" s="3">
        <v>17</v>
      </c>
      <c r="E240" s="3">
        <v>185</v>
      </c>
      <c r="F240" s="3">
        <v>833</v>
      </c>
      <c r="H240" t="str">
        <f t="shared" si="3"/>
        <v>crenulata-17</v>
      </c>
      <c r="I240" s="3">
        <v>60</v>
      </c>
    </row>
    <row r="241" spans="1:9" ht="18.75" customHeight="1" x14ac:dyDescent="0.3">
      <c r="A241" t="s">
        <v>239</v>
      </c>
      <c r="B241" t="s">
        <v>245</v>
      </c>
      <c r="C241" t="s">
        <v>269</v>
      </c>
      <c r="D241" s="3">
        <v>17</v>
      </c>
      <c r="E241" s="3">
        <v>185</v>
      </c>
      <c r="F241" s="3">
        <v>836</v>
      </c>
      <c r="H241" t="str">
        <f t="shared" si="3"/>
        <v>erici-rosenii-17</v>
      </c>
      <c r="I241" s="3">
        <v>60</v>
      </c>
    </row>
    <row r="242" spans="1:9" ht="18.75" customHeight="1" x14ac:dyDescent="0.3">
      <c r="A242" t="s">
        <v>239</v>
      </c>
      <c r="B242" t="s">
        <v>245</v>
      </c>
      <c r="C242" t="s">
        <v>272</v>
      </c>
      <c r="D242" s="3">
        <v>17</v>
      </c>
      <c r="E242" s="3">
        <v>185</v>
      </c>
      <c r="F242" s="3">
        <v>839</v>
      </c>
      <c r="H242" t="str">
        <f t="shared" si="3"/>
        <v>hayesii-17</v>
      </c>
      <c r="I242" s="3">
        <v>60</v>
      </c>
    </row>
    <row r="243" spans="1:9" ht="18.75" customHeight="1" x14ac:dyDescent="0.3">
      <c r="A243" t="s">
        <v>317</v>
      </c>
      <c r="B243" t="s">
        <v>318</v>
      </c>
      <c r="C243" t="s">
        <v>60</v>
      </c>
      <c r="D243" s="3">
        <v>20</v>
      </c>
      <c r="E243" s="3">
        <v>60</v>
      </c>
      <c r="F243" s="3">
        <v>214</v>
      </c>
      <c r="H243" t="str">
        <f t="shared" si="3"/>
        <v>sp-20</v>
      </c>
      <c r="I243" s="3">
        <v>60</v>
      </c>
    </row>
    <row r="244" spans="1:9" ht="18.75" customHeight="1" x14ac:dyDescent="0.3">
      <c r="A244" t="s">
        <v>321</v>
      </c>
      <c r="B244" t="s">
        <v>322</v>
      </c>
      <c r="C244" t="s">
        <v>323</v>
      </c>
      <c r="D244" s="3">
        <v>21</v>
      </c>
      <c r="E244" s="3">
        <v>173</v>
      </c>
      <c r="F244" s="3">
        <v>732</v>
      </c>
      <c r="H244" t="str">
        <f t="shared" si="3"/>
        <v>dentata-21</v>
      </c>
      <c r="I244" s="3">
        <v>60</v>
      </c>
    </row>
    <row r="245" spans="1:9" ht="18.75" customHeight="1" x14ac:dyDescent="0.3">
      <c r="A245" t="s">
        <v>321</v>
      </c>
      <c r="B245" t="s">
        <v>322</v>
      </c>
      <c r="C245" t="s">
        <v>326</v>
      </c>
      <c r="D245" s="3">
        <v>21</v>
      </c>
      <c r="E245" s="3">
        <v>173</v>
      </c>
      <c r="F245" s="3">
        <v>735</v>
      </c>
      <c r="H245" t="str">
        <f t="shared" si="3"/>
        <v>grandiflora-21</v>
      </c>
      <c r="I245" s="3">
        <v>60</v>
      </c>
    </row>
    <row r="246" spans="1:9" ht="18.75" customHeight="1" x14ac:dyDescent="0.3">
      <c r="A246" t="s">
        <v>347</v>
      </c>
      <c r="B246" t="s">
        <v>348</v>
      </c>
      <c r="C246" t="s">
        <v>349</v>
      </c>
      <c r="D246" s="3">
        <v>24</v>
      </c>
      <c r="E246" s="3">
        <v>68</v>
      </c>
      <c r="F246" s="3">
        <v>227</v>
      </c>
      <c r="H246" t="str">
        <f t="shared" si="3"/>
        <v>uchi-24</v>
      </c>
      <c r="I246" s="3">
        <v>60</v>
      </c>
    </row>
    <row r="247" spans="1:9" ht="18.75" customHeight="1" x14ac:dyDescent="0.3">
      <c r="A247" t="s">
        <v>363</v>
      </c>
      <c r="B247" t="s">
        <v>379</v>
      </c>
      <c r="C247" t="s">
        <v>382</v>
      </c>
      <c r="D247" s="3">
        <v>26</v>
      </c>
      <c r="E247" s="3">
        <v>123</v>
      </c>
      <c r="F247" s="3">
        <v>539</v>
      </c>
      <c r="H247" t="str">
        <f t="shared" si="3"/>
        <v>cuneato-cordata-26</v>
      </c>
      <c r="I247" s="3">
        <v>60</v>
      </c>
    </row>
    <row r="248" spans="1:9" ht="18.75" customHeight="1" x14ac:dyDescent="0.3">
      <c r="A248" t="s">
        <v>363</v>
      </c>
      <c r="B248" t="s">
        <v>379</v>
      </c>
      <c r="C248" t="s">
        <v>326</v>
      </c>
      <c r="D248" s="3">
        <v>26</v>
      </c>
      <c r="E248" s="3">
        <v>123</v>
      </c>
      <c r="F248" s="3">
        <v>542</v>
      </c>
      <c r="H248" t="str">
        <f t="shared" si="3"/>
        <v>grandiflora-26</v>
      </c>
      <c r="I248" s="3">
        <v>60</v>
      </c>
    </row>
    <row r="249" spans="1:9" ht="18.75" customHeight="1" x14ac:dyDescent="0.3">
      <c r="A249" t="s">
        <v>363</v>
      </c>
      <c r="B249" t="s">
        <v>379</v>
      </c>
      <c r="C249" t="s">
        <v>387</v>
      </c>
      <c r="D249" s="3">
        <v>26</v>
      </c>
      <c r="E249" s="3">
        <v>123</v>
      </c>
      <c r="F249" s="3">
        <v>547</v>
      </c>
      <c r="H249" t="str">
        <f t="shared" si="3"/>
        <v>pardo-26</v>
      </c>
      <c r="I249" s="3">
        <v>60</v>
      </c>
    </row>
    <row r="250" spans="1:9" ht="18.75" customHeight="1" x14ac:dyDescent="0.3">
      <c r="A250" t="s">
        <v>363</v>
      </c>
      <c r="B250" t="s">
        <v>379</v>
      </c>
      <c r="C250" t="s">
        <v>303</v>
      </c>
      <c r="D250" s="3">
        <v>26</v>
      </c>
      <c r="E250" s="3">
        <v>123</v>
      </c>
      <c r="F250" s="3">
        <v>552</v>
      </c>
      <c r="H250" t="str">
        <f t="shared" si="3"/>
        <v>superba-26</v>
      </c>
      <c r="I250" s="3">
        <v>60</v>
      </c>
    </row>
    <row r="251" spans="1:9" ht="18.75" customHeight="1" x14ac:dyDescent="0.3">
      <c r="A251" t="s">
        <v>416</v>
      </c>
      <c r="B251" t="s">
        <v>421</v>
      </c>
      <c r="C251" t="s">
        <v>423</v>
      </c>
      <c r="D251" s="3">
        <v>27</v>
      </c>
      <c r="E251" s="3">
        <v>49</v>
      </c>
      <c r="F251" s="3">
        <v>179</v>
      </c>
      <c r="H251" t="str">
        <f t="shared" si="3"/>
        <v>stellata-27</v>
      </c>
      <c r="I251" s="3">
        <v>60</v>
      </c>
    </row>
    <row r="252" spans="1:9" ht="18.75" customHeight="1" x14ac:dyDescent="0.3">
      <c r="A252" t="s">
        <v>416</v>
      </c>
      <c r="B252" t="s">
        <v>427</v>
      </c>
      <c r="C252" t="s">
        <v>428</v>
      </c>
      <c r="D252" s="3">
        <v>27</v>
      </c>
      <c r="E252" s="3">
        <v>73</v>
      </c>
      <c r="F252" s="3">
        <v>236</v>
      </c>
      <c r="H252" t="str">
        <f t="shared" si="3"/>
        <v>albiflora-27</v>
      </c>
      <c r="I252" s="3">
        <v>60</v>
      </c>
    </row>
    <row r="253" spans="1:9" ht="18.75" customHeight="1" x14ac:dyDescent="0.3">
      <c r="A253" t="s">
        <v>416</v>
      </c>
      <c r="B253" t="s">
        <v>427</v>
      </c>
      <c r="C253" t="s">
        <v>430</v>
      </c>
      <c r="D253" s="3">
        <v>27</v>
      </c>
      <c r="E253" s="3">
        <v>73</v>
      </c>
      <c r="F253" s="3">
        <v>239</v>
      </c>
      <c r="H253" t="str">
        <f t="shared" si="3"/>
        <v>blanchetiana-27</v>
      </c>
      <c r="I253" s="3">
        <v>60</v>
      </c>
    </row>
    <row r="254" spans="1:9" ht="18.75" customHeight="1" x14ac:dyDescent="0.3">
      <c r="A254" t="s">
        <v>416</v>
      </c>
      <c r="B254" t="s">
        <v>427</v>
      </c>
      <c r="C254" t="s">
        <v>431</v>
      </c>
      <c r="D254" s="3">
        <v>27</v>
      </c>
      <c r="E254" s="3">
        <v>73</v>
      </c>
      <c r="F254" s="3">
        <v>240</v>
      </c>
      <c r="H254" t="str">
        <f t="shared" si="3"/>
        <v>cf-atropetiolata-27</v>
      </c>
      <c r="I254" s="3">
        <v>60</v>
      </c>
    </row>
    <row r="255" spans="1:9" ht="18.75" customHeight="1" x14ac:dyDescent="0.3">
      <c r="A255" t="s">
        <v>416</v>
      </c>
      <c r="B255" t="s">
        <v>427</v>
      </c>
      <c r="C255" t="s">
        <v>112</v>
      </c>
      <c r="D255" s="3">
        <v>27</v>
      </c>
      <c r="E255" s="3">
        <v>73</v>
      </c>
      <c r="F255" s="3">
        <v>247</v>
      </c>
      <c r="H255" t="str">
        <f t="shared" si="3"/>
        <v>longipes-27</v>
      </c>
      <c r="I255" s="3">
        <v>60</v>
      </c>
    </row>
    <row r="256" spans="1:9" ht="18.75" customHeight="1" x14ac:dyDescent="0.3">
      <c r="A256" t="s">
        <v>456</v>
      </c>
      <c r="B256" t="s">
        <v>474</v>
      </c>
      <c r="C256" t="s">
        <v>234</v>
      </c>
      <c r="D256" s="3">
        <v>29</v>
      </c>
      <c r="E256" s="3">
        <v>31</v>
      </c>
      <c r="F256" s="3">
        <v>116</v>
      </c>
      <c r="H256" t="str">
        <f t="shared" si="3"/>
        <v>brasiliensis-29</v>
      </c>
      <c r="I256" s="3">
        <v>60</v>
      </c>
    </row>
    <row r="257" spans="1:9" ht="18.75" customHeight="1" x14ac:dyDescent="0.3">
      <c r="A257" t="s">
        <v>456</v>
      </c>
      <c r="B257" t="s">
        <v>474</v>
      </c>
      <c r="C257" t="s">
        <v>477</v>
      </c>
      <c r="D257" s="3">
        <v>29</v>
      </c>
      <c r="E257" s="3">
        <v>31</v>
      </c>
      <c r="F257" s="3">
        <v>118</v>
      </c>
      <c r="H257" t="str">
        <f t="shared" si="3"/>
        <v>ferrugineum-29</v>
      </c>
      <c r="I257" s="3">
        <v>60</v>
      </c>
    </row>
    <row r="258" spans="1:9" ht="18.75" customHeight="1" x14ac:dyDescent="0.3">
      <c r="A258" t="s">
        <v>456</v>
      </c>
      <c r="B258" t="s">
        <v>492</v>
      </c>
      <c r="C258" t="s">
        <v>60</v>
      </c>
      <c r="D258" s="3">
        <v>29</v>
      </c>
      <c r="E258" s="3">
        <v>58</v>
      </c>
      <c r="F258" s="3">
        <v>207</v>
      </c>
      <c r="H258" t="str">
        <f t="shared" si="3"/>
        <v>sp-29</v>
      </c>
      <c r="I258" s="3">
        <v>60</v>
      </c>
    </row>
    <row r="259" spans="1:9" ht="18.75" customHeight="1" x14ac:dyDescent="0.3">
      <c r="A259" t="s">
        <v>456</v>
      </c>
      <c r="B259" t="s">
        <v>519</v>
      </c>
      <c r="C259" t="s">
        <v>60</v>
      </c>
      <c r="D259" s="3">
        <v>29</v>
      </c>
      <c r="E259" s="3">
        <v>119</v>
      </c>
      <c r="F259" s="3">
        <v>531</v>
      </c>
      <c r="H259" t="str">
        <f t="shared" ref="H259:H322" si="4">_xlfn.CONCAT(C259,"-",D259)</f>
        <v>sp-29</v>
      </c>
      <c r="I259" s="3">
        <v>60</v>
      </c>
    </row>
    <row r="260" spans="1:9" ht="18.75" customHeight="1" x14ac:dyDescent="0.3">
      <c r="A260" t="s">
        <v>456</v>
      </c>
      <c r="B260" t="s">
        <v>527</v>
      </c>
      <c r="C260" t="s">
        <v>531</v>
      </c>
      <c r="D260" s="3">
        <v>29</v>
      </c>
      <c r="E260" s="3">
        <v>168</v>
      </c>
      <c r="F260" s="3">
        <v>722</v>
      </c>
      <c r="H260" t="str">
        <f t="shared" si="4"/>
        <v>subbullatum-29</v>
      </c>
      <c r="I260" s="3">
        <v>60</v>
      </c>
    </row>
    <row r="261" spans="1:9" ht="18.75" customHeight="1" x14ac:dyDescent="0.3">
      <c r="A261" t="s">
        <v>456</v>
      </c>
      <c r="B261" t="s">
        <v>532</v>
      </c>
      <c r="C261" t="s">
        <v>60</v>
      </c>
      <c r="D261" s="3">
        <v>29</v>
      </c>
      <c r="E261" s="3">
        <v>179</v>
      </c>
      <c r="F261" s="3">
        <v>804</v>
      </c>
      <c r="H261" t="str">
        <f t="shared" si="4"/>
        <v>sp-29</v>
      </c>
      <c r="I261" s="3">
        <v>60</v>
      </c>
    </row>
    <row r="262" spans="1:9" ht="18.75" customHeight="1" x14ac:dyDescent="0.3">
      <c r="A262" t="s">
        <v>536</v>
      </c>
      <c r="B262" t="s">
        <v>560</v>
      </c>
      <c r="C262" t="s">
        <v>60</v>
      </c>
      <c r="D262" s="3">
        <v>30</v>
      </c>
      <c r="E262" s="3">
        <v>117</v>
      </c>
      <c r="F262" s="3">
        <v>526</v>
      </c>
      <c r="H262" t="str">
        <f t="shared" si="4"/>
        <v>sp-30</v>
      </c>
      <c r="I262" s="3">
        <v>60</v>
      </c>
    </row>
    <row r="263" spans="1:9" ht="18.75" customHeight="1" x14ac:dyDescent="0.3">
      <c r="A263" t="s">
        <v>536</v>
      </c>
      <c r="B263" t="s">
        <v>563</v>
      </c>
      <c r="C263" t="s">
        <v>567</v>
      </c>
      <c r="D263" s="3">
        <v>30</v>
      </c>
      <c r="E263" s="3">
        <v>131</v>
      </c>
      <c r="F263" s="3">
        <v>603</v>
      </c>
      <c r="H263" t="str">
        <f t="shared" si="4"/>
        <v>ingens-30</v>
      </c>
      <c r="I263" s="3">
        <v>60</v>
      </c>
    </row>
    <row r="264" spans="1:9" ht="18.75" customHeight="1" x14ac:dyDescent="0.3">
      <c r="A264" t="s">
        <v>536</v>
      </c>
      <c r="B264" t="s">
        <v>573</v>
      </c>
      <c r="C264" t="s">
        <v>546</v>
      </c>
      <c r="D264" s="3">
        <v>30</v>
      </c>
      <c r="E264" s="3">
        <v>142</v>
      </c>
      <c r="F264" s="3">
        <v>626</v>
      </c>
      <c r="H264" t="str">
        <f t="shared" si="4"/>
        <v>peregrina-30</v>
      </c>
      <c r="I264" s="3">
        <v>60</v>
      </c>
    </row>
    <row r="265" spans="1:9" ht="18.75" customHeight="1" x14ac:dyDescent="0.3">
      <c r="A265" t="s">
        <v>593</v>
      </c>
      <c r="B265" t="s">
        <v>601</v>
      </c>
      <c r="C265" t="s">
        <v>603</v>
      </c>
      <c r="D265" s="3">
        <v>31</v>
      </c>
      <c r="E265" s="3">
        <v>54</v>
      </c>
      <c r="F265" s="3">
        <v>188</v>
      </c>
      <c r="H265" t="str">
        <f t="shared" si="4"/>
        <v>baroni-31</v>
      </c>
      <c r="I265" s="3">
        <v>60</v>
      </c>
    </row>
    <row r="266" spans="1:9" ht="18.75" customHeight="1" x14ac:dyDescent="0.3">
      <c r="A266" t="s">
        <v>593</v>
      </c>
      <c r="B266" t="s">
        <v>601</v>
      </c>
      <c r="C266" t="s">
        <v>604</v>
      </c>
      <c r="D266" s="3">
        <v>31</v>
      </c>
      <c r="E266" s="3">
        <v>54</v>
      </c>
      <c r="F266" s="3">
        <v>189</v>
      </c>
      <c r="H266" t="str">
        <f t="shared" si="4"/>
        <v>cf-pseudocarone-31</v>
      </c>
      <c r="I266" s="3">
        <v>60</v>
      </c>
    </row>
    <row r="267" spans="1:9" ht="18.75" customHeight="1" x14ac:dyDescent="0.3">
      <c r="A267" t="s">
        <v>593</v>
      </c>
      <c r="B267" t="s">
        <v>621</v>
      </c>
      <c r="C267" t="s">
        <v>622</v>
      </c>
      <c r="D267" s="3">
        <v>31</v>
      </c>
      <c r="E267" s="3">
        <v>98</v>
      </c>
      <c r="F267" s="3">
        <v>374</v>
      </c>
      <c r="H267" t="str">
        <f t="shared" si="4"/>
        <v>cf-petraeum-31</v>
      </c>
      <c r="I267" s="3">
        <v>60</v>
      </c>
    </row>
    <row r="268" spans="1:9" ht="18.75" customHeight="1" x14ac:dyDescent="0.3">
      <c r="A268" t="s">
        <v>593</v>
      </c>
      <c r="B268" t="s">
        <v>626</v>
      </c>
      <c r="C268" t="s">
        <v>640</v>
      </c>
      <c r="D268" s="3">
        <v>31</v>
      </c>
      <c r="E268" s="3">
        <v>109</v>
      </c>
      <c r="F268" s="3">
        <v>471</v>
      </c>
      <c r="H268" t="str">
        <f t="shared" si="4"/>
        <v>ernesti-31</v>
      </c>
      <c r="I268" s="3">
        <v>60</v>
      </c>
    </row>
    <row r="269" spans="1:9" ht="18.75" customHeight="1" x14ac:dyDescent="0.3">
      <c r="A269" t="s">
        <v>593</v>
      </c>
      <c r="B269" t="s">
        <v>626</v>
      </c>
      <c r="C269" t="s">
        <v>650</v>
      </c>
      <c r="D269" s="3">
        <v>31</v>
      </c>
      <c r="E269" s="3">
        <v>109</v>
      </c>
      <c r="F269" s="3">
        <v>481</v>
      </c>
      <c r="H269" t="str">
        <f t="shared" si="4"/>
        <v>nitidus-31</v>
      </c>
      <c r="I269" s="3">
        <v>60</v>
      </c>
    </row>
    <row r="270" spans="1:9" ht="18.75" customHeight="1" x14ac:dyDescent="0.3">
      <c r="A270" t="s">
        <v>593</v>
      </c>
      <c r="B270" t="s">
        <v>656</v>
      </c>
      <c r="C270" t="s">
        <v>658</v>
      </c>
      <c r="D270" s="3">
        <v>31</v>
      </c>
      <c r="E270" s="3">
        <v>112</v>
      </c>
      <c r="F270" s="3">
        <v>489</v>
      </c>
      <c r="H270" t="str">
        <f t="shared" si="4"/>
        <v>acutifolium-31</v>
      </c>
      <c r="I270" s="3">
        <v>60</v>
      </c>
    </row>
    <row r="271" spans="1:9" ht="18.75" customHeight="1" x14ac:dyDescent="0.3">
      <c r="A271" t="s">
        <v>593</v>
      </c>
      <c r="B271" t="s">
        <v>656</v>
      </c>
      <c r="C271" t="s">
        <v>661</v>
      </c>
      <c r="D271" s="3">
        <v>31</v>
      </c>
      <c r="E271" s="3">
        <v>112</v>
      </c>
      <c r="F271" s="3">
        <v>492</v>
      </c>
      <c r="H271" t="str">
        <f t="shared" si="4"/>
        <v>bovinaefolium-31</v>
      </c>
      <c r="I271" s="3">
        <v>60</v>
      </c>
    </row>
    <row r="272" spans="1:9" ht="18.75" customHeight="1" x14ac:dyDescent="0.3">
      <c r="A272" t="s">
        <v>593</v>
      </c>
      <c r="B272" t="s">
        <v>656</v>
      </c>
      <c r="C272" t="s">
        <v>234</v>
      </c>
      <c r="D272" s="3">
        <v>31</v>
      </c>
      <c r="E272" s="3">
        <v>112</v>
      </c>
      <c r="F272" s="3">
        <v>493</v>
      </c>
      <c r="H272" t="str">
        <f t="shared" si="4"/>
        <v>brasiliensis-31</v>
      </c>
      <c r="I272" s="3">
        <v>60</v>
      </c>
    </row>
    <row r="273" spans="1:9" ht="18.75" customHeight="1" x14ac:dyDescent="0.3">
      <c r="A273" t="s">
        <v>593</v>
      </c>
      <c r="B273" t="s">
        <v>656</v>
      </c>
      <c r="C273" t="s">
        <v>662</v>
      </c>
      <c r="D273" s="3">
        <v>31</v>
      </c>
      <c r="E273" s="3">
        <v>112</v>
      </c>
      <c r="F273" s="3">
        <v>494</v>
      </c>
      <c r="H273" t="str">
        <f t="shared" si="4"/>
        <v>capote-31</v>
      </c>
      <c r="I273" s="3">
        <v>60</v>
      </c>
    </row>
    <row r="274" spans="1:9" ht="18.75" customHeight="1" x14ac:dyDescent="0.3">
      <c r="A274" t="s">
        <v>593</v>
      </c>
      <c r="B274" t="s">
        <v>656</v>
      </c>
      <c r="C274" t="s">
        <v>669</v>
      </c>
      <c r="D274" s="3">
        <v>31</v>
      </c>
      <c r="E274" s="3">
        <v>112</v>
      </c>
      <c r="F274" s="3">
        <v>501</v>
      </c>
      <c r="H274" t="str">
        <f t="shared" si="4"/>
        <v>millei-31</v>
      </c>
      <c r="I274" s="3">
        <v>60</v>
      </c>
    </row>
    <row r="275" spans="1:9" ht="18.75" customHeight="1" x14ac:dyDescent="0.3">
      <c r="A275" t="s">
        <v>593</v>
      </c>
      <c r="B275" t="s">
        <v>656</v>
      </c>
      <c r="C275" t="s">
        <v>673</v>
      </c>
      <c r="D275" s="3">
        <v>31</v>
      </c>
      <c r="E275" s="3">
        <v>112</v>
      </c>
      <c r="F275" s="3">
        <v>506</v>
      </c>
      <c r="H275" t="str">
        <f t="shared" si="4"/>
        <v>stenophyllum-31</v>
      </c>
      <c r="I275" s="3">
        <v>60</v>
      </c>
    </row>
    <row r="276" spans="1:9" ht="18.75" customHeight="1" x14ac:dyDescent="0.3">
      <c r="A276" t="s">
        <v>593</v>
      </c>
      <c r="B276" t="s">
        <v>683</v>
      </c>
      <c r="C276" t="s">
        <v>686</v>
      </c>
      <c r="D276" s="3">
        <v>31</v>
      </c>
      <c r="E276" s="3">
        <v>136</v>
      </c>
      <c r="F276" s="3">
        <v>618</v>
      </c>
      <c r="H276" t="str">
        <f t="shared" si="4"/>
        <v>laxiflora-31</v>
      </c>
      <c r="I276" s="3">
        <v>60</v>
      </c>
    </row>
    <row r="277" spans="1:9" ht="18.75" customHeight="1" x14ac:dyDescent="0.3">
      <c r="A277" t="s">
        <v>593</v>
      </c>
      <c r="B277" t="s">
        <v>694</v>
      </c>
      <c r="C277" t="s">
        <v>700</v>
      </c>
      <c r="D277" s="3">
        <v>31</v>
      </c>
      <c r="E277" s="3">
        <v>157</v>
      </c>
      <c r="F277" s="3">
        <v>690</v>
      </c>
      <c r="H277" t="str">
        <f t="shared" si="4"/>
        <v>santalinus-31</v>
      </c>
      <c r="I277" s="3">
        <v>60</v>
      </c>
    </row>
    <row r="278" spans="1:9" ht="18.75" customHeight="1" x14ac:dyDescent="0.3">
      <c r="A278" t="s">
        <v>593</v>
      </c>
      <c r="B278" t="s">
        <v>703</v>
      </c>
      <c r="C278" t="s">
        <v>60</v>
      </c>
      <c r="D278" s="3">
        <v>31</v>
      </c>
      <c r="E278" s="3">
        <v>188</v>
      </c>
      <c r="F278" s="3">
        <v>880</v>
      </c>
      <c r="H278" t="str">
        <f t="shared" si="4"/>
        <v>sp-31</v>
      </c>
      <c r="I278" s="3">
        <v>60</v>
      </c>
    </row>
    <row r="279" spans="1:9" ht="18.75" customHeight="1" x14ac:dyDescent="0.3">
      <c r="A279" t="s">
        <v>712</v>
      </c>
      <c r="B279" t="s">
        <v>713</v>
      </c>
      <c r="C279" t="s">
        <v>715</v>
      </c>
      <c r="D279" s="3">
        <v>33</v>
      </c>
      <c r="E279" s="3">
        <v>28</v>
      </c>
      <c r="F279" s="3">
        <v>105</v>
      </c>
      <c r="H279" t="str">
        <f t="shared" si="4"/>
        <v>crassifolia-33</v>
      </c>
      <c r="I279" s="3">
        <v>60</v>
      </c>
    </row>
    <row r="280" spans="1:9" ht="18.75" customHeight="1" x14ac:dyDescent="0.3">
      <c r="A280" t="s">
        <v>725</v>
      </c>
      <c r="B280" t="s">
        <v>729</v>
      </c>
      <c r="C280" t="s">
        <v>731</v>
      </c>
      <c r="D280" s="3">
        <v>35</v>
      </c>
      <c r="E280" s="3">
        <v>39</v>
      </c>
      <c r="F280" s="3">
        <v>149</v>
      </c>
      <c r="H280" t="str">
        <f t="shared" si="4"/>
        <v>lilloi-35</v>
      </c>
      <c r="I280" s="3">
        <v>60</v>
      </c>
    </row>
    <row r="281" spans="1:9" ht="18.75" customHeight="1" x14ac:dyDescent="0.3">
      <c r="A281" t="s">
        <v>725</v>
      </c>
      <c r="B281" t="s">
        <v>729</v>
      </c>
      <c r="C281" t="s">
        <v>734</v>
      </c>
      <c r="D281" s="3">
        <v>35</v>
      </c>
      <c r="E281" s="3">
        <v>39</v>
      </c>
      <c r="F281" s="3">
        <v>154</v>
      </c>
      <c r="H281" t="str">
        <f t="shared" si="4"/>
        <v>tonduzii-35</v>
      </c>
      <c r="I281" s="3">
        <v>60</v>
      </c>
    </row>
    <row r="282" spans="1:9" ht="18.75" customHeight="1" x14ac:dyDescent="0.3">
      <c r="A282" t="s">
        <v>725</v>
      </c>
      <c r="B282" t="s">
        <v>737</v>
      </c>
      <c r="C282" t="s">
        <v>739</v>
      </c>
      <c r="D282" s="3">
        <v>35</v>
      </c>
      <c r="E282" s="3">
        <v>103</v>
      </c>
      <c r="F282" s="3">
        <v>386</v>
      </c>
      <c r="H282" t="str">
        <f t="shared" si="4"/>
        <v>cf-ivorensis-35</v>
      </c>
      <c r="I282" s="3">
        <v>60</v>
      </c>
    </row>
    <row r="283" spans="1:9" ht="18.75" customHeight="1" x14ac:dyDescent="0.3">
      <c r="A283" t="s">
        <v>745</v>
      </c>
      <c r="B283" t="s">
        <v>757</v>
      </c>
      <c r="C283" t="s">
        <v>766</v>
      </c>
      <c r="D283" s="3">
        <v>36</v>
      </c>
      <c r="E283" s="3">
        <v>79</v>
      </c>
      <c r="F283" s="3">
        <v>297</v>
      </c>
      <c r="H283" t="str">
        <f t="shared" si="4"/>
        <v>begoniifolia-36</v>
      </c>
      <c r="I283" s="3">
        <v>60</v>
      </c>
    </row>
    <row r="284" spans="1:9" ht="18.75" customHeight="1" x14ac:dyDescent="0.3">
      <c r="A284" t="s">
        <v>745</v>
      </c>
      <c r="B284" t="s">
        <v>757</v>
      </c>
      <c r="C284" t="s">
        <v>781</v>
      </c>
      <c r="D284" s="3">
        <v>36</v>
      </c>
      <c r="E284" s="3">
        <v>79</v>
      </c>
      <c r="F284" s="3">
        <v>312</v>
      </c>
      <c r="H284" t="str">
        <f t="shared" si="4"/>
        <v>glaucescens-36</v>
      </c>
      <c r="I284" s="3">
        <v>60</v>
      </c>
    </row>
    <row r="285" spans="1:9" ht="18.75" customHeight="1" x14ac:dyDescent="0.3">
      <c r="A285" t="s">
        <v>790</v>
      </c>
      <c r="B285" t="s">
        <v>791</v>
      </c>
      <c r="C285" t="s">
        <v>793</v>
      </c>
      <c r="D285" s="3">
        <v>37</v>
      </c>
      <c r="E285" s="3">
        <v>194</v>
      </c>
      <c r="F285" s="3">
        <v>897</v>
      </c>
      <c r="H285" t="str">
        <f t="shared" si="4"/>
        <v>calophylloidea-37</v>
      </c>
      <c r="I285" s="3">
        <v>60</v>
      </c>
    </row>
    <row r="286" spans="1:9" ht="18.75" customHeight="1" x14ac:dyDescent="0.3">
      <c r="A286" t="s">
        <v>808</v>
      </c>
      <c r="B286" t="s">
        <v>810</v>
      </c>
      <c r="C286" t="s">
        <v>811</v>
      </c>
      <c r="D286" s="3">
        <v>38</v>
      </c>
      <c r="E286" s="3">
        <v>76</v>
      </c>
      <c r="F286" s="3">
        <v>261</v>
      </c>
      <c r="H286" t="str">
        <f t="shared" si="4"/>
        <v>aerosa-38</v>
      </c>
      <c r="I286" s="3">
        <v>60</v>
      </c>
    </row>
    <row r="287" spans="1:9" ht="18.75" customHeight="1" x14ac:dyDescent="0.3">
      <c r="A287" t="s">
        <v>808</v>
      </c>
      <c r="B287" t="s">
        <v>810</v>
      </c>
      <c r="C287" t="s">
        <v>826</v>
      </c>
      <c r="D287" s="3">
        <v>38</v>
      </c>
      <c r="E287" s="3">
        <v>76</v>
      </c>
      <c r="F287" s="3">
        <v>279</v>
      </c>
      <c r="H287" t="str">
        <f t="shared" si="4"/>
        <v>rostrifolia-38</v>
      </c>
      <c r="I287" s="3">
        <v>60</v>
      </c>
    </row>
    <row r="288" spans="1:9" ht="18.75" customHeight="1" x14ac:dyDescent="0.3">
      <c r="A288" t="s">
        <v>848</v>
      </c>
      <c r="B288" t="s">
        <v>849</v>
      </c>
      <c r="C288" t="s">
        <v>850</v>
      </c>
      <c r="D288" s="3">
        <v>42</v>
      </c>
      <c r="E288" s="3">
        <v>140</v>
      </c>
      <c r="F288" s="3">
        <v>623</v>
      </c>
      <c r="H288" t="str">
        <f t="shared" si="4"/>
        <v>koralensis-42</v>
      </c>
      <c r="I288" s="3">
        <v>60</v>
      </c>
    </row>
    <row r="289" spans="1:9" ht="18.75" customHeight="1" x14ac:dyDescent="0.3">
      <c r="A289" t="s">
        <v>848</v>
      </c>
      <c r="B289" t="s">
        <v>849</v>
      </c>
      <c r="C289" t="s">
        <v>543</v>
      </c>
      <c r="D289" s="3">
        <v>42</v>
      </c>
      <c r="E289" s="3">
        <v>140</v>
      </c>
      <c r="F289" s="3">
        <v>624</v>
      </c>
      <c r="H289" t="str">
        <f t="shared" si="4"/>
        <v>caribaea-42</v>
      </c>
      <c r="I289" s="3">
        <v>60</v>
      </c>
    </row>
    <row r="290" spans="1:9" ht="18.75" customHeight="1" x14ac:dyDescent="0.3">
      <c r="A290" t="s">
        <v>858</v>
      </c>
      <c r="B290" t="s">
        <v>859</v>
      </c>
      <c r="C290" t="s">
        <v>860</v>
      </c>
      <c r="D290" s="3">
        <v>45</v>
      </c>
      <c r="E290" s="3">
        <v>154</v>
      </c>
      <c r="F290" s="3">
        <v>680</v>
      </c>
      <c r="H290" t="str">
        <f t="shared" si="4"/>
        <v>sellowiana-45</v>
      </c>
      <c r="I290" s="3">
        <v>60</v>
      </c>
    </row>
    <row r="291" spans="1:9" ht="18.75" customHeight="1" x14ac:dyDescent="0.3">
      <c r="A291" t="s">
        <v>864</v>
      </c>
      <c r="B291" t="s">
        <v>865</v>
      </c>
      <c r="C291" t="s">
        <v>866</v>
      </c>
      <c r="D291" s="3">
        <v>47</v>
      </c>
      <c r="E291" s="3">
        <v>19</v>
      </c>
      <c r="F291" s="3">
        <v>76</v>
      </c>
      <c r="H291" t="str">
        <f t="shared" si="4"/>
        <v>riedelianum-47</v>
      </c>
      <c r="I291" s="3">
        <v>60</v>
      </c>
    </row>
    <row r="292" spans="1:9" ht="18.75" customHeight="1" x14ac:dyDescent="0.3">
      <c r="A292" t="s">
        <v>875</v>
      </c>
      <c r="B292" t="s">
        <v>896</v>
      </c>
      <c r="C292" t="s">
        <v>786</v>
      </c>
      <c r="D292" s="3">
        <v>50</v>
      </c>
      <c r="E292" s="3">
        <v>152</v>
      </c>
      <c r="F292" s="3">
        <v>669</v>
      </c>
      <c r="H292" t="str">
        <f t="shared" si="4"/>
        <v>ramiflora-50</v>
      </c>
      <c r="I292" s="3">
        <v>60</v>
      </c>
    </row>
    <row r="293" spans="1:9" ht="18.75" customHeight="1" x14ac:dyDescent="0.3">
      <c r="A293" t="s">
        <v>875</v>
      </c>
      <c r="B293" t="s">
        <v>896</v>
      </c>
      <c r="C293" t="s">
        <v>913</v>
      </c>
      <c r="D293" s="3">
        <v>50</v>
      </c>
      <c r="E293" s="3">
        <v>152</v>
      </c>
      <c r="F293" s="3">
        <v>674</v>
      </c>
      <c r="H293" t="str">
        <f t="shared" si="4"/>
        <v>surumuensis-50</v>
      </c>
      <c r="I293" s="3">
        <v>60</v>
      </c>
    </row>
    <row r="294" spans="1:9" ht="18.75" customHeight="1" x14ac:dyDescent="0.3">
      <c r="A294" t="s">
        <v>875</v>
      </c>
      <c r="B294" t="s">
        <v>918</v>
      </c>
      <c r="C294" t="s">
        <v>807</v>
      </c>
      <c r="D294" s="3">
        <v>50</v>
      </c>
      <c r="E294" s="3">
        <v>164</v>
      </c>
      <c r="F294" s="3">
        <v>714</v>
      </c>
      <c r="H294" t="str">
        <f t="shared" si="4"/>
        <v>venosa-50</v>
      </c>
      <c r="I294" s="3">
        <v>60</v>
      </c>
    </row>
    <row r="295" spans="1:9" ht="18.75" customHeight="1" x14ac:dyDescent="0.3">
      <c r="A295" t="s">
        <v>931</v>
      </c>
      <c r="B295" t="s">
        <v>932</v>
      </c>
      <c r="C295" t="s">
        <v>429</v>
      </c>
      <c r="D295" s="3">
        <v>53</v>
      </c>
      <c r="E295" s="3">
        <v>160</v>
      </c>
      <c r="F295" s="3">
        <v>694</v>
      </c>
      <c r="H295" t="str">
        <f t="shared" si="4"/>
        <v>amazonica-53</v>
      </c>
      <c r="I295" s="3">
        <v>60</v>
      </c>
    </row>
    <row r="296" spans="1:9" ht="18.75" customHeight="1" x14ac:dyDescent="0.3">
      <c r="A296" t="s">
        <v>957</v>
      </c>
      <c r="B296" t="s">
        <v>962</v>
      </c>
      <c r="C296" t="s">
        <v>196</v>
      </c>
      <c r="D296" s="3">
        <v>59</v>
      </c>
      <c r="E296" s="3">
        <v>195</v>
      </c>
      <c r="F296" s="3">
        <v>920</v>
      </c>
      <c r="H296" t="str">
        <f t="shared" si="4"/>
        <v>floribunda-59</v>
      </c>
      <c r="I296" s="3">
        <v>60</v>
      </c>
    </row>
    <row r="297" spans="1:9" ht="18.75" customHeight="1" x14ac:dyDescent="0.3">
      <c r="A297" t="s">
        <v>28</v>
      </c>
      <c r="B297" t="s">
        <v>37</v>
      </c>
      <c r="C297" t="s">
        <v>55</v>
      </c>
      <c r="D297" s="3">
        <v>4</v>
      </c>
      <c r="E297" s="3">
        <v>15</v>
      </c>
      <c r="F297" s="3">
        <v>61</v>
      </c>
      <c r="H297" t="str">
        <f t="shared" si="4"/>
        <v>perata-4</v>
      </c>
      <c r="I297" s="3">
        <v>70</v>
      </c>
    </row>
    <row r="298" spans="1:9" ht="18.75" customHeight="1" x14ac:dyDescent="0.3">
      <c r="A298" t="s">
        <v>75</v>
      </c>
      <c r="B298" t="s">
        <v>82</v>
      </c>
      <c r="C298" t="s">
        <v>83</v>
      </c>
      <c r="D298" s="3">
        <v>7</v>
      </c>
      <c r="E298" s="3">
        <v>178</v>
      </c>
      <c r="F298" s="3">
        <v>760</v>
      </c>
      <c r="H298" t="str">
        <f t="shared" si="4"/>
        <v>angustata-7</v>
      </c>
      <c r="I298" s="3">
        <v>70</v>
      </c>
    </row>
    <row r="299" spans="1:9" ht="18.75" customHeight="1" x14ac:dyDescent="0.3">
      <c r="A299" t="s">
        <v>75</v>
      </c>
      <c r="B299" t="s">
        <v>82</v>
      </c>
      <c r="C299" t="s">
        <v>88</v>
      </c>
      <c r="D299" s="3">
        <v>7</v>
      </c>
      <c r="E299" s="3">
        <v>178</v>
      </c>
      <c r="F299" s="3">
        <v>765</v>
      </c>
      <c r="H299" t="str">
        <f t="shared" si="4"/>
        <v>bilbergii-7</v>
      </c>
      <c r="I299" s="3">
        <v>70</v>
      </c>
    </row>
    <row r="300" spans="1:9" ht="18.75" customHeight="1" x14ac:dyDescent="0.3">
      <c r="A300" t="s">
        <v>75</v>
      </c>
      <c r="B300" t="s">
        <v>82</v>
      </c>
      <c r="C300" t="s">
        <v>104</v>
      </c>
      <c r="D300" s="3">
        <v>7</v>
      </c>
      <c r="E300" s="3">
        <v>178</v>
      </c>
      <c r="F300" s="3">
        <v>781</v>
      </c>
      <c r="H300" t="str">
        <f t="shared" si="4"/>
        <v>heterotricha-7</v>
      </c>
      <c r="I300" s="3">
        <v>70</v>
      </c>
    </row>
    <row r="301" spans="1:9" ht="18.75" customHeight="1" x14ac:dyDescent="0.3">
      <c r="A301" t="s">
        <v>75</v>
      </c>
      <c r="B301" t="s">
        <v>82</v>
      </c>
      <c r="C301" t="s">
        <v>112</v>
      </c>
      <c r="D301" s="3">
        <v>7</v>
      </c>
      <c r="E301" s="3">
        <v>178</v>
      </c>
      <c r="F301" s="3">
        <v>789</v>
      </c>
      <c r="H301" t="str">
        <f t="shared" si="4"/>
        <v>longipes-7</v>
      </c>
      <c r="I301" s="3">
        <v>70</v>
      </c>
    </row>
    <row r="302" spans="1:9" ht="18.75" customHeight="1" x14ac:dyDescent="0.3">
      <c r="A302" t="s">
        <v>75</v>
      </c>
      <c r="B302" t="s">
        <v>82</v>
      </c>
      <c r="C302" t="s">
        <v>115</v>
      </c>
      <c r="D302" s="3">
        <v>7</v>
      </c>
      <c r="E302" s="3">
        <v>178</v>
      </c>
      <c r="F302" s="3">
        <v>792</v>
      </c>
      <c r="H302" t="str">
        <f t="shared" si="4"/>
        <v>palmeri-7</v>
      </c>
      <c r="I302" s="3">
        <v>70</v>
      </c>
    </row>
    <row r="303" spans="1:9" ht="18.75" customHeight="1" x14ac:dyDescent="0.3">
      <c r="A303" t="s">
        <v>75</v>
      </c>
      <c r="B303" t="s">
        <v>82</v>
      </c>
      <c r="C303" t="s">
        <v>120</v>
      </c>
      <c r="D303" s="3">
        <v>7</v>
      </c>
      <c r="E303" s="3">
        <v>178</v>
      </c>
      <c r="F303" s="3">
        <v>797</v>
      </c>
      <c r="H303" t="str">
        <f t="shared" si="4"/>
        <v>sauvallei-7</v>
      </c>
      <c r="I303" s="3">
        <v>70</v>
      </c>
    </row>
    <row r="304" spans="1:9" ht="18.75" customHeight="1" x14ac:dyDescent="0.3">
      <c r="A304" t="s">
        <v>158</v>
      </c>
      <c r="B304" t="s">
        <v>159</v>
      </c>
      <c r="C304" t="s">
        <v>165</v>
      </c>
      <c r="D304" s="3">
        <v>13</v>
      </c>
      <c r="E304" s="3">
        <v>38</v>
      </c>
      <c r="F304" s="3">
        <v>143</v>
      </c>
      <c r="H304" t="str">
        <f t="shared" si="4"/>
        <v>purusana-13</v>
      </c>
      <c r="I304" s="3">
        <v>70</v>
      </c>
    </row>
    <row r="305" spans="1:9" ht="18.75" customHeight="1" x14ac:dyDescent="0.3">
      <c r="A305" t="s">
        <v>171</v>
      </c>
      <c r="B305" t="s">
        <v>172</v>
      </c>
      <c r="C305" t="s">
        <v>175</v>
      </c>
      <c r="D305" s="3">
        <v>15</v>
      </c>
      <c r="E305" s="3">
        <v>91</v>
      </c>
      <c r="F305" s="3">
        <v>347</v>
      </c>
      <c r="H305" t="str">
        <f t="shared" si="4"/>
        <v>duckel-15</v>
      </c>
      <c r="I305" s="3">
        <v>70</v>
      </c>
    </row>
    <row r="306" spans="1:9" ht="18.75" customHeight="1" x14ac:dyDescent="0.3">
      <c r="A306" t="s">
        <v>171</v>
      </c>
      <c r="B306" t="s">
        <v>172</v>
      </c>
      <c r="C306" t="s">
        <v>186</v>
      </c>
      <c r="D306" s="3">
        <v>15</v>
      </c>
      <c r="E306" s="3">
        <v>91</v>
      </c>
      <c r="F306" s="3">
        <v>358</v>
      </c>
      <c r="H306" t="str">
        <f t="shared" si="4"/>
        <v>rodriguesii-15</v>
      </c>
      <c r="I306" s="3">
        <v>70</v>
      </c>
    </row>
    <row r="307" spans="1:9" ht="18.75" customHeight="1" x14ac:dyDescent="0.3">
      <c r="A307" t="s">
        <v>171</v>
      </c>
      <c r="B307" t="s">
        <v>188</v>
      </c>
      <c r="C307" t="s">
        <v>196</v>
      </c>
      <c r="D307" s="3">
        <v>15</v>
      </c>
      <c r="E307" s="3">
        <v>107</v>
      </c>
      <c r="F307" s="3">
        <v>418</v>
      </c>
      <c r="H307" t="str">
        <f t="shared" si="4"/>
        <v>floribunda-15</v>
      </c>
      <c r="I307" s="3">
        <v>70</v>
      </c>
    </row>
    <row r="308" spans="1:9" ht="18.75" customHeight="1" x14ac:dyDescent="0.3">
      <c r="A308" t="s">
        <v>171</v>
      </c>
      <c r="B308" t="s">
        <v>188</v>
      </c>
      <c r="C308" t="s">
        <v>197</v>
      </c>
      <c r="D308" s="3">
        <v>15</v>
      </c>
      <c r="E308" s="3">
        <v>107</v>
      </c>
      <c r="F308" s="3">
        <v>419</v>
      </c>
      <c r="H308" t="str">
        <f t="shared" si="4"/>
        <v>fritschii-15</v>
      </c>
      <c r="I308" s="3">
        <v>70</v>
      </c>
    </row>
    <row r="309" spans="1:9" ht="18.75" customHeight="1" x14ac:dyDescent="0.3">
      <c r="A309" t="s">
        <v>171</v>
      </c>
      <c r="B309" t="s">
        <v>188</v>
      </c>
      <c r="C309" t="s">
        <v>207</v>
      </c>
      <c r="D309" s="3">
        <v>15</v>
      </c>
      <c r="E309" s="3">
        <v>107</v>
      </c>
      <c r="F309" s="3">
        <v>431</v>
      </c>
      <c r="H309" t="str">
        <f t="shared" si="4"/>
        <v>minutiflora-15</v>
      </c>
      <c r="I309" s="3">
        <v>70</v>
      </c>
    </row>
    <row r="310" spans="1:9" ht="18.75" customHeight="1" x14ac:dyDescent="0.3">
      <c r="A310" t="s">
        <v>171</v>
      </c>
      <c r="B310" t="s">
        <v>188</v>
      </c>
      <c r="C310" t="s">
        <v>212</v>
      </c>
      <c r="D310" s="3">
        <v>15</v>
      </c>
      <c r="E310" s="3">
        <v>107</v>
      </c>
      <c r="F310" s="3">
        <v>436</v>
      </c>
      <c r="H310" t="str">
        <f t="shared" si="4"/>
        <v>ovalifolia-15</v>
      </c>
      <c r="I310" s="3">
        <v>70</v>
      </c>
    </row>
    <row r="311" spans="1:9" ht="18.75" customHeight="1" x14ac:dyDescent="0.3">
      <c r="A311" t="s">
        <v>222</v>
      </c>
      <c r="B311" t="s">
        <v>231</v>
      </c>
      <c r="C311" t="s">
        <v>233</v>
      </c>
      <c r="D311" s="3">
        <v>16</v>
      </c>
      <c r="E311" s="3">
        <v>163</v>
      </c>
      <c r="F311" s="3">
        <v>705</v>
      </c>
      <c r="H311" t="str">
        <f t="shared" si="4"/>
        <v>benthamiana-16</v>
      </c>
      <c r="I311" s="3">
        <v>70</v>
      </c>
    </row>
    <row r="312" spans="1:9" ht="18.75" customHeight="1" x14ac:dyDescent="0.3">
      <c r="A312" t="s">
        <v>239</v>
      </c>
      <c r="B312" t="s">
        <v>245</v>
      </c>
      <c r="C312" t="s">
        <v>84</v>
      </c>
      <c r="D312" s="3">
        <v>17</v>
      </c>
      <c r="E312" s="3">
        <v>185</v>
      </c>
      <c r="F312" s="3">
        <v>816</v>
      </c>
      <c r="H312" t="str">
        <f t="shared" si="4"/>
        <v>argentea-17</v>
      </c>
      <c r="I312" s="3">
        <v>70</v>
      </c>
    </row>
    <row r="313" spans="1:9" ht="18.75" customHeight="1" x14ac:dyDescent="0.3">
      <c r="A313" t="s">
        <v>317</v>
      </c>
      <c r="B313" t="s">
        <v>318</v>
      </c>
      <c r="C313" t="s">
        <v>319</v>
      </c>
      <c r="D313" s="3">
        <v>20</v>
      </c>
      <c r="E313" s="3">
        <v>60</v>
      </c>
      <c r="F313" s="3">
        <v>212</v>
      </c>
      <c r="H313" t="str">
        <f t="shared" si="4"/>
        <v>batocana-20</v>
      </c>
      <c r="I313" s="3">
        <v>70</v>
      </c>
    </row>
    <row r="314" spans="1:9" ht="18.75" customHeight="1" x14ac:dyDescent="0.3">
      <c r="A314" t="s">
        <v>331</v>
      </c>
      <c r="B314" t="s">
        <v>342</v>
      </c>
      <c r="C314" t="s">
        <v>343</v>
      </c>
      <c r="D314" s="3">
        <v>22</v>
      </c>
      <c r="E314" s="3">
        <v>187</v>
      </c>
      <c r="F314" s="3">
        <v>879</v>
      </c>
      <c r="H314" t="str">
        <f t="shared" si="4"/>
        <v>rubrivenium-22</v>
      </c>
      <c r="I314" s="3">
        <v>70</v>
      </c>
    </row>
    <row r="315" spans="1:9" ht="18.75" customHeight="1" x14ac:dyDescent="0.3">
      <c r="A315" t="s">
        <v>363</v>
      </c>
      <c r="B315" t="s">
        <v>379</v>
      </c>
      <c r="C315" t="s">
        <v>27</v>
      </c>
      <c r="D315" s="3">
        <v>26</v>
      </c>
      <c r="E315" s="3">
        <v>123</v>
      </c>
      <c r="F315" s="3">
        <v>544</v>
      </c>
      <c r="H315" t="str">
        <f t="shared" si="4"/>
        <v>lanceolata-26</v>
      </c>
      <c r="I315" s="3">
        <v>70</v>
      </c>
    </row>
    <row r="316" spans="1:9" ht="18.75" customHeight="1" x14ac:dyDescent="0.3">
      <c r="A316" t="s">
        <v>363</v>
      </c>
      <c r="B316" t="s">
        <v>413</v>
      </c>
      <c r="C316" t="s">
        <v>414</v>
      </c>
      <c r="D316" s="3">
        <v>26</v>
      </c>
      <c r="E316" s="3">
        <v>149</v>
      </c>
      <c r="F316" s="3">
        <v>642</v>
      </c>
      <c r="H316" t="str">
        <f t="shared" si="4"/>
        <v>krukovii-26</v>
      </c>
      <c r="I316" s="3">
        <v>70</v>
      </c>
    </row>
    <row r="317" spans="1:9" ht="18.75" customHeight="1" x14ac:dyDescent="0.3">
      <c r="A317" t="s">
        <v>416</v>
      </c>
      <c r="B317" t="s">
        <v>427</v>
      </c>
      <c r="C317" t="s">
        <v>367</v>
      </c>
      <c r="D317" s="3">
        <v>27</v>
      </c>
      <c r="E317" s="3">
        <v>73</v>
      </c>
      <c r="F317" s="3">
        <v>237</v>
      </c>
      <c r="H317" t="str">
        <f t="shared" si="4"/>
        <v>amara-27</v>
      </c>
      <c r="I317" s="3">
        <v>70</v>
      </c>
    </row>
    <row r="318" spans="1:9" ht="18.75" customHeight="1" x14ac:dyDescent="0.3">
      <c r="A318" t="s">
        <v>416</v>
      </c>
      <c r="B318" t="s">
        <v>427</v>
      </c>
      <c r="C318" t="s">
        <v>444</v>
      </c>
      <c r="D318" s="3">
        <v>27</v>
      </c>
      <c r="E318" s="3">
        <v>73</v>
      </c>
      <c r="F318" s="3">
        <v>255</v>
      </c>
      <c r="H318" t="str">
        <f t="shared" si="4"/>
        <v>rhododendrifolia-27</v>
      </c>
      <c r="I318" s="3">
        <v>70</v>
      </c>
    </row>
    <row r="319" spans="1:9" ht="18.75" customHeight="1" x14ac:dyDescent="0.3">
      <c r="A319" t="s">
        <v>456</v>
      </c>
      <c r="B319" t="s">
        <v>457</v>
      </c>
      <c r="C319" t="s">
        <v>461</v>
      </c>
      <c r="D319" s="3">
        <v>29</v>
      </c>
      <c r="E319" s="3">
        <v>2</v>
      </c>
      <c r="F319" s="3">
        <v>9</v>
      </c>
      <c r="H319" t="str">
        <f t="shared" si="4"/>
        <v>cochinchinensis-29</v>
      </c>
      <c r="I319" s="3">
        <v>70</v>
      </c>
    </row>
    <row r="320" spans="1:9" ht="18.75" customHeight="1" x14ac:dyDescent="0.3">
      <c r="A320" t="s">
        <v>456</v>
      </c>
      <c r="B320" t="s">
        <v>474</v>
      </c>
      <c r="C320" t="s">
        <v>480</v>
      </c>
      <c r="D320" s="3">
        <v>29</v>
      </c>
      <c r="E320" s="3">
        <v>31</v>
      </c>
      <c r="F320" s="3">
        <v>121</v>
      </c>
      <c r="H320" t="str">
        <f t="shared" si="4"/>
        <v>sappan-29</v>
      </c>
      <c r="I320" s="3">
        <v>70</v>
      </c>
    </row>
    <row r="321" spans="1:9" ht="18.75" customHeight="1" x14ac:dyDescent="0.3">
      <c r="A321" t="s">
        <v>456</v>
      </c>
      <c r="B321" t="s">
        <v>481</v>
      </c>
      <c r="C321" t="s">
        <v>482</v>
      </c>
      <c r="D321" s="3">
        <v>29</v>
      </c>
      <c r="E321" s="3">
        <v>37</v>
      </c>
      <c r="F321" s="3">
        <v>136</v>
      </c>
      <c r="H321" t="str">
        <f t="shared" si="4"/>
        <v>ferruginea-29</v>
      </c>
      <c r="I321" s="3">
        <v>70</v>
      </c>
    </row>
    <row r="322" spans="1:9" ht="18.75" customHeight="1" x14ac:dyDescent="0.3">
      <c r="A322" t="s">
        <v>456</v>
      </c>
      <c r="B322" t="s">
        <v>483</v>
      </c>
      <c r="C322" t="s">
        <v>486</v>
      </c>
      <c r="D322" s="3">
        <v>29</v>
      </c>
      <c r="E322" s="3">
        <v>47</v>
      </c>
      <c r="F322" s="3">
        <v>167</v>
      </c>
      <c r="H322" t="str">
        <f t="shared" si="4"/>
        <v>martii-29</v>
      </c>
      <c r="I322" s="3">
        <v>70</v>
      </c>
    </row>
    <row r="323" spans="1:9" ht="18.75" customHeight="1" x14ac:dyDescent="0.3">
      <c r="A323" t="s">
        <v>456</v>
      </c>
      <c r="B323" t="s">
        <v>492</v>
      </c>
      <c r="C323" t="s">
        <v>494</v>
      </c>
      <c r="D323" s="3">
        <v>29</v>
      </c>
      <c r="E323" s="3">
        <v>58</v>
      </c>
      <c r="F323" s="3">
        <v>209</v>
      </c>
      <c r="H323" t="str">
        <f t="shared" ref="H323:H386" si="5">_xlfn.CONCAT(C323,"-",D323)</f>
        <v>glabrifolia-29</v>
      </c>
      <c r="I323" s="3">
        <v>70</v>
      </c>
    </row>
    <row r="324" spans="1:9" ht="18.75" customHeight="1" x14ac:dyDescent="0.3">
      <c r="A324" t="s">
        <v>456</v>
      </c>
      <c r="B324" t="s">
        <v>507</v>
      </c>
      <c r="C324" t="s">
        <v>508</v>
      </c>
      <c r="D324" s="3">
        <v>29</v>
      </c>
      <c r="E324" s="3">
        <v>106</v>
      </c>
      <c r="F324" s="3">
        <v>400</v>
      </c>
      <c r="H324" t="str">
        <f t="shared" si="5"/>
        <v>aff-ferrea-29</v>
      </c>
      <c r="I324" s="3">
        <v>70</v>
      </c>
    </row>
    <row r="325" spans="1:9" ht="18.75" customHeight="1" x14ac:dyDescent="0.3">
      <c r="A325" t="s">
        <v>456</v>
      </c>
      <c r="B325" t="s">
        <v>522</v>
      </c>
      <c r="C325" t="s">
        <v>523</v>
      </c>
      <c r="D325" s="3">
        <v>29</v>
      </c>
      <c r="E325" s="3">
        <v>134</v>
      </c>
      <c r="F325" s="3">
        <v>614</v>
      </c>
      <c r="H325" t="str">
        <f t="shared" si="5"/>
        <v>vogelianum-29</v>
      </c>
      <c r="I325" s="3">
        <v>70</v>
      </c>
    </row>
    <row r="326" spans="1:9" ht="18.75" customHeight="1" x14ac:dyDescent="0.3">
      <c r="A326" t="s">
        <v>536</v>
      </c>
      <c r="B326" t="s">
        <v>560</v>
      </c>
      <c r="C326" t="s">
        <v>561</v>
      </c>
      <c r="D326" s="3">
        <v>30</v>
      </c>
      <c r="E326" s="3">
        <v>117</v>
      </c>
      <c r="F326" s="3">
        <v>524</v>
      </c>
      <c r="H326" t="str">
        <f t="shared" si="5"/>
        <v>bracatinga-30</v>
      </c>
      <c r="I326" s="3">
        <v>70</v>
      </c>
    </row>
    <row r="327" spans="1:9" ht="18.75" customHeight="1" x14ac:dyDescent="0.3">
      <c r="A327" t="s">
        <v>536</v>
      </c>
      <c r="B327" t="s">
        <v>562</v>
      </c>
      <c r="C327" t="s">
        <v>546</v>
      </c>
      <c r="D327" s="3">
        <v>30</v>
      </c>
      <c r="E327" s="3">
        <v>125</v>
      </c>
      <c r="F327" s="3">
        <v>567</v>
      </c>
      <c r="H327" t="str">
        <f t="shared" si="5"/>
        <v>peregrina-30</v>
      </c>
      <c r="I327" s="3">
        <v>70</v>
      </c>
    </row>
    <row r="328" spans="1:9" ht="18.75" customHeight="1" x14ac:dyDescent="0.3">
      <c r="A328" t="s">
        <v>593</v>
      </c>
      <c r="B328" t="s">
        <v>601</v>
      </c>
      <c r="C328" t="s">
        <v>606</v>
      </c>
      <c r="D328" s="3">
        <v>31</v>
      </c>
      <c r="E328" s="3">
        <v>54</v>
      </c>
      <c r="F328" s="3">
        <v>192</v>
      </c>
      <c r="H328" t="str">
        <f t="shared" si="5"/>
        <v>louvelii-31</v>
      </c>
      <c r="I328" s="3">
        <v>70</v>
      </c>
    </row>
    <row r="329" spans="1:9" ht="18.75" customHeight="1" x14ac:dyDescent="0.3">
      <c r="A329" t="s">
        <v>593</v>
      </c>
      <c r="B329" t="s">
        <v>601</v>
      </c>
      <c r="C329" t="s">
        <v>613</v>
      </c>
      <c r="D329" s="3">
        <v>31</v>
      </c>
      <c r="E329" s="3">
        <v>54</v>
      </c>
      <c r="F329" s="3">
        <v>200</v>
      </c>
      <c r="H329" t="str">
        <f t="shared" si="5"/>
        <v>toxicaria-31</v>
      </c>
      <c r="I329" s="3">
        <v>70</v>
      </c>
    </row>
    <row r="330" spans="1:9" ht="18.75" customHeight="1" x14ac:dyDescent="0.3">
      <c r="A330" t="s">
        <v>593</v>
      </c>
      <c r="B330" t="s">
        <v>626</v>
      </c>
      <c r="C330" t="s">
        <v>628</v>
      </c>
      <c r="D330" s="3">
        <v>31</v>
      </c>
      <c r="E330" s="3">
        <v>109</v>
      </c>
      <c r="F330" s="3">
        <v>459</v>
      </c>
      <c r="H330" t="str">
        <f t="shared" si="5"/>
        <v>albiflorus-31</v>
      </c>
      <c r="I330" s="3">
        <v>70</v>
      </c>
    </row>
    <row r="331" spans="1:9" ht="18.75" customHeight="1" x14ac:dyDescent="0.3">
      <c r="A331" t="s">
        <v>593</v>
      </c>
      <c r="B331" t="s">
        <v>626</v>
      </c>
      <c r="C331" t="s">
        <v>639</v>
      </c>
      <c r="D331" s="3">
        <v>31</v>
      </c>
      <c r="E331" s="3">
        <v>109</v>
      </c>
      <c r="F331" s="3">
        <v>470</v>
      </c>
      <c r="H331" t="str">
        <f t="shared" si="5"/>
        <v>ehrenbergii-31</v>
      </c>
      <c r="I331" s="3">
        <v>70</v>
      </c>
    </row>
    <row r="332" spans="1:9" ht="18.75" customHeight="1" x14ac:dyDescent="0.3">
      <c r="A332" t="s">
        <v>593</v>
      </c>
      <c r="B332" t="s">
        <v>626</v>
      </c>
      <c r="C332" t="s">
        <v>645</v>
      </c>
      <c r="D332" s="3">
        <v>31</v>
      </c>
      <c r="E332" s="3">
        <v>109</v>
      </c>
      <c r="F332" s="3">
        <v>476</v>
      </c>
      <c r="H332" t="str">
        <f t="shared" si="5"/>
        <v>longistylus-31</v>
      </c>
      <c r="I332" s="3">
        <v>70</v>
      </c>
    </row>
    <row r="333" spans="1:9" ht="18.75" customHeight="1" x14ac:dyDescent="0.3">
      <c r="A333" t="s">
        <v>725</v>
      </c>
      <c r="B333" t="s">
        <v>729</v>
      </c>
      <c r="C333" t="s">
        <v>733</v>
      </c>
      <c r="D333" s="3">
        <v>35</v>
      </c>
      <c r="E333" s="3">
        <v>39</v>
      </c>
      <c r="F333" s="3">
        <v>151</v>
      </c>
      <c r="H333" t="str">
        <f t="shared" si="5"/>
        <v>oaxacensis-35</v>
      </c>
      <c r="I333" s="3">
        <v>70</v>
      </c>
    </row>
    <row r="334" spans="1:9" ht="18.75" customHeight="1" x14ac:dyDescent="0.3">
      <c r="A334" t="s">
        <v>745</v>
      </c>
      <c r="B334" t="s">
        <v>757</v>
      </c>
      <c r="C334" t="s">
        <v>779</v>
      </c>
      <c r="D334" s="3">
        <v>36</v>
      </c>
      <c r="E334" s="3">
        <v>79</v>
      </c>
      <c r="F334" s="3">
        <v>310</v>
      </c>
      <c r="H334" t="str">
        <f t="shared" si="5"/>
        <v>gemina-36</v>
      </c>
      <c r="I334" s="3">
        <v>70</v>
      </c>
    </row>
    <row r="335" spans="1:9" ht="18.75" customHeight="1" x14ac:dyDescent="0.3">
      <c r="A335" t="s">
        <v>745</v>
      </c>
      <c r="B335" t="s">
        <v>757</v>
      </c>
      <c r="C335" t="s">
        <v>782</v>
      </c>
      <c r="D335" s="3">
        <v>36</v>
      </c>
      <c r="E335" s="3">
        <v>79</v>
      </c>
      <c r="F335" s="3">
        <v>313</v>
      </c>
      <c r="H335" t="str">
        <f t="shared" si="5"/>
        <v>gomelleira-36</v>
      </c>
      <c r="I335" s="3">
        <v>70</v>
      </c>
    </row>
    <row r="336" spans="1:9" ht="18.75" customHeight="1" x14ac:dyDescent="0.3">
      <c r="A336" t="s">
        <v>745</v>
      </c>
      <c r="B336" t="s">
        <v>757</v>
      </c>
      <c r="C336" t="s">
        <v>786</v>
      </c>
      <c r="D336" s="3">
        <v>36</v>
      </c>
      <c r="E336" s="3">
        <v>79</v>
      </c>
      <c r="F336" s="3">
        <v>319</v>
      </c>
      <c r="H336" t="str">
        <f t="shared" si="5"/>
        <v>ramiflora-36</v>
      </c>
      <c r="I336" s="3">
        <v>70</v>
      </c>
    </row>
    <row r="337" spans="1:9" ht="18.75" customHeight="1" x14ac:dyDescent="0.3">
      <c r="A337" t="s">
        <v>745</v>
      </c>
      <c r="B337" t="s">
        <v>757</v>
      </c>
      <c r="C337" t="s">
        <v>787</v>
      </c>
      <c r="D337" s="3">
        <v>36</v>
      </c>
      <c r="E337" s="3">
        <v>79</v>
      </c>
      <c r="F337" s="3">
        <v>320</v>
      </c>
      <c r="H337" t="str">
        <f t="shared" si="5"/>
        <v>regularis-36</v>
      </c>
      <c r="I337" s="3">
        <v>70</v>
      </c>
    </row>
    <row r="338" spans="1:9" ht="18.75" customHeight="1" x14ac:dyDescent="0.3">
      <c r="A338" t="s">
        <v>745</v>
      </c>
      <c r="B338" t="s">
        <v>757</v>
      </c>
      <c r="C338" t="s">
        <v>789</v>
      </c>
      <c r="D338" s="3">
        <v>36</v>
      </c>
      <c r="E338" s="3">
        <v>79</v>
      </c>
      <c r="F338" s="3">
        <v>322</v>
      </c>
      <c r="H338" t="str">
        <f t="shared" si="5"/>
        <v>tapajozensis-36</v>
      </c>
      <c r="I338" s="3">
        <v>70</v>
      </c>
    </row>
    <row r="339" spans="1:9" ht="18.75" customHeight="1" x14ac:dyDescent="0.3">
      <c r="A339" t="s">
        <v>790</v>
      </c>
      <c r="B339" t="s">
        <v>791</v>
      </c>
      <c r="C339" t="s">
        <v>804</v>
      </c>
      <c r="D339" s="3">
        <v>37</v>
      </c>
      <c r="E339" s="3">
        <v>194</v>
      </c>
      <c r="F339" s="3">
        <v>910</v>
      </c>
      <c r="H339" t="str">
        <f t="shared" si="5"/>
        <v>multinervia-37</v>
      </c>
      <c r="I339" s="3">
        <v>70</v>
      </c>
    </row>
    <row r="340" spans="1:9" ht="18.75" customHeight="1" x14ac:dyDescent="0.3">
      <c r="A340" t="s">
        <v>869</v>
      </c>
      <c r="B340" t="s">
        <v>870</v>
      </c>
      <c r="C340" t="s">
        <v>871</v>
      </c>
      <c r="D340" s="3">
        <v>48</v>
      </c>
      <c r="E340" s="3">
        <v>129</v>
      </c>
      <c r="F340" s="3">
        <v>597</v>
      </c>
      <c r="H340" t="str">
        <f t="shared" si="5"/>
        <v>tenuifolia-48</v>
      </c>
      <c r="I340" s="3">
        <v>70</v>
      </c>
    </row>
    <row r="341" spans="1:9" ht="18.75" customHeight="1" x14ac:dyDescent="0.3">
      <c r="A341" t="s">
        <v>875</v>
      </c>
      <c r="B341" t="s">
        <v>876</v>
      </c>
      <c r="C341" t="s">
        <v>877</v>
      </c>
      <c r="D341" s="3">
        <v>50</v>
      </c>
      <c r="E341" s="3">
        <v>26</v>
      </c>
      <c r="F341" s="3">
        <v>98</v>
      </c>
      <c r="H341" t="str">
        <f t="shared" si="5"/>
        <v>obtusifolia-50</v>
      </c>
      <c r="I341" s="3">
        <v>70</v>
      </c>
    </row>
    <row r="342" spans="1:9" ht="18.75" customHeight="1" x14ac:dyDescent="0.3">
      <c r="A342" t="s">
        <v>875</v>
      </c>
      <c r="B342" t="s">
        <v>876</v>
      </c>
      <c r="C342" t="s">
        <v>60</v>
      </c>
      <c r="D342" s="3">
        <v>50</v>
      </c>
      <c r="E342" s="3">
        <v>26</v>
      </c>
      <c r="F342" s="3">
        <v>99</v>
      </c>
      <c r="H342" t="str">
        <f t="shared" si="5"/>
        <v>sp-50</v>
      </c>
      <c r="I342" s="3">
        <v>70</v>
      </c>
    </row>
    <row r="343" spans="1:9" ht="18.75" customHeight="1" x14ac:dyDescent="0.3">
      <c r="A343" t="s">
        <v>875</v>
      </c>
      <c r="B343" t="s">
        <v>887</v>
      </c>
      <c r="C343" t="s">
        <v>400</v>
      </c>
      <c r="D343" s="3">
        <v>50</v>
      </c>
      <c r="E343" s="3">
        <v>104</v>
      </c>
      <c r="F343" s="3">
        <v>389</v>
      </c>
      <c r="H343" t="str">
        <f t="shared" si="5"/>
        <v>glomerata-50</v>
      </c>
      <c r="I343" s="3">
        <v>70</v>
      </c>
    </row>
    <row r="344" spans="1:9" ht="18.75" customHeight="1" x14ac:dyDescent="0.3">
      <c r="A344" t="s">
        <v>875</v>
      </c>
      <c r="B344" t="s">
        <v>896</v>
      </c>
      <c r="C344" t="s">
        <v>897</v>
      </c>
      <c r="D344" s="3">
        <v>50</v>
      </c>
      <c r="E344" s="3">
        <v>152</v>
      </c>
      <c r="F344" s="3">
        <v>648</v>
      </c>
      <c r="H344" t="str">
        <f t="shared" si="5"/>
        <v>aff-gongrijpii-50</v>
      </c>
      <c r="I344" s="3">
        <v>70</v>
      </c>
    </row>
    <row r="345" spans="1:9" ht="18.75" customHeight="1" x14ac:dyDescent="0.3">
      <c r="A345" t="s">
        <v>875</v>
      </c>
      <c r="B345" t="s">
        <v>896</v>
      </c>
      <c r="C345" t="s">
        <v>907</v>
      </c>
      <c r="D345" s="3">
        <v>50</v>
      </c>
      <c r="E345" s="3">
        <v>152</v>
      </c>
      <c r="F345" s="3">
        <v>660</v>
      </c>
      <c r="H345" t="str">
        <f t="shared" si="5"/>
        <v>jariensis-50</v>
      </c>
      <c r="I345" s="3">
        <v>70</v>
      </c>
    </row>
    <row r="346" spans="1:9" ht="18.75" customHeight="1" x14ac:dyDescent="0.3">
      <c r="A346" t="s">
        <v>875</v>
      </c>
      <c r="B346" t="s">
        <v>896</v>
      </c>
      <c r="C346" t="s">
        <v>290</v>
      </c>
      <c r="D346" s="3">
        <v>50</v>
      </c>
      <c r="E346" s="3">
        <v>152</v>
      </c>
      <c r="F346" s="3">
        <v>668</v>
      </c>
      <c r="H346" t="str">
        <f t="shared" si="5"/>
        <v>procera-50</v>
      </c>
      <c r="I346" s="3">
        <v>70</v>
      </c>
    </row>
    <row r="347" spans="1:9" ht="18.75" customHeight="1" x14ac:dyDescent="0.3">
      <c r="A347" t="s">
        <v>875</v>
      </c>
      <c r="B347" t="s">
        <v>920</v>
      </c>
      <c r="C347" t="s">
        <v>568</v>
      </c>
      <c r="D347" s="3">
        <v>50</v>
      </c>
      <c r="E347" s="3">
        <v>177</v>
      </c>
      <c r="F347" s="3">
        <v>757</v>
      </c>
      <c r="H347" t="str">
        <f t="shared" si="5"/>
        <v>oppositifolia-50</v>
      </c>
      <c r="I347" s="3">
        <v>70</v>
      </c>
    </row>
    <row r="348" spans="1:9" ht="18.75" customHeight="1" x14ac:dyDescent="0.3">
      <c r="A348" t="s">
        <v>924</v>
      </c>
      <c r="B348" t="s">
        <v>927</v>
      </c>
      <c r="C348" t="s">
        <v>367</v>
      </c>
      <c r="D348" s="3">
        <v>51</v>
      </c>
      <c r="E348" s="3">
        <v>172</v>
      </c>
      <c r="F348" s="3">
        <v>731</v>
      </c>
      <c r="H348" t="str">
        <f t="shared" si="5"/>
        <v>amara-51</v>
      </c>
      <c r="I348" s="3">
        <v>70</v>
      </c>
    </row>
    <row r="349" spans="1:9" ht="18.75" customHeight="1" x14ac:dyDescent="0.3">
      <c r="A349" t="s">
        <v>931</v>
      </c>
      <c r="B349" t="s">
        <v>932</v>
      </c>
      <c r="C349" t="s">
        <v>933</v>
      </c>
      <c r="D349" s="3">
        <v>53</v>
      </c>
      <c r="E349" s="3">
        <v>160</v>
      </c>
      <c r="F349" s="3">
        <v>695</v>
      </c>
      <c r="H349" t="str">
        <f t="shared" si="5"/>
        <v>bequaertii-53</v>
      </c>
      <c r="I349" s="3">
        <v>70</v>
      </c>
    </row>
    <row r="350" spans="1:9" ht="18.75" customHeight="1" x14ac:dyDescent="0.3">
      <c r="A350" t="s">
        <v>957</v>
      </c>
      <c r="B350" t="s">
        <v>962</v>
      </c>
      <c r="C350" t="s">
        <v>964</v>
      </c>
      <c r="D350" s="3">
        <v>59</v>
      </c>
      <c r="E350" s="3">
        <v>195</v>
      </c>
      <c r="F350" s="3">
        <v>924</v>
      </c>
      <c r="H350" t="str">
        <f t="shared" si="5"/>
        <v>obidensis-59</v>
      </c>
      <c r="I350" s="3">
        <v>70</v>
      </c>
    </row>
    <row r="351" spans="1:9" ht="18.75" customHeight="1" x14ac:dyDescent="0.3">
      <c r="A351" t="s">
        <v>28</v>
      </c>
      <c r="B351" t="s">
        <v>37</v>
      </c>
      <c r="C351" t="s">
        <v>53</v>
      </c>
      <c r="D351" s="3">
        <v>4</v>
      </c>
      <c r="E351" s="3">
        <v>15</v>
      </c>
      <c r="F351" s="3">
        <v>59</v>
      </c>
      <c r="H351" t="str">
        <f t="shared" si="5"/>
        <v>olivaceum-4</v>
      </c>
      <c r="I351" s="3">
        <v>80</v>
      </c>
    </row>
    <row r="352" spans="1:9" ht="18.75" customHeight="1" x14ac:dyDescent="0.3">
      <c r="A352" t="s">
        <v>28</v>
      </c>
      <c r="B352" t="s">
        <v>37</v>
      </c>
      <c r="C352" t="s">
        <v>59</v>
      </c>
      <c r="D352" s="3">
        <v>4</v>
      </c>
      <c r="E352" s="3">
        <v>15</v>
      </c>
      <c r="F352" s="3">
        <v>65</v>
      </c>
      <c r="H352" t="str">
        <f t="shared" si="5"/>
        <v>sessiliflora-4</v>
      </c>
      <c r="I352" s="3">
        <v>80</v>
      </c>
    </row>
    <row r="353" spans="1:9" ht="18.75" customHeight="1" x14ac:dyDescent="0.3">
      <c r="A353" t="s">
        <v>75</v>
      </c>
      <c r="B353" t="s">
        <v>82</v>
      </c>
      <c r="C353" t="s">
        <v>96</v>
      </c>
      <c r="D353" s="3">
        <v>7</v>
      </c>
      <c r="E353" s="3">
        <v>178</v>
      </c>
      <c r="F353" s="3">
        <v>773</v>
      </c>
      <c r="H353" t="str">
        <f t="shared" si="5"/>
        <v>chrysotricha-7</v>
      </c>
      <c r="I353" s="3">
        <v>80</v>
      </c>
    </row>
    <row r="354" spans="1:9" ht="18.75" customHeight="1" x14ac:dyDescent="0.3">
      <c r="A354" t="s">
        <v>158</v>
      </c>
      <c r="B354" t="s">
        <v>159</v>
      </c>
      <c r="C354" t="s">
        <v>162</v>
      </c>
      <c r="D354" s="3">
        <v>13</v>
      </c>
      <c r="E354" s="3">
        <v>38</v>
      </c>
      <c r="F354" s="3">
        <v>140</v>
      </c>
      <c r="H354" t="str">
        <f t="shared" si="5"/>
        <v>dielsiana-13</v>
      </c>
      <c r="I354" s="3">
        <v>80</v>
      </c>
    </row>
    <row r="355" spans="1:9" ht="18.75" customHeight="1" x14ac:dyDescent="0.3">
      <c r="A355" t="s">
        <v>171</v>
      </c>
      <c r="B355" t="s">
        <v>188</v>
      </c>
      <c r="C355" t="s">
        <v>191</v>
      </c>
      <c r="D355" s="3">
        <v>15</v>
      </c>
      <c r="E355" s="3">
        <v>107</v>
      </c>
      <c r="F355" s="3">
        <v>411</v>
      </c>
      <c r="H355" t="str">
        <f t="shared" si="5"/>
        <v>canescens-15</v>
      </c>
      <c r="I355" s="3">
        <v>80</v>
      </c>
    </row>
    <row r="356" spans="1:9" ht="18.75" customHeight="1" x14ac:dyDescent="0.3">
      <c r="A356" t="s">
        <v>171</v>
      </c>
      <c r="B356" t="s">
        <v>188</v>
      </c>
      <c r="C356" t="s">
        <v>192</v>
      </c>
      <c r="D356" s="3">
        <v>15</v>
      </c>
      <c r="E356" s="3">
        <v>107</v>
      </c>
      <c r="F356" s="3">
        <v>412</v>
      </c>
      <c r="H356" t="str">
        <f t="shared" si="5"/>
        <v>davillaefolia-15</v>
      </c>
      <c r="I356" s="3">
        <v>80</v>
      </c>
    </row>
    <row r="357" spans="1:9" ht="18.75" customHeight="1" x14ac:dyDescent="0.3">
      <c r="A357" t="s">
        <v>171</v>
      </c>
      <c r="B357" t="s">
        <v>188</v>
      </c>
      <c r="C357" t="s">
        <v>213</v>
      </c>
      <c r="D357" s="3">
        <v>15</v>
      </c>
      <c r="E357" s="3">
        <v>107</v>
      </c>
      <c r="F357" s="3">
        <v>438</v>
      </c>
      <c r="H357" t="str">
        <f t="shared" si="5"/>
        <v>paraensis-15</v>
      </c>
      <c r="I357" s="3">
        <v>80</v>
      </c>
    </row>
    <row r="358" spans="1:9" ht="18.75" customHeight="1" x14ac:dyDescent="0.3">
      <c r="A358" t="s">
        <v>222</v>
      </c>
      <c r="B358" t="s">
        <v>223</v>
      </c>
      <c r="C358" t="s">
        <v>226</v>
      </c>
      <c r="D358" s="3">
        <v>16</v>
      </c>
      <c r="E358" s="3">
        <v>32</v>
      </c>
      <c r="F358" s="3">
        <v>124</v>
      </c>
      <c r="H358" t="str">
        <f t="shared" si="5"/>
        <v>inophyllum-16</v>
      </c>
      <c r="I358" s="3">
        <v>80</v>
      </c>
    </row>
    <row r="359" spans="1:9" ht="18.75" customHeight="1" x14ac:dyDescent="0.3">
      <c r="A359" t="s">
        <v>239</v>
      </c>
      <c r="B359" t="s">
        <v>240</v>
      </c>
      <c r="C359" t="s">
        <v>243</v>
      </c>
      <c r="D359" s="3">
        <v>17</v>
      </c>
      <c r="E359" s="3">
        <v>25</v>
      </c>
      <c r="F359" s="3">
        <v>95</v>
      </c>
      <c r="H359" t="str">
        <f t="shared" si="5"/>
        <v>ochroprumna-17</v>
      </c>
      <c r="I359" s="3">
        <v>80</v>
      </c>
    </row>
    <row r="360" spans="1:9" ht="18.75" customHeight="1" x14ac:dyDescent="0.3">
      <c r="A360" t="s">
        <v>239</v>
      </c>
      <c r="B360" t="s">
        <v>245</v>
      </c>
      <c r="C360" t="s">
        <v>252</v>
      </c>
      <c r="D360" s="3">
        <v>17</v>
      </c>
      <c r="E360" s="3">
        <v>185</v>
      </c>
      <c r="F360" s="3">
        <v>819</v>
      </c>
      <c r="H360" t="str">
        <f t="shared" si="5"/>
        <v>avicennioides-17</v>
      </c>
      <c r="I360" s="3">
        <v>80</v>
      </c>
    </row>
    <row r="361" spans="1:9" ht="18.75" customHeight="1" x14ac:dyDescent="0.3">
      <c r="A361" t="s">
        <v>239</v>
      </c>
      <c r="B361" t="s">
        <v>245</v>
      </c>
      <c r="C361" t="s">
        <v>285</v>
      </c>
      <c r="D361" s="3">
        <v>17</v>
      </c>
      <c r="E361" s="3">
        <v>185</v>
      </c>
      <c r="F361" s="3">
        <v>854</v>
      </c>
      <c r="H361" t="str">
        <f t="shared" si="5"/>
        <v>oreadum-17</v>
      </c>
      <c r="I361" s="3">
        <v>80</v>
      </c>
    </row>
    <row r="362" spans="1:9" ht="18.75" customHeight="1" x14ac:dyDescent="0.3">
      <c r="A362" t="s">
        <v>363</v>
      </c>
      <c r="B362" t="s">
        <v>390</v>
      </c>
      <c r="C362" t="s">
        <v>396</v>
      </c>
      <c r="D362" s="3">
        <v>26</v>
      </c>
      <c r="E362" s="3">
        <v>126</v>
      </c>
      <c r="F362" s="3">
        <v>574</v>
      </c>
      <c r="H362" t="str">
        <f t="shared" si="5"/>
        <v>fasciculata-26</v>
      </c>
      <c r="I362" s="3">
        <v>80</v>
      </c>
    </row>
    <row r="363" spans="1:9" ht="18.75" customHeight="1" x14ac:dyDescent="0.3">
      <c r="A363" t="s">
        <v>363</v>
      </c>
      <c r="B363" t="s">
        <v>390</v>
      </c>
      <c r="C363" t="s">
        <v>401</v>
      </c>
      <c r="D363" s="3">
        <v>26</v>
      </c>
      <c r="E363" s="3">
        <v>126</v>
      </c>
      <c r="F363" s="3">
        <v>581</v>
      </c>
      <c r="H363" t="str">
        <f t="shared" si="5"/>
        <v>macrothyrsus-26</v>
      </c>
      <c r="I363" s="3">
        <v>80</v>
      </c>
    </row>
    <row r="364" spans="1:9" ht="18.75" customHeight="1" x14ac:dyDescent="0.3">
      <c r="A364" t="s">
        <v>363</v>
      </c>
      <c r="B364" t="s">
        <v>390</v>
      </c>
      <c r="C364" t="s">
        <v>405</v>
      </c>
      <c r="D364" s="3">
        <v>26</v>
      </c>
      <c r="E364" s="3">
        <v>126</v>
      </c>
      <c r="F364" s="3">
        <v>586</v>
      </c>
      <c r="H364" t="str">
        <f t="shared" si="5"/>
        <v>pretiosa-26</v>
      </c>
      <c r="I364" s="3">
        <v>80</v>
      </c>
    </row>
    <row r="365" spans="1:9" ht="18.75" customHeight="1" x14ac:dyDescent="0.3">
      <c r="A365" t="s">
        <v>363</v>
      </c>
      <c r="B365" t="s">
        <v>413</v>
      </c>
      <c r="C365" t="s">
        <v>415</v>
      </c>
      <c r="D365" s="3">
        <v>26</v>
      </c>
      <c r="E365" s="3">
        <v>149</v>
      </c>
      <c r="F365" s="3">
        <v>643</v>
      </c>
      <c r="H365" t="str">
        <f t="shared" si="5"/>
        <v>nobile-26</v>
      </c>
      <c r="I365" s="3">
        <v>80</v>
      </c>
    </row>
    <row r="366" spans="1:9" ht="18.75" customHeight="1" x14ac:dyDescent="0.3">
      <c r="A366" t="s">
        <v>416</v>
      </c>
      <c r="B366" t="s">
        <v>427</v>
      </c>
      <c r="C366" t="s">
        <v>429</v>
      </c>
      <c r="D366" s="3">
        <v>27</v>
      </c>
      <c r="E366" s="3">
        <v>73</v>
      </c>
      <c r="F366" s="3">
        <v>238</v>
      </c>
      <c r="H366" t="str">
        <f t="shared" si="5"/>
        <v>amazonica-27</v>
      </c>
      <c r="I366" s="3">
        <v>80</v>
      </c>
    </row>
    <row r="367" spans="1:9" ht="18.75" customHeight="1" x14ac:dyDescent="0.3">
      <c r="A367" t="s">
        <v>416</v>
      </c>
      <c r="B367" t="s">
        <v>427</v>
      </c>
      <c r="C367" t="s">
        <v>442</v>
      </c>
      <c r="D367" s="3">
        <v>27</v>
      </c>
      <c r="E367" s="3">
        <v>73</v>
      </c>
      <c r="F367" s="3">
        <v>253</v>
      </c>
      <c r="H367" t="str">
        <f t="shared" si="5"/>
        <v>pedicellata-27</v>
      </c>
      <c r="I367" s="3">
        <v>80</v>
      </c>
    </row>
    <row r="368" spans="1:9" ht="18.75" customHeight="1" x14ac:dyDescent="0.3">
      <c r="A368" t="s">
        <v>456</v>
      </c>
      <c r="B368" t="s">
        <v>507</v>
      </c>
      <c r="C368" t="s">
        <v>512</v>
      </c>
      <c r="D368" s="3">
        <v>29</v>
      </c>
      <c r="E368" s="3">
        <v>106</v>
      </c>
      <c r="F368" s="3">
        <v>404</v>
      </c>
      <c r="H368" t="str">
        <f t="shared" si="5"/>
        <v>ferrea-29</v>
      </c>
      <c r="I368" s="3">
        <v>80</v>
      </c>
    </row>
    <row r="369" spans="1:9" ht="18.75" customHeight="1" x14ac:dyDescent="0.3">
      <c r="A369" t="s">
        <v>456</v>
      </c>
      <c r="B369" t="s">
        <v>507</v>
      </c>
      <c r="C369" t="s">
        <v>513</v>
      </c>
      <c r="D369" s="3">
        <v>29</v>
      </c>
      <c r="E369" s="3">
        <v>106</v>
      </c>
      <c r="F369" s="3">
        <v>405</v>
      </c>
      <c r="H369" t="str">
        <f t="shared" si="5"/>
        <v>granadillo-29</v>
      </c>
      <c r="I369" s="3">
        <v>80</v>
      </c>
    </row>
    <row r="370" spans="1:9" ht="18.75" customHeight="1" x14ac:dyDescent="0.3">
      <c r="A370" t="s">
        <v>456</v>
      </c>
      <c r="B370" t="s">
        <v>520</v>
      </c>
      <c r="C370" t="s">
        <v>287</v>
      </c>
      <c r="D370" s="3">
        <v>29</v>
      </c>
      <c r="E370" s="3">
        <v>133</v>
      </c>
      <c r="F370" s="3">
        <v>613</v>
      </c>
      <c r="H370" t="str">
        <f t="shared" si="5"/>
        <v>paniculata-29</v>
      </c>
      <c r="I370" s="3">
        <v>80</v>
      </c>
    </row>
    <row r="371" spans="1:9" ht="18.75" customHeight="1" x14ac:dyDescent="0.3">
      <c r="A371" t="s">
        <v>536</v>
      </c>
      <c r="B371" t="s">
        <v>563</v>
      </c>
      <c r="C371" t="s">
        <v>566</v>
      </c>
      <c r="D371" s="3">
        <v>30</v>
      </c>
      <c r="E371" s="3">
        <v>131</v>
      </c>
      <c r="F371" s="3">
        <v>602</v>
      </c>
      <c r="H371" t="str">
        <f t="shared" si="5"/>
        <v>igneiflora-30</v>
      </c>
      <c r="I371" s="3">
        <v>80</v>
      </c>
    </row>
    <row r="372" spans="1:9" ht="18.75" customHeight="1" x14ac:dyDescent="0.3">
      <c r="A372" t="s">
        <v>536</v>
      </c>
      <c r="B372" t="s">
        <v>587</v>
      </c>
      <c r="C372" t="s">
        <v>60</v>
      </c>
      <c r="D372" s="3">
        <v>30</v>
      </c>
      <c r="E372" s="3">
        <v>174</v>
      </c>
      <c r="F372" s="3">
        <v>750</v>
      </c>
      <c r="H372" t="str">
        <f t="shared" si="5"/>
        <v>sp-30</v>
      </c>
      <c r="I372" s="3">
        <v>80</v>
      </c>
    </row>
    <row r="373" spans="1:9" ht="18.75" customHeight="1" x14ac:dyDescent="0.3">
      <c r="A373" t="s">
        <v>593</v>
      </c>
      <c r="B373" t="s">
        <v>601</v>
      </c>
      <c r="C373" t="s">
        <v>609</v>
      </c>
      <c r="D373" s="3">
        <v>31</v>
      </c>
      <c r="E373" s="3">
        <v>54</v>
      </c>
      <c r="F373" s="3">
        <v>195</v>
      </c>
      <c r="H373" t="str">
        <f t="shared" si="5"/>
        <v>nigra-31</v>
      </c>
      <c r="I373" s="3">
        <v>80</v>
      </c>
    </row>
    <row r="374" spans="1:9" ht="18.75" customHeight="1" x14ac:dyDescent="0.3">
      <c r="A374" t="s">
        <v>593</v>
      </c>
      <c r="B374" t="s">
        <v>626</v>
      </c>
      <c r="C374" t="s">
        <v>631</v>
      </c>
      <c r="D374" s="3">
        <v>31</v>
      </c>
      <c r="E374" s="3">
        <v>109</v>
      </c>
      <c r="F374" s="3">
        <v>462</v>
      </c>
      <c r="H374" t="str">
        <f t="shared" si="5"/>
        <v>blaini-31</v>
      </c>
      <c r="I374" s="3">
        <v>80</v>
      </c>
    </row>
    <row r="375" spans="1:9" ht="18.75" customHeight="1" x14ac:dyDescent="0.3">
      <c r="A375" t="s">
        <v>593</v>
      </c>
      <c r="B375" t="s">
        <v>626</v>
      </c>
      <c r="C375" t="s">
        <v>646</v>
      </c>
      <c r="D375" s="3">
        <v>31</v>
      </c>
      <c r="E375" s="3">
        <v>109</v>
      </c>
      <c r="F375" s="3">
        <v>477</v>
      </c>
      <c r="H375" t="str">
        <f t="shared" si="5"/>
        <v>margaritensis-31</v>
      </c>
      <c r="I375" s="3">
        <v>80</v>
      </c>
    </row>
    <row r="376" spans="1:9" ht="18.75" customHeight="1" x14ac:dyDescent="0.3">
      <c r="A376" t="s">
        <v>593</v>
      </c>
      <c r="B376" t="s">
        <v>656</v>
      </c>
      <c r="C376" t="s">
        <v>657</v>
      </c>
      <c r="D376" s="3">
        <v>31</v>
      </c>
      <c r="E376" s="3">
        <v>112</v>
      </c>
      <c r="F376" s="3">
        <v>488</v>
      </c>
      <c r="H376" t="str">
        <f t="shared" si="5"/>
        <v>aculeatum-31</v>
      </c>
      <c r="I376" s="3">
        <v>80</v>
      </c>
    </row>
    <row r="377" spans="1:9" ht="18.75" customHeight="1" x14ac:dyDescent="0.3">
      <c r="A377" t="s">
        <v>709</v>
      </c>
      <c r="B377" t="s">
        <v>710</v>
      </c>
      <c r="C377" t="s">
        <v>711</v>
      </c>
      <c r="D377" s="3">
        <v>32</v>
      </c>
      <c r="E377" s="3">
        <v>180</v>
      </c>
      <c r="F377" s="3">
        <v>805</v>
      </c>
      <c r="H377" t="str">
        <f t="shared" si="5"/>
        <v>ovata-32</v>
      </c>
      <c r="I377" s="3">
        <v>80</v>
      </c>
    </row>
    <row r="378" spans="1:9" ht="18.75" customHeight="1" x14ac:dyDescent="0.3">
      <c r="A378" t="s">
        <v>725</v>
      </c>
      <c r="B378" t="s">
        <v>729</v>
      </c>
      <c r="C378" t="s">
        <v>732</v>
      </c>
      <c r="D378" s="3">
        <v>35</v>
      </c>
      <c r="E378" s="3">
        <v>39</v>
      </c>
      <c r="F378" s="3">
        <v>150</v>
      </c>
      <c r="H378" t="str">
        <f t="shared" si="5"/>
        <v>montana-35</v>
      </c>
      <c r="I378" s="3">
        <v>80</v>
      </c>
    </row>
    <row r="379" spans="1:9" ht="18.75" customHeight="1" x14ac:dyDescent="0.3">
      <c r="A379" t="s">
        <v>745</v>
      </c>
      <c r="B379" t="s">
        <v>748</v>
      </c>
      <c r="C379" t="s">
        <v>749</v>
      </c>
      <c r="D379" s="3">
        <v>36</v>
      </c>
      <c r="E379" s="3">
        <v>24</v>
      </c>
      <c r="F379" s="3">
        <v>82</v>
      </c>
      <c r="H379" t="str">
        <f t="shared" si="5"/>
        <v>utile-36</v>
      </c>
      <c r="I379" s="3">
        <v>80</v>
      </c>
    </row>
    <row r="380" spans="1:9" ht="18.75" customHeight="1" x14ac:dyDescent="0.3">
      <c r="A380" t="s">
        <v>745</v>
      </c>
      <c r="B380" t="s">
        <v>748</v>
      </c>
      <c r="C380" t="s">
        <v>750</v>
      </c>
      <c r="D380" s="3">
        <v>36</v>
      </c>
      <c r="E380" s="3">
        <v>24</v>
      </c>
      <c r="F380" s="3">
        <v>84</v>
      </c>
      <c r="H380" t="str">
        <f t="shared" si="5"/>
        <v>alicastrum-36</v>
      </c>
      <c r="I380" s="3">
        <v>80</v>
      </c>
    </row>
    <row r="381" spans="1:9" ht="18.75" customHeight="1" x14ac:dyDescent="0.3">
      <c r="A381" t="s">
        <v>745</v>
      </c>
      <c r="B381" t="s">
        <v>757</v>
      </c>
      <c r="C381" t="s">
        <v>559</v>
      </c>
      <c r="D381" s="3">
        <v>36</v>
      </c>
      <c r="E381" s="3">
        <v>79</v>
      </c>
      <c r="F381" s="3">
        <v>286</v>
      </c>
      <c r="H381" t="str">
        <f t="shared" si="5"/>
        <v>alba-36</v>
      </c>
      <c r="I381" s="3">
        <v>80</v>
      </c>
    </row>
    <row r="382" spans="1:9" ht="18.75" customHeight="1" x14ac:dyDescent="0.3">
      <c r="A382" t="s">
        <v>745</v>
      </c>
      <c r="B382" t="s">
        <v>757</v>
      </c>
      <c r="C382" t="s">
        <v>763</v>
      </c>
      <c r="D382" s="3">
        <v>36</v>
      </c>
      <c r="E382" s="3">
        <v>79</v>
      </c>
      <c r="F382" s="3">
        <v>293</v>
      </c>
      <c r="H382" t="str">
        <f t="shared" si="5"/>
        <v>archeri-36</v>
      </c>
      <c r="I382" s="3">
        <v>80</v>
      </c>
    </row>
    <row r="383" spans="1:9" ht="18.75" customHeight="1" x14ac:dyDescent="0.3">
      <c r="A383" t="s">
        <v>745</v>
      </c>
      <c r="B383" t="s">
        <v>757</v>
      </c>
      <c r="C383" t="s">
        <v>213</v>
      </c>
      <c r="D383" s="3">
        <v>36</v>
      </c>
      <c r="E383" s="3">
        <v>79</v>
      </c>
      <c r="F383" s="3">
        <v>316</v>
      </c>
      <c r="H383" t="str">
        <f t="shared" si="5"/>
        <v>paraensis-36</v>
      </c>
      <c r="I383" s="3">
        <v>80</v>
      </c>
    </row>
    <row r="384" spans="1:9" ht="18.75" customHeight="1" x14ac:dyDescent="0.3">
      <c r="A384" t="s">
        <v>790</v>
      </c>
      <c r="B384" t="s">
        <v>791</v>
      </c>
      <c r="C384" t="s">
        <v>807</v>
      </c>
      <c r="D384" s="3">
        <v>37</v>
      </c>
      <c r="E384" s="3">
        <v>194</v>
      </c>
      <c r="F384" s="3">
        <v>917</v>
      </c>
      <c r="H384" t="str">
        <f t="shared" si="5"/>
        <v>venosa-37</v>
      </c>
      <c r="I384" s="3">
        <v>80</v>
      </c>
    </row>
    <row r="385" spans="1:9" ht="18.75" customHeight="1" x14ac:dyDescent="0.3">
      <c r="A385" t="s">
        <v>808</v>
      </c>
      <c r="B385" t="s">
        <v>810</v>
      </c>
      <c r="C385" t="s">
        <v>821</v>
      </c>
      <c r="D385" s="3">
        <v>38</v>
      </c>
      <c r="E385" s="3">
        <v>76</v>
      </c>
      <c r="F385" s="3">
        <v>274</v>
      </c>
      <c r="H385" t="str">
        <f t="shared" si="5"/>
        <v>muricata-38</v>
      </c>
      <c r="I385" s="3">
        <v>80</v>
      </c>
    </row>
    <row r="386" spans="1:9" ht="18.75" customHeight="1" x14ac:dyDescent="0.3">
      <c r="A386" t="s">
        <v>832</v>
      </c>
      <c r="B386" t="s">
        <v>833</v>
      </c>
      <c r="C386" t="s">
        <v>247</v>
      </c>
      <c r="D386" s="3">
        <v>39</v>
      </c>
      <c r="E386" s="3">
        <v>124</v>
      </c>
      <c r="F386" s="3">
        <v>555</v>
      </c>
      <c r="H386" t="str">
        <f t="shared" si="5"/>
        <v>altissima-39</v>
      </c>
      <c r="I386" s="3">
        <v>80</v>
      </c>
    </row>
    <row r="387" spans="1:9" ht="18.75" customHeight="1" x14ac:dyDescent="0.3">
      <c r="A387" t="s">
        <v>875</v>
      </c>
      <c r="B387" t="s">
        <v>896</v>
      </c>
      <c r="C387" t="s">
        <v>414</v>
      </c>
      <c r="D387" s="3">
        <v>50</v>
      </c>
      <c r="E387" s="3">
        <v>152</v>
      </c>
      <c r="F387" s="3">
        <v>661</v>
      </c>
      <c r="H387" t="str">
        <f t="shared" ref="H387:H450" si="6">_xlfn.CONCAT(C387,"-",D387)</f>
        <v>krukovii-50</v>
      </c>
      <c r="I387" s="3">
        <v>80</v>
      </c>
    </row>
    <row r="388" spans="1:9" ht="18.75" customHeight="1" x14ac:dyDescent="0.3">
      <c r="A388" t="s">
        <v>875</v>
      </c>
      <c r="B388" t="s">
        <v>918</v>
      </c>
      <c r="C388" t="s">
        <v>60</v>
      </c>
      <c r="D388" s="3">
        <v>50</v>
      </c>
      <c r="E388" s="3">
        <v>164</v>
      </c>
      <c r="F388" s="3">
        <v>712</v>
      </c>
      <c r="H388" t="str">
        <f t="shared" si="6"/>
        <v>sp-50</v>
      </c>
      <c r="I388" s="3">
        <v>80</v>
      </c>
    </row>
    <row r="389" spans="1:9" ht="18.75" customHeight="1" x14ac:dyDescent="0.3">
      <c r="A389" t="s">
        <v>875</v>
      </c>
      <c r="B389" t="s">
        <v>918</v>
      </c>
      <c r="C389" t="s">
        <v>919</v>
      </c>
      <c r="D389" s="3">
        <v>50</v>
      </c>
      <c r="E389" s="3">
        <v>164</v>
      </c>
      <c r="F389" s="3">
        <v>713</v>
      </c>
      <c r="H389" t="str">
        <f t="shared" si="6"/>
        <v>trigonosperma-50</v>
      </c>
      <c r="I389" s="3">
        <v>80</v>
      </c>
    </row>
    <row r="390" spans="1:9" ht="18.75" customHeight="1" x14ac:dyDescent="0.3">
      <c r="A390" t="s">
        <v>875</v>
      </c>
      <c r="B390" t="s">
        <v>920</v>
      </c>
      <c r="C390" t="s">
        <v>34</v>
      </c>
      <c r="D390" s="3">
        <v>50</v>
      </c>
      <c r="E390" s="3">
        <v>177</v>
      </c>
      <c r="F390" s="3">
        <v>758</v>
      </c>
      <c r="H390" t="str">
        <f t="shared" si="6"/>
        <v>pachycarpa-50</v>
      </c>
      <c r="I390" s="3">
        <v>80</v>
      </c>
    </row>
    <row r="391" spans="1:9" ht="18.75" customHeight="1" x14ac:dyDescent="0.3">
      <c r="A391" t="s">
        <v>950</v>
      </c>
      <c r="B391" t="s">
        <v>951</v>
      </c>
      <c r="C391" t="s">
        <v>952</v>
      </c>
      <c r="D391" s="3">
        <v>57</v>
      </c>
      <c r="E391" s="3">
        <v>95</v>
      </c>
      <c r="F391" s="3">
        <v>364</v>
      </c>
      <c r="H391" t="str">
        <f t="shared" si="6"/>
        <v>trinerve-57</v>
      </c>
      <c r="I391" s="3">
        <v>80</v>
      </c>
    </row>
    <row r="392" spans="1:9" ht="18.75" customHeight="1" x14ac:dyDescent="0.3">
      <c r="A392" t="s">
        <v>28</v>
      </c>
      <c r="B392" t="s">
        <v>29</v>
      </c>
      <c r="C392" t="s">
        <v>35</v>
      </c>
      <c r="D392" s="3">
        <v>4</v>
      </c>
      <c r="E392" s="3">
        <v>5</v>
      </c>
      <c r="F392" s="3">
        <v>22</v>
      </c>
      <c r="H392" t="str">
        <f t="shared" si="6"/>
        <v>pneumatophora-4</v>
      </c>
      <c r="I392" s="3">
        <v>90</v>
      </c>
    </row>
    <row r="393" spans="1:9" ht="18.75" customHeight="1" x14ac:dyDescent="0.3">
      <c r="A393" t="s">
        <v>28</v>
      </c>
      <c r="B393" t="s">
        <v>37</v>
      </c>
      <c r="C393" t="s">
        <v>40</v>
      </c>
      <c r="D393" s="3">
        <v>4</v>
      </c>
      <c r="E393" s="3">
        <v>15</v>
      </c>
      <c r="F393" s="3">
        <v>45</v>
      </c>
      <c r="H393" t="str">
        <f t="shared" si="6"/>
        <v>camporum-4</v>
      </c>
      <c r="I393" s="3">
        <v>90</v>
      </c>
    </row>
    <row r="394" spans="1:9" ht="18.75" customHeight="1" x14ac:dyDescent="0.3">
      <c r="A394" t="s">
        <v>75</v>
      </c>
      <c r="B394" t="s">
        <v>82</v>
      </c>
      <c r="C394" t="s">
        <v>114</v>
      </c>
      <c r="D394" s="3">
        <v>7</v>
      </c>
      <c r="E394" s="3">
        <v>178</v>
      </c>
      <c r="F394" s="3">
        <v>791</v>
      </c>
      <c r="H394" t="str">
        <f t="shared" si="6"/>
        <v>pallida-7</v>
      </c>
      <c r="I394" s="3">
        <v>90</v>
      </c>
    </row>
    <row r="395" spans="1:9" ht="18.75" customHeight="1" x14ac:dyDescent="0.3">
      <c r="A395" t="s">
        <v>158</v>
      </c>
      <c r="B395" t="s">
        <v>159</v>
      </c>
      <c r="C395" t="s">
        <v>60</v>
      </c>
      <c r="D395" s="3">
        <v>13</v>
      </c>
      <c r="E395" s="3">
        <v>38</v>
      </c>
      <c r="F395" s="3">
        <v>145</v>
      </c>
      <c r="H395" t="str">
        <f t="shared" si="6"/>
        <v>sp-13</v>
      </c>
      <c r="I395" s="3">
        <v>90</v>
      </c>
    </row>
    <row r="396" spans="1:9" ht="18.75" customHeight="1" x14ac:dyDescent="0.3">
      <c r="A396" t="s">
        <v>171</v>
      </c>
      <c r="B396" t="s">
        <v>188</v>
      </c>
      <c r="C396" t="s">
        <v>194</v>
      </c>
      <c r="D396" s="3">
        <v>15</v>
      </c>
      <c r="E396" s="3">
        <v>107</v>
      </c>
      <c r="F396" s="3">
        <v>416</v>
      </c>
      <c r="H396" t="str">
        <f t="shared" si="6"/>
        <v>engleri-15</v>
      </c>
      <c r="I396" s="3">
        <v>90</v>
      </c>
    </row>
    <row r="397" spans="1:9" ht="18.75" customHeight="1" x14ac:dyDescent="0.3">
      <c r="A397" t="s">
        <v>239</v>
      </c>
      <c r="B397" t="s">
        <v>240</v>
      </c>
      <c r="C397" t="s">
        <v>244</v>
      </c>
      <c r="D397" s="3">
        <v>17</v>
      </c>
      <c r="E397" s="3">
        <v>25</v>
      </c>
      <c r="F397" s="3">
        <v>96</v>
      </c>
      <c r="H397" t="str">
        <f t="shared" si="6"/>
        <v>oxycarpa-17</v>
      </c>
      <c r="I397" s="3">
        <v>90</v>
      </c>
    </row>
    <row r="398" spans="1:9" ht="18.75" customHeight="1" x14ac:dyDescent="0.3">
      <c r="A398" t="s">
        <v>239</v>
      </c>
      <c r="B398" t="s">
        <v>245</v>
      </c>
      <c r="C398" t="s">
        <v>249</v>
      </c>
      <c r="D398" s="3">
        <v>17</v>
      </c>
      <c r="E398" s="3">
        <v>185</v>
      </c>
      <c r="F398" s="3">
        <v>815</v>
      </c>
      <c r="H398" t="str">
        <f t="shared" si="6"/>
        <v>arbuscula-17</v>
      </c>
      <c r="I398" s="3">
        <v>90</v>
      </c>
    </row>
    <row r="399" spans="1:9" ht="18.75" customHeight="1" x14ac:dyDescent="0.3">
      <c r="A399" t="s">
        <v>239</v>
      </c>
      <c r="B399" t="s">
        <v>245</v>
      </c>
      <c r="C399" t="s">
        <v>265</v>
      </c>
      <c r="D399" s="3">
        <v>17</v>
      </c>
      <c r="E399" s="3">
        <v>185</v>
      </c>
      <c r="F399" s="3">
        <v>832</v>
      </c>
      <c r="H399" t="str">
        <f t="shared" si="6"/>
        <v>crassiramea-17</v>
      </c>
      <c r="I399" s="3">
        <v>90</v>
      </c>
    </row>
    <row r="400" spans="1:9" ht="18.75" customHeight="1" x14ac:dyDescent="0.3">
      <c r="A400" t="s">
        <v>331</v>
      </c>
      <c r="B400" t="s">
        <v>334</v>
      </c>
      <c r="C400" t="s">
        <v>60</v>
      </c>
      <c r="D400" s="3">
        <v>22</v>
      </c>
      <c r="E400" s="3">
        <v>43</v>
      </c>
      <c r="F400" s="3">
        <v>158</v>
      </c>
      <c r="H400" t="str">
        <f t="shared" si="6"/>
        <v>sp-22</v>
      </c>
      <c r="I400" s="3">
        <v>90</v>
      </c>
    </row>
    <row r="401" spans="1:9" ht="18.75" customHeight="1" x14ac:dyDescent="0.3">
      <c r="A401" t="s">
        <v>363</v>
      </c>
      <c r="B401" t="s">
        <v>366</v>
      </c>
      <c r="C401" t="s">
        <v>372</v>
      </c>
      <c r="D401" s="3">
        <v>26</v>
      </c>
      <c r="E401" s="3">
        <v>108</v>
      </c>
      <c r="F401" s="3">
        <v>455</v>
      </c>
      <c r="H401" t="str">
        <f t="shared" si="6"/>
        <v>multiflora-26</v>
      </c>
      <c r="I401" s="3">
        <v>90</v>
      </c>
    </row>
    <row r="402" spans="1:9" ht="18.75" customHeight="1" x14ac:dyDescent="0.3">
      <c r="A402" t="s">
        <v>416</v>
      </c>
      <c r="B402" t="s">
        <v>427</v>
      </c>
      <c r="C402" t="s">
        <v>434</v>
      </c>
      <c r="D402" s="3">
        <v>27</v>
      </c>
      <c r="E402" s="3">
        <v>73</v>
      </c>
      <c r="F402" s="3">
        <v>243</v>
      </c>
      <c r="H402" t="str">
        <f t="shared" si="6"/>
        <v>grata-27</v>
      </c>
      <c r="I402" s="3">
        <v>90</v>
      </c>
    </row>
    <row r="403" spans="1:9" ht="18.75" customHeight="1" x14ac:dyDescent="0.3">
      <c r="A403" t="s">
        <v>416</v>
      </c>
      <c r="B403" t="s">
        <v>450</v>
      </c>
      <c r="C403" t="s">
        <v>380</v>
      </c>
      <c r="D403" s="3">
        <v>27</v>
      </c>
      <c r="E403" s="3">
        <v>105</v>
      </c>
      <c r="F403" s="3">
        <v>392</v>
      </c>
      <c r="H403" t="str">
        <f t="shared" si="6"/>
        <v>amazonum-27</v>
      </c>
      <c r="I403" s="3">
        <v>90</v>
      </c>
    </row>
    <row r="404" spans="1:9" ht="18.75" customHeight="1" x14ac:dyDescent="0.3">
      <c r="A404" t="s">
        <v>456</v>
      </c>
      <c r="B404" t="s">
        <v>457</v>
      </c>
      <c r="C404" t="s">
        <v>466</v>
      </c>
      <c r="D404" s="3">
        <v>29</v>
      </c>
      <c r="E404" s="3">
        <v>2</v>
      </c>
      <c r="F404" s="3">
        <v>14</v>
      </c>
      <c r="H404" t="str">
        <f t="shared" si="6"/>
        <v>xylocarpa-29</v>
      </c>
      <c r="I404" s="3">
        <v>90</v>
      </c>
    </row>
    <row r="405" spans="1:9" ht="18.75" customHeight="1" x14ac:dyDescent="0.3">
      <c r="A405" t="s">
        <v>456</v>
      </c>
      <c r="B405" t="s">
        <v>532</v>
      </c>
      <c r="C405" t="s">
        <v>533</v>
      </c>
      <c r="D405" s="3">
        <v>29</v>
      </c>
      <c r="E405" s="3">
        <v>179</v>
      </c>
      <c r="F405" s="3">
        <v>801</v>
      </c>
      <c r="H405" t="str">
        <f t="shared" si="6"/>
        <v>cavipes-29</v>
      </c>
      <c r="I405" s="3">
        <v>90</v>
      </c>
    </row>
    <row r="406" spans="1:9" ht="18.75" customHeight="1" x14ac:dyDescent="0.3">
      <c r="A406" t="s">
        <v>536</v>
      </c>
      <c r="B406" t="s">
        <v>577</v>
      </c>
      <c r="C406" t="s">
        <v>580</v>
      </c>
      <c r="D406" s="3">
        <v>30</v>
      </c>
      <c r="E406" s="3">
        <v>145</v>
      </c>
      <c r="F406" s="3">
        <v>633</v>
      </c>
      <c r="H406" t="str">
        <f t="shared" si="6"/>
        <v>gonoacantha-30</v>
      </c>
      <c r="I406" s="3">
        <v>90</v>
      </c>
    </row>
    <row r="407" spans="1:9" ht="18.75" customHeight="1" x14ac:dyDescent="0.3">
      <c r="A407" t="s">
        <v>536</v>
      </c>
      <c r="B407" t="s">
        <v>585</v>
      </c>
      <c r="C407" t="s">
        <v>586</v>
      </c>
      <c r="D407" s="3">
        <v>30</v>
      </c>
      <c r="E407" s="3">
        <v>169</v>
      </c>
      <c r="F407" s="3">
        <v>724</v>
      </c>
      <c r="H407" t="str">
        <f t="shared" si="6"/>
        <v>loritensis-30</v>
      </c>
      <c r="I407" s="3">
        <v>90</v>
      </c>
    </row>
    <row r="408" spans="1:9" ht="18.75" customHeight="1" x14ac:dyDescent="0.3">
      <c r="A408" t="s">
        <v>593</v>
      </c>
      <c r="B408" t="s">
        <v>601</v>
      </c>
      <c r="C408" t="s">
        <v>602</v>
      </c>
      <c r="D408" s="3">
        <v>31</v>
      </c>
      <c r="E408" s="3">
        <v>54</v>
      </c>
      <c r="F408" s="3">
        <v>187</v>
      </c>
      <c r="H408" t="str">
        <f t="shared" si="6"/>
        <v>arbutifolia-31</v>
      </c>
      <c r="I408" s="3">
        <v>90</v>
      </c>
    </row>
    <row r="409" spans="1:9" ht="18.75" customHeight="1" x14ac:dyDescent="0.3">
      <c r="A409" t="s">
        <v>593</v>
      </c>
      <c r="B409" t="s">
        <v>617</v>
      </c>
      <c r="C409" t="s">
        <v>246</v>
      </c>
      <c r="D409" s="3">
        <v>31</v>
      </c>
      <c r="E409" s="3">
        <v>61</v>
      </c>
      <c r="F409" s="3">
        <v>216</v>
      </c>
      <c r="H409" t="str">
        <f t="shared" si="6"/>
        <v>alata-31</v>
      </c>
      <c r="I409" s="3">
        <v>90</v>
      </c>
    </row>
    <row r="410" spans="1:9" ht="18.75" customHeight="1" x14ac:dyDescent="0.3">
      <c r="A410" t="s">
        <v>593</v>
      </c>
      <c r="B410" t="s">
        <v>626</v>
      </c>
      <c r="C410" t="s">
        <v>638</v>
      </c>
      <c r="D410" s="3">
        <v>31</v>
      </c>
      <c r="E410" s="3">
        <v>109</v>
      </c>
      <c r="F410" s="3">
        <v>469</v>
      </c>
      <c r="H410" t="str">
        <f t="shared" si="6"/>
        <v>domingensis-31</v>
      </c>
      <c r="I410" s="3">
        <v>90</v>
      </c>
    </row>
    <row r="411" spans="1:9" ht="18.75" customHeight="1" x14ac:dyDescent="0.3">
      <c r="A411" t="s">
        <v>593</v>
      </c>
      <c r="B411" t="s">
        <v>656</v>
      </c>
      <c r="C411" t="s">
        <v>665</v>
      </c>
      <c r="D411" s="3">
        <v>31</v>
      </c>
      <c r="E411" s="3">
        <v>112</v>
      </c>
      <c r="F411" s="3">
        <v>497</v>
      </c>
      <c r="H411" t="str">
        <f t="shared" si="6"/>
        <v>incorruptible-31</v>
      </c>
      <c r="I411" s="3">
        <v>90</v>
      </c>
    </row>
    <row r="412" spans="1:9" ht="18.75" customHeight="1" x14ac:dyDescent="0.3">
      <c r="A412" t="s">
        <v>745</v>
      </c>
      <c r="B412" t="s">
        <v>748</v>
      </c>
      <c r="C412" t="s">
        <v>752</v>
      </c>
      <c r="D412" s="3">
        <v>36</v>
      </c>
      <c r="E412" s="3">
        <v>24</v>
      </c>
      <c r="F412" s="3">
        <v>88</v>
      </c>
      <c r="H412" t="str">
        <f t="shared" si="6"/>
        <v>parinarioides-36</v>
      </c>
      <c r="I412" s="3">
        <v>90</v>
      </c>
    </row>
    <row r="413" spans="1:9" ht="18.75" customHeight="1" x14ac:dyDescent="0.3">
      <c r="A413" t="s">
        <v>745</v>
      </c>
      <c r="B413" t="s">
        <v>756</v>
      </c>
      <c r="C413" t="s">
        <v>184</v>
      </c>
      <c r="D413" s="3">
        <v>36</v>
      </c>
      <c r="E413" s="3">
        <v>45</v>
      </c>
      <c r="F413" s="3">
        <v>285</v>
      </c>
      <c r="H413" t="str">
        <f t="shared" si="6"/>
        <v>racemosa-36</v>
      </c>
      <c r="I413" s="3">
        <v>90</v>
      </c>
    </row>
    <row r="414" spans="1:9" ht="18.75" customHeight="1" x14ac:dyDescent="0.3">
      <c r="A414" t="s">
        <v>745</v>
      </c>
      <c r="B414" t="s">
        <v>757</v>
      </c>
      <c r="C414" t="s">
        <v>778</v>
      </c>
      <c r="D414" s="3">
        <v>36</v>
      </c>
      <c r="E414" s="3">
        <v>79</v>
      </c>
      <c r="F414" s="3">
        <v>309</v>
      </c>
      <c r="H414" t="str">
        <f t="shared" si="6"/>
        <v>erythrosticta-36</v>
      </c>
      <c r="I414" s="3">
        <v>90</v>
      </c>
    </row>
    <row r="415" spans="1:9" ht="18.75" customHeight="1" x14ac:dyDescent="0.3">
      <c r="A415" t="s">
        <v>790</v>
      </c>
      <c r="B415" t="s">
        <v>791</v>
      </c>
      <c r="C415" t="s">
        <v>797</v>
      </c>
      <c r="D415" s="3">
        <v>37</v>
      </c>
      <c r="E415" s="3">
        <v>194</v>
      </c>
      <c r="F415" s="3">
        <v>902</v>
      </c>
      <c r="H415" t="str">
        <f t="shared" si="6"/>
        <v>gracilis-37</v>
      </c>
      <c r="I415" s="3">
        <v>90</v>
      </c>
    </row>
    <row r="416" spans="1:9" ht="18.75" customHeight="1" x14ac:dyDescent="0.3">
      <c r="A416" t="s">
        <v>790</v>
      </c>
      <c r="B416" t="s">
        <v>791</v>
      </c>
      <c r="C416" t="s">
        <v>798</v>
      </c>
      <c r="D416" s="3">
        <v>37</v>
      </c>
      <c r="E416" s="3">
        <v>194</v>
      </c>
      <c r="F416" s="3">
        <v>903</v>
      </c>
      <c r="H416" t="str">
        <f t="shared" si="6"/>
        <v>guatemalensis-37</v>
      </c>
      <c r="I416" s="3">
        <v>90</v>
      </c>
    </row>
    <row r="417" spans="1:9" ht="18.75" customHeight="1" x14ac:dyDescent="0.3">
      <c r="A417" t="s">
        <v>790</v>
      </c>
      <c r="B417" t="s">
        <v>791</v>
      </c>
      <c r="C417" t="s">
        <v>800</v>
      </c>
      <c r="D417" s="3">
        <v>37</v>
      </c>
      <c r="E417" s="3">
        <v>194</v>
      </c>
      <c r="F417" s="3">
        <v>905</v>
      </c>
      <c r="H417" t="str">
        <f t="shared" si="6"/>
        <v>loretensis-37</v>
      </c>
      <c r="I417" s="3">
        <v>90</v>
      </c>
    </row>
    <row r="418" spans="1:9" ht="18.75" customHeight="1" x14ac:dyDescent="0.3">
      <c r="A418" t="s">
        <v>875</v>
      </c>
      <c r="B418" t="s">
        <v>893</v>
      </c>
      <c r="C418" t="s">
        <v>235</v>
      </c>
      <c r="D418" s="3">
        <v>50</v>
      </c>
      <c r="E418" s="3">
        <v>116</v>
      </c>
      <c r="F418" s="3">
        <v>521</v>
      </c>
      <c r="H418" t="str">
        <f t="shared" si="6"/>
        <v>gardneriana-50</v>
      </c>
      <c r="I418" s="3">
        <v>90</v>
      </c>
    </row>
    <row r="419" spans="1:9" ht="18.75" customHeight="1" x14ac:dyDescent="0.3">
      <c r="A419" t="s">
        <v>875</v>
      </c>
      <c r="B419" t="s">
        <v>918</v>
      </c>
      <c r="C419" t="s">
        <v>353</v>
      </c>
      <c r="D419" s="3">
        <v>50</v>
      </c>
      <c r="E419" s="3">
        <v>164</v>
      </c>
      <c r="F419" s="3">
        <v>710</v>
      </c>
      <c r="H419" t="str">
        <f t="shared" si="6"/>
        <v>macrocarpa-50</v>
      </c>
      <c r="I419" s="3">
        <v>90</v>
      </c>
    </row>
    <row r="420" spans="1:9" ht="18.75" customHeight="1" x14ac:dyDescent="0.3">
      <c r="A420" t="s">
        <v>931</v>
      </c>
      <c r="B420" t="s">
        <v>932</v>
      </c>
      <c r="C420" t="s">
        <v>246</v>
      </c>
      <c r="D420" s="3">
        <v>53</v>
      </c>
      <c r="E420" s="3">
        <v>160</v>
      </c>
      <c r="F420" s="3">
        <v>693</v>
      </c>
      <c r="H420" t="str">
        <f t="shared" si="6"/>
        <v>alata-53</v>
      </c>
      <c r="I420" s="3">
        <v>90</v>
      </c>
    </row>
    <row r="421" spans="1:9" ht="18.75" customHeight="1" x14ac:dyDescent="0.3">
      <c r="A421" t="s">
        <v>23</v>
      </c>
      <c r="B421" t="s">
        <v>24</v>
      </c>
      <c r="C421" t="s">
        <v>25</v>
      </c>
      <c r="D421" s="3">
        <v>3</v>
      </c>
      <c r="E421" s="3">
        <v>56</v>
      </c>
      <c r="F421" s="3">
        <v>205</v>
      </c>
      <c r="H421" t="str">
        <f t="shared" si="6"/>
        <v>calucina-3</v>
      </c>
      <c r="I421" s="3">
        <v>100</v>
      </c>
    </row>
    <row r="422" spans="1:9" ht="18.75" customHeight="1" x14ac:dyDescent="0.3">
      <c r="A422" t="s">
        <v>171</v>
      </c>
      <c r="B422" t="s">
        <v>188</v>
      </c>
      <c r="C422" t="s">
        <v>176</v>
      </c>
      <c r="D422" s="3">
        <v>15</v>
      </c>
      <c r="E422" s="3">
        <v>107</v>
      </c>
      <c r="F422" s="3">
        <v>414</v>
      </c>
      <c r="H422" t="str">
        <f t="shared" si="6"/>
        <v>egensis-15</v>
      </c>
      <c r="I422" s="3">
        <v>100</v>
      </c>
    </row>
    <row r="423" spans="1:9" ht="18.75" customHeight="1" x14ac:dyDescent="0.3">
      <c r="A423" t="s">
        <v>171</v>
      </c>
      <c r="B423" t="s">
        <v>188</v>
      </c>
      <c r="C423" t="s">
        <v>182</v>
      </c>
      <c r="D423" s="3">
        <v>15</v>
      </c>
      <c r="E423" s="3">
        <v>107</v>
      </c>
      <c r="F423" s="3">
        <v>421</v>
      </c>
      <c r="H423" t="str">
        <f t="shared" si="6"/>
        <v>hispidula-15</v>
      </c>
      <c r="I423" s="3">
        <v>100</v>
      </c>
    </row>
    <row r="424" spans="1:9" ht="18.75" customHeight="1" x14ac:dyDescent="0.3">
      <c r="A424" t="s">
        <v>239</v>
      </c>
      <c r="B424" t="s">
        <v>245</v>
      </c>
      <c r="C424" t="s">
        <v>247</v>
      </c>
      <c r="D424" s="3">
        <v>17</v>
      </c>
      <c r="E424" s="3">
        <v>185</v>
      </c>
      <c r="F424" s="3">
        <v>813</v>
      </c>
      <c r="H424" t="str">
        <f t="shared" si="6"/>
        <v>altissima-17</v>
      </c>
      <c r="I424" s="3">
        <v>100</v>
      </c>
    </row>
    <row r="425" spans="1:9" ht="18.75" customHeight="1" x14ac:dyDescent="0.3">
      <c r="A425" t="s">
        <v>239</v>
      </c>
      <c r="B425" t="s">
        <v>245</v>
      </c>
      <c r="C425" t="s">
        <v>271</v>
      </c>
      <c r="D425" s="3">
        <v>17</v>
      </c>
      <c r="E425" s="3">
        <v>185</v>
      </c>
      <c r="F425" s="3">
        <v>838</v>
      </c>
      <c r="H425" t="str">
        <f t="shared" si="6"/>
        <v>gulanensis-17</v>
      </c>
      <c r="I425" s="3">
        <v>100</v>
      </c>
    </row>
    <row r="426" spans="1:9" ht="18.75" customHeight="1" x14ac:dyDescent="0.3">
      <c r="A426" t="s">
        <v>239</v>
      </c>
      <c r="B426" t="s">
        <v>245</v>
      </c>
      <c r="C426" t="s">
        <v>275</v>
      </c>
      <c r="D426" s="3">
        <v>17</v>
      </c>
      <c r="E426" s="3">
        <v>185</v>
      </c>
      <c r="F426" s="3">
        <v>842</v>
      </c>
      <c r="H426" t="str">
        <f t="shared" si="6"/>
        <v>kilimandsharica-17</v>
      </c>
      <c r="I426" s="3">
        <v>100</v>
      </c>
    </row>
    <row r="427" spans="1:9" ht="18.75" customHeight="1" x14ac:dyDescent="0.3">
      <c r="A427" t="s">
        <v>239</v>
      </c>
      <c r="B427" t="s">
        <v>245</v>
      </c>
      <c r="C427" t="s">
        <v>284</v>
      </c>
      <c r="D427" s="3">
        <v>17</v>
      </c>
      <c r="E427" s="3">
        <v>185</v>
      </c>
      <c r="F427" s="3">
        <v>853</v>
      </c>
      <c r="H427" t="str">
        <f t="shared" si="6"/>
        <v>obovata-17</v>
      </c>
      <c r="I427" s="3">
        <v>100</v>
      </c>
    </row>
    <row r="428" spans="1:9" ht="18.75" customHeight="1" x14ac:dyDescent="0.3">
      <c r="A428" t="s">
        <v>239</v>
      </c>
      <c r="B428" t="s">
        <v>245</v>
      </c>
      <c r="C428" t="s">
        <v>291</v>
      </c>
      <c r="D428" s="3">
        <v>17</v>
      </c>
      <c r="E428" s="3">
        <v>185</v>
      </c>
      <c r="F428" s="3">
        <v>860</v>
      </c>
      <c r="H428" t="str">
        <f t="shared" si="6"/>
        <v>prunoides-17</v>
      </c>
      <c r="I428" s="3">
        <v>100</v>
      </c>
    </row>
    <row r="429" spans="1:9" ht="18.75" customHeight="1" x14ac:dyDescent="0.3">
      <c r="A429" t="s">
        <v>239</v>
      </c>
      <c r="B429" t="s">
        <v>245</v>
      </c>
      <c r="C429" t="s">
        <v>299</v>
      </c>
      <c r="D429" s="3">
        <v>17</v>
      </c>
      <c r="E429" s="3">
        <v>185</v>
      </c>
      <c r="F429" s="3">
        <v>868</v>
      </c>
      <c r="H429" t="str">
        <f t="shared" si="6"/>
        <v>seriocarpa-17</v>
      </c>
      <c r="I429" s="3">
        <v>100</v>
      </c>
    </row>
    <row r="430" spans="1:9" ht="18.75" customHeight="1" x14ac:dyDescent="0.3">
      <c r="A430" t="s">
        <v>331</v>
      </c>
      <c r="B430" t="s">
        <v>334</v>
      </c>
      <c r="C430" t="s">
        <v>335</v>
      </c>
      <c r="D430" s="3">
        <v>22</v>
      </c>
      <c r="E430" s="3">
        <v>43</v>
      </c>
      <c r="F430" s="3">
        <v>159</v>
      </c>
      <c r="H430" t="str">
        <f t="shared" si="6"/>
        <v>wchinocarpus-22</v>
      </c>
      <c r="I430" s="3">
        <v>100</v>
      </c>
    </row>
    <row r="431" spans="1:9" ht="18.75" customHeight="1" x14ac:dyDescent="0.3">
      <c r="A431" t="s">
        <v>347</v>
      </c>
      <c r="B431" t="s">
        <v>350</v>
      </c>
      <c r="C431" t="s">
        <v>353</v>
      </c>
      <c r="D431" s="3">
        <v>24</v>
      </c>
      <c r="E431" s="3">
        <v>191</v>
      </c>
      <c r="F431" s="3">
        <v>888</v>
      </c>
      <c r="H431" t="str">
        <f t="shared" si="6"/>
        <v>macrocarpa-24</v>
      </c>
      <c r="I431" s="3">
        <v>100</v>
      </c>
    </row>
    <row r="432" spans="1:9" ht="18.75" customHeight="1" x14ac:dyDescent="0.3">
      <c r="A432" t="s">
        <v>363</v>
      </c>
      <c r="B432" t="s">
        <v>366</v>
      </c>
      <c r="C432" t="s">
        <v>368</v>
      </c>
      <c r="D432" s="3">
        <v>26</v>
      </c>
      <c r="E432" s="3">
        <v>108</v>
      </c>
      <c r="F432" s="3">
        <v>450</v>
      </c>
      <c r="H432" t="str">
        <f t="shared" si="6"/>
        <v>appelii-26</v>
      </c>
      <c r="I432" s="3">
        <v>100</v>
      </c>
    </row>
    <row r="433" spans="1:9" ht="18.75" customHeight="1" x14ac:dyDescent="0.3">
      <c r="A433" t="s">
        <v>363</v>
      </c>
      <c r="B433" t="s">
        <v>379</v>
      </c>
      <c r="C433" t="s">
        <v>388</v>
      </c>
      <c r="D433" s="3">
        <v>26</v>
      </c>
      <c r="E433" s="3">
        <v>123</v>
      </c>
      <c r="F433" s="3">
        <v>548</v>
      </c>
      <c r="H433" t="str">
        <f t="shared" si="6"/>
        <v>pisi-26</v>
      </c>
      <c r="I433" s="3">
        <v>100</v>
      </c>
    </row>
    <row r="434" spans="1:9" ht="18.75" customHeight="1" x14ac:dyDescent="0.3">
      <c r="A434" t="s">
        <v>363</v>
      </c>
      <c r="B434" t="s">
        <v>379</v>
      </c>
      <c r="C434" t="s">
        <v>329</v>
      </c>
      <c r="D434" s="3">
        <v>26</v>
      </c>
      <c r="E434" s="3">
        <v>123</v>
      </c>
      <c r="F434" s="3">
        <v>549</v>
      </c>
      <c r="H434" t="str">
        <f t="shared" si="6"/>
        <v>reticulata-26</v>
      </c>
      <c r="I434" s="3">
        <v>100</v>
      </c>
    </row>
    <row r="435" spans="1:9" ht="18.75" customHeight="1" x14ac:dyDescent="0.3">
      <c r="A435" t="s">
        <v>416</v>
      </c>
      <c r="B435" t="s">
        <v>427</v>
      </c>
      <c r="C435" t="s">
        <v>441</v>
      </c>
      <c r="D435" s="3">
        <v>27</v>
      </c>
      <c r="E435" s="3">
        <v>73</v>
      </c>
      <c r="F435" s="3">
        <v>252</v>
      </c>
      <c r="H435" t="str">
        <f t="shared" si="6"/>
        <v>pachysepala-27</v>
      </c>
      <c r="I435" s="3">
        <v>100</v>
      </c>
    </row>
    <row r="436" spans="1:9" ht="18.75" customHeight="1" x14ac:dyDescent="0.3">
      <c r="A436" t="s">
        <v>456</v>
      </c>
      <c r="B436" t="s">
        <v>457</v>
      </c>
      <c r="C436" t="s">
        <v>465</v>
      </c>
      <c r="D436" s="3">
        <v>29</v>
      </c>
      <c r="E436" s="3">
        <v>2</v>
      </c>
      <c r="F436" s="3">
        <v>13</v>
      </c>
      <c r="H436" t="str">
        <f t="shared" si="6"/>
        <v>rhomboidea-29</v>
      </c>
      <c r="I436" s="3">
        <v>100</v>
      </c>
    </row>
    <row r="437" spans="1:9" ht="18.75" customHeight="1" x14ac:dyDescent="0.3">
      <c r="A437" t="s">
        <v>456</v>
      </c>
      <c r="B437" t="s">
        <v>483</v>
      </c>
      <c r="C437" t="s">
        <v>487</v>
      </c>
      <c r="D437" s="3">
        <v>29</v>
      </c>
      <c r="E437" s="3">
        <v>47</v>
      </c>
      <c r="F437" s="3">
        <v>168</v>
      </c>
      <c r="H437" t="str">
        <f t="shared" si="6"/>
        <v>multijuga-29</v>
      </c>
      <c r="I437" s="3">
        <v>100</v>
      </c>
    </row>
    <row r="438" spans="1:9" ht="18.75" customHeight="1" x14ac:dyDescent="0.3">
      <c r="A438" t="s">
        <v>456</v>
      </c>
      <c r="B438" t="s">
        <v>500</v>
      </c>
      <c r="C438" t="s">
        <v>506</v>
      </c>
      <c r="D438" s="3">
        <v>29</v>
      </c>
      <c r="E438" s="3">
        <v>97</v>
      </c>
      <c r="F438" s="3">
        <v>373</v>
      </c>
      <c r="H438" t="str">
        <f t="shared" si="6"/>
        <v>stilbocarpa-29</v>
      </c>
      <c r="I438" s="3">
        <v>100</v>
      </c>
    </row>
    <row r="439" spans="1:9" ht="18.75" customHeight="1" x14ac:dyDescent="0.3">
      <c r="A439" t="s">
        <v>536</v>
      </c>
      <c r="B439" t="s">
        <v>553</v>
      </c>
      <c r="C439" t="s">
        <v>554</v>
      </c>
      <c r="D439" s="3">
        <v>30</v>
      </c>
      <c r="E439" s="3">
        <v>69</v>
      </c>
      <c r="F439" s="3">
        <v>228</v>
      </c>
      <c r="H439" t="str">
        <f t="shared" si="6"/>
        <v>contortisiliquum-30</v>
      </c>
      <c r="I439" s="3">
        <v>100</v>
      </c>
    </row>
    <row r="440" spans="1:9" ht="18.75" customHeight="1" x14ac:dyDescent="0.3">
      <c r="A440" t="s">
        <v>536</v>
      </c>
      <c r="B440" t="s">
        <v>563</v>
      </c>
      <c r="C440" t="s">
        <v>307</v>
      </c>
      <c r="D440" s="3">
        <v>30</v>
      </c>
      <c r="E440" s="3">
        <v>131</v>
      </c>
      <c r="F440" s="3">
        <v>610</v>
      </c>
      <c r="H440" t="str">
        <f t="shared" si="6"/>
        <v>velutina-30</v>
      </c>
      <c r="I440" s="3">
        <v>100</v>
      </c>
    </row>
    <row r="441" spans="1:9" ht="18.75" customHeight="1" x14ac:dyDescent="0.3">
      <c r="A441" t="s">
        <v>536</v>
      </c>
      <c r="B441" t="s">
        <v>587</v>
      </c>
      <c r="C441" t="s">
        <v>591</v>
      </c>
      <c r="D441" s="3">
        <v>30</v>
      </c>
      <c r="E441" s="3">
        <v>174</v>
      </c>
      <c r="F441" s="3">
        <v>748</v>
      </c>
      <c r="H441" t="str">
        <f t="shared" si="6"/>
        <v>plystachyum-30</v>
      </c>
      <c r="I441" s="3">
        <v>100</v>
      </c>
    </row>
    <row r="442" spans="1:9" ht="18.75" customHeight="1" x14ac:dyDescent="0.3">
      <c r="A442" t="s">
        <v>593</v>
      </c>
      <c r="B442" t="s">
        <v>601</v>
      </c>
      <c r="C442" t="s">
        <v>610</v>
      </c>
      <c r="D442" s="3">
        <v>31</v>
      </c>
      <c r="E442" s="3">
        <v>54</v>
      </c>
      <c r="F442" s="3">
        <v>196</v>
      </c>
      <c r="H442" t="str">
        <f t="shared" si="6"/>
        <v>pterocarpifolia-31</v>
      </c>
      <c r="I442" s="3">
        <v>100</v>
      </c>
    </row>
    <row r="443" spans="1:9" ht="18.75" customHeight="1" x14ac:dyDescent="0.3">
      <c r="A443" t="s">
        <v>593</v>
      </c>
      <c r="B443" t="s">
        <v>626</v>
      </c>
      <c r="C443" t="s">
        <v>630</v>
      </c>
      <c r="D443" s="3">
        <v>31</v>
      </c>
      <c r="E443" s="3">
        <v>109</v>
      </c>
      <c r="F443" s="3">
        <v>461</v>
      </c>
      <c r="H443" t="str">
        <f t="shared" si="6"/>
        <v>benthamianus-31</v>
      </c>
      <c r="I443" s="3">
        <v>100</v>
      </c>
    </row>
    <row r="444" spans="1:9" ht="18.75" customHeight="1" x14ac:dyDescent="0.3">
      <c r="A444" t="s">
        <v>593</v>
      </c>
      <c r="B444" t="s">
        <v>626</v>
      </c>
      <c r="C444" t="s">
        <v>654</v>
      </c>
      <c r="D444" s="3">
        <v>31</v>
      </c>
      <c r="E444" s="3">
        <v>109</v>
      </c>
      <c r="F444" s="3">
        <v>485</v>
      </c>
      <c r="H444" t="str">
        <f t="shared" si="6"/>
        <v>sanctae-marthae-31</v>
      </c>
      <c r="I444" s="3">
        <v>100</v>
      </c>
    </row>
    <row r="445" spans="1:9" ht="18.75" customHeight="1" x14ac:dyDescent="0.3">
      <c r="A445" t="s">
        <v>745</v>
      </c>
      <c r="B445" t="s">
        <v>757</v>
      </c>
      <c r="C445" t="s">
        <v>776</v>
      </c>
      <c r="D445" s="3">
        <v>36</v>
      </c>
      <c r="E445" s="3">
        <v>79</v>
      </c>
      <c r="F445" s="3">
        <v>307</v>
      </c>
      <c r="H445" t="str">
        <f t="shared" si="6"/>
        <v>carica-36</v>
      </c>
      <c r="I445" s="3">
        <v>100</v>
      </c>
    </row>
    <row r="446" spans="1:9" ht="18.75" customHeight="1" x14ac:dyDescent="0.3">
      <c r="A446" t="s">
        <v>808</v>
      </c>
      <c r="B446" t="s">
        <v>810</v>
      </c>
      <c r="C446" t="s">
        <v>812</v>
      </c>
      <c r="D446" s="3">
        <v>38</v>
      </c>
      <c r="E446" s="3">
        <v>76</v>
      </c>
      <c r="F446" s="3">
        <v>263</v>
      </c>
      <c r="H446" t="str">
        <f t="shared" si="6"/>
        <v>cf-costata-38</v>
      </c>
      <c r="I446" s="3">
        <v>100</v>
      </c>
    </row>
    <row r="447" spans="1:9" ht="18.75" customHeight="1" x14ac:dyDescent="0.3">
      <c r="A447" t="s">
        <v>808</v>
      </c>
      <c r="B447" t="s">
        <v>810</v>
      </c>
      <c r="C447" t="s">
        <v>816</v>
      </c>
      <c r="D447" s="3">
        <v>38</v>
      </c>
      <c r="E447" s="3">
        <v>76</v>
      </c>
      <c r="F447" s="3">
        <v>268</v>
      </c>
      <c r="H447" t="str">
        <f t="shared" si="6"/>
        <v>feijoi-38</v>
      </c>
      <c r="I447" s="3">
        <v>100</v>
      </c>
    </row>
    <row r="448" spans="1:9" ht="18.75" customHeight="1" x14ac:dyDescent="0.3">
      <c r="A448" t="s">
        <v>808</v>
      </c>
      <c r="B448" t="s">
        <v>810</v>
      </c>
      <c r="C448" t="s">
        <v>822</v>
      </c>
      <c r="D448" s="3">
        <v>38</v>
      </c>
      <c r="E448" s="3">
        <v>76</v>
      </c>
      <c r="F448" s="3">
        <v>275</v>
      </c>
      <c r="H448" t="str">
        <f t="shared" si="6"/>
        <v>patrisii-38</v>
      </c>
      <c r="I448" s="3">
        <v>100</v>
      </c>
    </row>
    <row r="449" spans="1:9" ht="18.75" customHeight="1" x14ac:dyDescent="0.3">
      <c r="A449" t="s">
        <v>861</v>
      </c>
      <c r="B449" t="s">
        <v>862</v>
      </c>
      <c r="C449" t="s">
        <v>747</v>
      </c>
      <c r="D449" s="3">
        <v>46</v>
      </c>
      <c r="E449" s="3">
        <v>170</v>
      </c>
      <c r="F449" s="3">
        <v>728</v>
      </c>
      <c r="H449" t="str">
        <f t="shared" si="6"/>
        <v>tinctoria-46</v>
      </c>
      <c r="I449" s="3">
        <v>100</v>
      </c>
    </row>
    <row r="450" spans="1:9" ht="18.75" customHeight="1" x14ac:dyDescent="0.3">
      <c r="A450" t="s">
        <v>875</v>
      </c>
      <c r="B450" t="s">
        <v>879</v>
      </c>
      <c r="C450" t="s">
        <v>880</v>
      </c>
      <c r="D450" s="3">
        <v>50</v>
      </c>
      <c r="E450" s="3">
        <v>67</v>
      </c>
      <c r="F450" s="3">
        <v>226</v>
      </c>
      <c r="H450" t="str">
        <f t="shared" si="6"/>
        <v>pariry-50</v>
      </c>
      <c r="I450" s="3">
        <v>100</v>
      </c>
    </row>
    <row r="451" spans="1:9" ht="18.75" customHeight="1" x14ac:dyDescent="0.3">
      <c r="A451" t="s">
        <v>875</v>
      </c>
      <c r="B451" t="s">
        <v>888</v>
      </c>
      <c r="C451" t="s">
        <v>685</v>
      </c>
      <c r="D451" s="3">
        <v>50</v>
      </c>
      <c r="E451" s="3">
        <v>113</v>
      </c>
      <c r="F451" s="3">
        <v>511</v>
      </c>
      <c r="H451" t="str">
        <f t="shared" ref="H451:H514" si="7">_xlfn.CONCAT(C451,"-",D451)</f>
        <v>elata-50</v>
      </c>
      <c r="I451" s="3">
        <v>100</v>
      </c>
    </row>
    <row r="452" spans="1:9" ht="18.75" customHeight="1" x14ac:dyDescent="0.3">
      <c r="A452" t="s">
        <v>875</v>
      </c>
      <c r="B452" t="s">
        <v>896</v>
      </c>
      <c r="C452" t="s">
        <v>901</v>
      </c>
      <c r="D452" s="3">
        <v>50</v>
      </c>
      <c r="E452" s="3">
        <v>152</v>
      </c>
      <c r="F452" s="3">
        <v>652</v>
      </c>
      <c r="H452" t="str">
        <f t="shared" si="7"/>
        <v>filipes-50</v>
      </c>
      <c r="I452" s="3">
        <v>100</v>
      </c>
    </row>
    <row r="453" spans="1:9" ht="18.75" customHeight="1" x14ac:dyDescent="0.3">
      <c r="A453" t="s">
        <v>875</v>
      </c>
      <c r="B453" t="s">
        <v>922</v>
      </c>
      <c r="C453" t="s">
        <v>923</v>
      </c>
      <c r="D453" s="3">
        <v>50</v>
      </c>
      <c r="E453" s="3">
        <v>190</v>
      </c>
      <c r="F453" s="3">
        <v>882</v>
      </c>
      <c r="H453" t="str">
        <f t="shared" si="7"/>
        <v>ephedrantha-50</v>
      </c>
      <c r="I453" s="3">
        <v>100</v>
      </c>
    </row>
    <row r="454" spans="1:9" ht="18.75" customHeight="1" x14ac:dyDescent="0.3">
      <c r="A454" t="s">
        <v>875</v>
      </c>
      <c r="B454" t="s">
        <v>922</v>
      </c>
      <c r="C454" t="s">
        <v>290</v>
      </c>
      <c r="D454" s="3">
        <v>50</v>
      </c>
      <c r="E454" s="3">
        <v>190</v>
      </c>
      <c r="F454" s="3">
        <v>884</v>
      </c>
      <c r="H454" t="str">
        <f t="shared" si="7"/>
        <v>procera-50</v>
      </c>
      <c r="I454" s="3">
        <v>100</v>
      </c>
    </row>
    <row r="455" spans="1:9" ht="18.75" customHeight="1" x14ac:dyDescent="0.3">
      <c r="A455" t="s">
        <v>966</v>
      </c>
      <c r="B455" t="s">
        <v>967</v>
      </c>
      <c r="C455" t="s">
        <v>968</v>
      </c>
      <c r="D455" s="3">
        <v>60</v>
      </c>
      <c r="E455" s="3">
        <v>87</v>
      </c>
      <c r="F455" s="3">
        <v>336</v>
      </c>
      <c r="H455" t="str">
        <f t="shared" si="7"/>
        <v>coulteri-60</v>
      </c>
      <c r="I455" s="3">
        <v>100</v>
      </c>
    </row>
    <row r="456" spans="1:9" ht="18.75" customHeight="1" x14ac:dyDescent="0.3">
      <c r="A456" t="s">
        <v>75</v>
      </c>
      <c r="B456" t="s">
        <v>82</v>
      </c>
      <c r="C456" t="s">
        <v>97</v>
      </c>
      <c r="D456" s="3">
        <v>7</v>
      </c>
      <c r="E456" s="3">
        <v>178</v>
      </c>
      <c r="F456" s="3">
        <v>774</v>
      </c>
      <c r="H456" t="str">
        <f t="shared" si="7"/>
        <v>conspicua-7</v>
      </c>
      <c r="I456" s="3">
        <v>110</v>
      </c>
    </row>
    <row r="457" spans="1:9" ht="18.75" customHeight="1" x14ac:dyDescent="0.3">
      <c r="A457" t="s">
        <v>171</v>
      </c>
      <c r="B457" t="s">
        <v>172</v>
      </c>
      <c r="C457" t="s">
        <v>177</v>
      </c>
      <c r="D457" s="3">
        <v>15</v>
      </c>
      <c r="E457" s="3">
        <v>91</v>
      </c>
      <c r="F457" s="3">
        <v>349</v>
      </c>
      <c r="H457" t="str">
        <f t="shared" si="7"/>
        <v>elongata-15</v>
      </c>
      <c r="I457" s="3">
        <v>110</v>
      </c>
    </row>
    <row r="458" spans="1:9" ht="18.75" customHeight="1" x14ac:dyDescent="0.3">
      <c r="A458" t="s">
        <v>171</v>
      </c>
      <c r="B458" t="s">
        <v>188</v>
      </c>
      <c r="C458" t="s">
        <v>199</v>
      </c>
      <c r="D458" s="3">
        <v>15</v>
      </c>
      <c r="E458" s="3">
        <v>107</v>
      </c>
      <c r="F458" s="3">
        <v>422</v>
      </c>
      <c r="H458" t="str">
        <f t="shared" si="7"/>
        <v>hostmanni-15</v>
      </c>
      <c r="I458" s="3">
        <v>110</v>
      </c>
    </row>
    <row r="459" spans="1:9" ht="18.75" customHeight="1" x14ac:dyDescent="0.3">
      <c r="A459" t="s">
        <v>222</v>
      </c>
      <c r="B459" t="s">
        <v>231</v>
      </c>
      <c r="C459" t="s">
        <v>236</v>
      </c>
      <c r="D459" s="3">
        <v>16</v>
      </c>
      <c r="E459" s="3">
        <v>163</v>
      </c>
      <c r="F459" s="3">
        <v>708</v>
      </c>
      <c r="H459" t="str">
        <f t="shared" si="7"/>
        <v>longifolia-16</v>
      </c>
      <c r="I459" s="3">
        <v>110</v>
      </c>
    </row>
    <row r="460" spans="1:9" ht="18.75" customHeight="1" x14ac:dyDescent="0.3">
      <c r="A460" t="s">
        <v>239</v>
      </c>
      <c r="B460" t="s">
        <v>245</v>
      </c>
      <c r="C460" t="s">
        <v>290</v>
      </c>
      <c r="D460" s="3">
        <v>17</v>
      </c>
      <c r="E460" s="3">
        <v>185</v>
      </c>
      <c r="F460" s="3">
        <v>859</v>
      </c>
      <c r="H460" t="str">
        <f t="shared" si="7"/>
        <v>procera-17</v>
      </c>
      <c r="I460" s="3">
        <v>110</v>
      </c>
    </row>
    <row r="461" spans="1:9" ht="18.75" customHeight="1" x14ac:dyDescent="0.3">
      <c r="A461" t="s">
        <v>321</v>
      </c>
      <c r="B461" t="s">
        <v>322</v>
      </c>
      <c r="C461" t="s">
        <v>21</v>
      </c>
      <c r="D461" s="3">
        <v>21</v>
      </c>
      <c r="E461" s="3">
        <v>173</v>
      </c>
      <c r="F461" s="3">
        <v>736</v>
      </c>
      <c r="H461" t="str">
        <f t="shared" si="7"/>
        <v>guianensis-21</v>
      </c>
      <c r="I461" s="3">
        <v>110</v>
      </c>
    </row>
    <row r="462" spans="1:9" ht="18.75" customHeight="1" x14ac:dyDescent="0.3">
      <c r="A462" t="s">
        <v>363</v>
      </c>
      <c r="B462" t="s">
        <v>374</v>
      </c>
      <c r="C462" t="s">
        <v>375</v>
      </c>
      <c r="D462" s="3">
        <v>26</v>
      </c>
      <c r="E462" s="3">
        <v>115</v>
      </c>
      <c r="F462" s="3">
        <v>516</v>
      </c>
      <c r="H462" t="str">
        <f t="shared" si="7"/>
        <v>decurrens-26</v>
      </c>
      <c r="I462" s="3">
        <v>110</v>
      </c>
    </row>
    <row r="463" spans="1:9" ht="18.75" customHeight="1" x14ac:dyDescent="0.3">
      <c r="A463" t="s">
        <v>416</v>
      </c>
      <c r="B463" t="s">
        <v>421</v>
      </c>
      <c r="C463" t="s">
        <v>422</v>
      </c>
      <c r="D463" s="3">
        <v>27</v>
      </c>
      <c r="E463" s="3">
        <v>49</v>
      </c>
      <c r="F463" s="3">
        <v>178</v>
      </c>
      <c r="H463" t="str">
        <f t="shared" si="7"/>
        <v>macrosperma-27</v>
      </c>
      <c r="I463" s="3">
        <v>110</v>
      </c>
    </row>
    <row r="464" spans="1:9" ht="18.75" customHeight="1" x14ac:dyDescent="0.3">
      <c r="A464" t="s">
        <v>416</v>
      </c>
      <c r="B464" t="s">
        <v>427</v>
      </c>
      <c r="C464" t="s">
        <v>445</v>
      </c>
      <c r="D464" s="3">
        <v>27</v>
      </c>
      <c r="E464" s="3">
        <v>73</v>
      </c>
      <c r="F464" s="3">
        <v>256</v>
      </c>
      <c r="H464" t="str">
        <f t="shared" si="7"/>
        <v>rorida-27</v>
      </c>
      <c r="I464" s="3">
        <v>110</v>
      </c>
    </row>
    <row r="465" spans="1:9" ht="18.75" customHeight="1" x14ac:dyDescent="0.3">
      <c r="A465" t="s">
        <v>416</v>
      </c>
      <c r="B465" t="s">
        <v>450</v>
      </c>
      <c r="C465" t="s">
        <v>452</v>
      </c>
      <c r="D465" s="3">
        <v>27</v>
      </c>
      <c r="E465" s="3">
        <v>105</v>
      </c>
      <c r="F465" s="3">
        <v>395</v>
      </c>
      <c r="H465" t="str">
        <f t="shared" si="7"/>
        <v>hians-27</v>
      </c>
      <c r="I465" s="3">
        <v>110</v>
      </c>
    </row>
    <row r="466" spans="1:9" ht="18.75" customHeight="1" x14ac:dyDescent="0.3">
      <c r="A466" t="s">
        <v>456</v>
      </c>
      <c r="B466" t="s">
        <v>467</v>
      </c>
      <c r="C466" t="s">
        <v>469</v>
      </c>
      <c r="D466" s="3">
        <v>29</v>
      </c>
      <c r="E466" s="3">
        <v>11</v>
      </c>
      <c r="F466" s="3">
        <v>37</v>
      </c>
      <c r="H466" t="str">
        <f t="shared" si="7"/>
        <v>molaris-29</v>
      </c>
      <c r="I466" s="3">
        <v>110</v>
      </c>
    </row>
    <row r="467" spans="1:9" ht="18.75" customHeight="1" x14ac:dyDescent="0.3">
      <c r="A467" t="s">
        <v>456</v>
      </c>
      <c r="B467" t="s">
        <v>500</v>
      </c>
      <c r="C467" t="s">
        <v>505</v>
      </c>
      <c r="D467" s="3">
        <v>29</v>
      </c>
      <c r="E467" s="3">
        <v>97</v>
      </c>
      <c r="F467" s="3">
        <v>371</v>
      </c>
      <c r="H467" t="str">
        <f t="shared" si="7"/>
        <v>parvifolia-29</v>
      </c>
      <c r="I467" s="3">
        <v>110</v>
      </c>
    </row>
    <row r="468" spans="1:9" ht="18.75" customHeight="1" x14ac:dyDescent="0.3">
      <c r="A468" t="s">
        <v>456</v>
      </c>
      <c r="B468" t="s">
        <v>507</v>
      </c>
      <c r="C468" t="s">
        <v>510</v>
      </c>
      <c r="D468" s="3">
        <v>29</v>
      </c>
      <c r="E468" s="3">
        <v>106</v>
      </c>
      <c r="F468" s="3">
        <v>402</v>
      </c>
      <c r="H468" t="str">
        <f t="shared" si="7"/>
        <v>corymbosa-29</v>
      </c>
      <c r="I468" s="3">
        <v>110</v>
      </c>
    </row>
    <row r="469" spans="1:9" ht="18.75" customHeight="1" x14ac:dyDescent="0.3">
      <c r="A469" t="s">
        <v>536</v>
      </c>
      <c r="B469" t="s">
        <v>551</v>
      </c>
      <c r="C469" t="s">
        <v>552</v>
      </c>
      <c r="D469" s="3">
        <v>30</v>
      </c>
      <c r="E469" s="3">
        <v>59</v>
      </c>
      <c r="F469" s="3">
        <v>210</v>
      </c>
      <c r="H469" t="str">
        <f t="shared" si="7"/>
        <v>cf-excelsa-30</v>
      </c>
      <c r="I469" s="3">
        <v>110</v>
      </c>
    </row>
    <row r="470" spans="1:9" ht="18.75" customHeight="1" x14ac:dyDescent="0.3">
      <c r="A470" t="s">
        <v>536</v>
      </c>
      <c r="B470" t="s">
        <v>573</v>
      </c>
      <c r="C470" t="s">
        <v>117</v>
      </c>
      <c r="D470" s="3">
        <v>30</v>
      </c>
      <c r="E470" s="3">
        <v>142</v>
      </c>
      <c r="F470" s="3">
        <v>627</v>
      </c>
      <c r="H470" t="str">
        <f t="shared" si="7"/>
        <v>rigida-30</v>
      </c>
      <c r="I470" s="3">
        <v>110</v>
      </c>
    </row>
    <row r="471" spans="1:9" ht="18.75" customHeight="1" x14ac:dyDescent="0.3">
      <c r="A471" t="s">
        <v>593</v>
      </c>
      <c r="B471" t="s">
        <v>656</v>
      </c>
      <c r="C471" t="s">
        <v>667</v>
      </c>
      <c r="D471" s="3">
        <v>31</v>
      </c>
      <c r="E471" s="3">
        <v>112</v>
      </c>
      <c r="F471" s="3">
        <v>499</v>
      </c>
      <c r="H471" t="str">
        <f t="shared" si="7"/>
        <v>leucopterium-31</v>
      </c>
      <c r="I471" s="3">
        <v>110</v>
      </c>
    </row>
    <row r="472" spans="1:9" ht="18.75" customHeight="1" x14ac:dyDescent="0.3">
      <c r="A472" t="s">
        <v>593</v>
      </c>
      <c r="B472" t="s">
        <v>656</v>
      </c>
      <c r="C472" t="s">
        <v>668</v>
      </c>
      <c r="D472" s="3">
        <v>31</v>
      </c>
      <c r="E472" s="3">
        <v>112</v>
      </c>
      <c r="F472" s="3">
        <v>500</v>
      </c>
      <c r="H472" t="str">
        <f t="shared" si="7"/>
        <v>lilacinum-31</v>
      </c>
      <c r="I472" s="3">
        <v>110</v>
      </c>
    </row>
    <row r="473" spans="1:9" ht="18.75" customHeight="1" x14ac:dyDescent="0.3">
      <c r="A473" t="s">
        <v>593</v>
      </c>
      <c r="B473" t="s">
        <v>694</v>
      </c>
      <c r="C473" t="s">
        <v>697</v>
      </c>
      <c r="D473" s="3">
        <v>31</v>
      </c>
      <c r="E473" s="3">
        <v>157</v>
      </c>
      <c r="F473" s="3">
        <v>687</v>
      </c>
      <c r="H473" t="str">
        <f t="shared" si="7"/>
        <v>cf-cambodianus-31</v>
      </c>
      <c r="I473" s="3">
        <v>110</v>
      </c>
    </row>
    <row r="474" spans="1:9" ht="18.75" customHeight="1" x14ac:dyDescent="0.3">
      <c r="A474" t="s">
        <v>593</v>
      </c>
      <c r="B474" t="s">
        <v>704</v>
      </c>
      <c r="C474" t="s">
        <v>705</v>
      </c>
      <c r="D474" s="3">
        <v>31</v>
      </c>
      <c r="E474" s="3">
        <v>192</v>
      </c>
      <c r="F474" s="3">
        <v>890</v>
      </c>
      <c r="H474" t="str">
        <f t="shared" si="7"/>
        <v>cf-macrocarpa-31</v>
      </c>
      <c r="I474" s="3">
        <v>110</v>
      </c>
    </row>
    <row r="475" spans="1:9" ht="18.75" customHeight="1" x14ac:dyDescent="0.3">
      <c r="A475" t="s">
        <v>712</v>
      </c>
      <c r="B475" t="s">
        <v>713</v>
      </c>
      <c r="C475" t="s">
        <v>716</v>
      </c>
      <c r="D475" s="3">
        <v>33</v>
      </c>
      <c r="E475" s="3">
        <v>28</v>
      </c>
      <c r="F475" s="3">
        <v>106</v>
      </c>
      <c r="H475" t="str">
        <f t="shared" si="7"/>
        <v>crispa-33</v>
      </c>
      <c r="I475" s="3">
        <v>110</v>
      </c>
    </row>
    <row r="476" spans="1:9" ht="18.75" customHeight="1" x14ac:dyDescent="0.3">
      <c r="A476" t="s">
        <v>712</v>
      </c>
      <c r="B476" t="s">
        <v>713</v>
      </c>
      <c r="C476" t="s">
        <v>718</v>
      </c>
      <c r="D476" s="3">
        <v>33</v>
      </c>
      <c r="E476" s="3">
        <v>28</v>
      </c>
      <c r="F476" s="3">
        <v>108</v>
      </c>
      <c r="H476" t="str">
        <f t="shared" si="7"/>
        <v>intermedia-33</v>
      </c>
      <c r="I476" s="3">
        <v>110</v>
      </c>
    </row>
    <row r="477" spans="1:9" ht="18.75" customHeight="1" x14ac:dyDescent="0.3">
      <c r="A477" t="s">
        <v>725</v>
      </c>
      <c r="B477" t="s">
        <v>741</v>
      </c>
      <c r="C477" t="s">
        <v>742</v>
      </c>
      <c r="D477" s="3">
        <v>35</v>
      </c>
      <c r="E477" s="3">
        <v>175</v>
      </c>
      <c r="F477" s="3">
        <v>751</v>
      </c>
      <c r="H477" t="str">
        <f t="shared" si="7"/>
        <v>cf-macrophylla-35</v>
      </c>
      <c r="I477" s="3">
        <v>110</v>
      </c>
    </row>
    <row r="478" spans="1:9" ht="18.75" customHeight="1" x14ac:dyDescent="0.3">
      <c r="A478" t="s">
        <v>745</v>
      </c>
      <c r="B478" t="s">
        <v>757</v>
      </c>
      <c r="C478" t="s">
        <v>771</v>
      </c>
      <c r="D478" s="3">
        <v>36</v>
      </c>
      <c r="E478" s="3">
        <v>79</v>
      </c>
      <c r="F478" s="3">
        <v>302</v>
      </c>
      <c r="H478" t="str">
        <f t="shared" si="7"/>
        <v>brevifolia-36</v>
      </c>
      <c r="I478" s="3">
        <v>110</v>
      </c>
    </row>
    <row r="479" spans="1:9" ht="18.75" customHeight="1" x14ac:dyDescent="0.3">
      <c r="A479" t="s">
        <v>832</v>
      </c>
      <c r="B479" t="s">
        <v>833</v>
      </c>
      <c r="C479" t="s">
        <v>196</v>
      </c>
      <c r="D479" s="3">
        <v>39</v>
      </c>
      <c r="E479" s="3">
        <v>124</v>
      </c>
      <c r="F479" s="3">
        <v>558</v>
      </c>
      <c r="H479" t="str">
        <f t="shared" si="7"/>
        <v>floribunda-39</v>
      </c>
      <c r="I479" s="3">
        <v>110</v>
      </c>
    </row>
    <row r="480" spans="1:9" ht="18.75" customHeight="1" x14ac:dyDescent="0.3">
      <c r="A480" t="s">
        <v>939</v>
      </c>
      <c r="B480" t="s">
        <v>940</v>
      </c>
      <c r="C480" t="s">
        <v>941</v>
      </c>
      <c r="D480" s="3">
        <v>55</v>
      </c>
      <c r="E480" s="3">
        <v>186</v>
      </c>
      <c r="F480" s="3">
        <v>878</v>
      </c>
      <c r="H480" t="str">
        <f t="shared" si="7"/>
        <v>sinense-55</v>
      </c>
      <c r="I480" s="3">
        <v>110</v>
      </c>
    </row>
    <row r="481" spans="1:9" ht="18.75" customHeight="1" x14ac:dyDescent="0.3">
      <c r="A481" t="s">
        <v>28</v>
      </c>
      <c r="B481" t="s">
        <v>37</v>
      </c>
      <c r="C481" t="s">
        <v>46</v>
      </c>
      <c r="D481" s="3">
        <v>4</v>
      </c>
      <c r="E481" s="3">
        <v>15</v>
      </c>
      <c r="F481" s="3">
        <v>51</v>
      </c>
      <c r="H481" t="str">
        <f t="shared" si="7"/>
        <v>gomesianum-4</v>
      </c>
      <c r="I481" s="3">
        <v>120</v>
      </c>
    </row>
    <row r="482" spans="1:9" ht="18.75" customHeight="1" x14ac:dyDescent="0.3">
      <c r="A482" t="s">
        <v>28</v>
      </c>
      <c r="B482" t="s">
        <v>63</v>
      </c>
      <c r="C482" t="s">
        <v>65</v>
      </c>
      <c r="D482" s="3">
        <v>4</v>
      </c>
      <c r="E482" s="3">
        <v>65</v>
      </c>
      <c r="F482" s="3">
        <v>222</v>
      </c>
      <c r="H482" t="str">
        <f t="shared" si="7"/>
        <v>lowii-4</v>
      </c>
      <c r="I482" s="3">
        <v>120</v>
      </c>
    </row>
    <row r="483" spans="1:9" ht="18.75" customHeight="1" x14ac:dyDescent="0.3">
      <c r="A483" t="s">
        <v>75</v>
      </c>
      <c r="B483" t="s">
        <v>82</v>
      </c>
      <c r="C483" t="s">
        <v>89</v>
      </c>
      <c r="D483" s="3">
        <v>7</v>
      </c>
      <c r="E483" s="3">
        <v>178</v>
      </c>
      <c r="F483" s="3">
        <v>766</v>
      </c>
      <c r="H483" t="str">
        <f t="shared" si="7"/>
        <v>capitata-7</v>
      </c>
      <c r="I483" s="3">
        <v>120</v>
      </c>
    </row>
    <row r="484" spans="1:9" ht="18.75" customHeight="1" x14ac:dyDescent="0.3">
      <c r="A484" t="s">
        <v>75</v>
      </c>
      <c r="B484" t="s">
        <v>82</v>
      </c>
      <c r="C484" t="s">
        <v>90</v>
      </c>
      <c r="D484" s="3">
        <v>7</v>
      </c>
      <c r="E484" s="3">
        <v>178</v>
      </c>
      <c r="F484" s="3">
        <v>767</v>
      </c>
      <c r="H484" t="str">
        <f t="shared" si="7"/>
        <v>cf-catinga-7</v>
      </c>
      <c r="I484" s="3">
        <v>120</v>
      </c>
    </row>
    <row r="485" spans="1:9" ht="18.75" customHeight="1" x14ac:dyDescent="0.3">
      <c r="A485" t="s">
        <v>75</v>
      </c>
      <c r="B485" t="s">
        <v>82</v>
      </c>
      <c r="C485" t="s">
        <v>94</v>
      </c>
      <c r="D485" s="3">
        <v>7</v>
      </c>
      <c r="E485" s="3">
        <v>178</v>
      </c>
      <c r="F485" s="3">
        <v>771</v>
      </c>
      <c r="H485" t="str">
        <f t="shared" si="7"/>
        <v>cf-rufescens-7</v>
      </c>
      <c r="I485" s="3">
        <v>120</v>
      </c>
    </row>
    <row r="486" spans="1:9" ht="18.75" customHeight="1" x14ac:dyDescent="0.3">
      <c r="A486" s="9" t="s">
        <v>127</v>
      </c>
      <c r="B486" s="9" t="s">
        <v>132</v>
      </c>
      <c r="C486" s="9" t="s">
        <v>133</v>
      </c>
      <c r="D486" s="3">
        <v>9</v>
      </c>
      <c r="E486" s="3">
        <v>155</v>
      </c>
      <c r="F486" s="3">
        <v>681</v>
      </c>
      <c r="H486" t="str">
        <f t="shared" si="7"/>
        <v>ellipticum-9</v>
      </c>
      <c r="I486" s="3">
        <v>120</v>
      </c>
    </row>
    <row r="487" spans="1:9" ht="18.75" customHeight="1" x14ac:dyDescent="0.3">
      <c r="A487" s="9" t="s">
        <v>171</v>
      </c>
      <c r="B487" s="9" t="s">
        <v>172</v>
      </c>
      <c r="C487" s="9" t="s">
        <v>176</v>
      </c>
      <c r="D487" s="3">
        <v>15</v>
      </c>
      <c r="E487" s="3">
        <v>91</v>
      </c>
      <c r="F487" s="3">
        <v>348</v>
      </c>
      <c r="H487" t="str">
        <f t="shared" si="7"/>
        <v>egensis-15</v>
      </c>
      <c r="I487" s="3">
        <v>120</v>
      </c>
    </row>
    <row r="488" spans="1:9" ht="18.75" customHeight="1" x14ac:dyDescent="0.3">
      <c r="A488" t="s">
        <v>239</v>
      </c>
      <c r="B488" t="s">
        <v>245</v>
      </c>
      <c r="C488" t="s">
        <v>251</v>
      </c>
      <c r="D488" s="3">
        <v>17</v>
      </c>
      <c r="E488" s="3">
        <v>185</v>
      </c>
      <c r="F488" s="3">
        <v>818</v>
      </c>
      <c r="H488" t="str">
        <f t="shared" si="7"/>
        <v>australis-17</v>
      </c>
      <c r="I488" s="3">
        <v>120</v>
      </c>
    </row>
    <row r="489" spans="1:9" ht="18.75" customHeight="1" x14ac:dyDescent="0.3">
      <c r="A489" t="s">
        <v>239</v>
      </c>
      <c r="B489" t="s">
        <v>245</v>
      </c>
      <c r="C489" t="s">
        <v>261</v>
      </c>
      <c r="D489" s="3">
        <v>17</v>
      </c>
      <c r="E489" s="3">
        <v>185</v>
      </c>
      <c r="F489" s="3">
        <v>828</v>
      </c>
      <c r="H489" t="str">
        <f t="shared" si="7"/>
        <v>chocharronia-17</v>
      </c>
      <c r="I489" s="3">
        <v>120</v>
      </c>
    </row>
    <row r="490" spans="1:9" ht="18.75" customHeight="1" x14ac:dyDescent="0.3">
      <c r="A490" t="s">
        <v>239</v>
      </c>
      <c r="B490" t="s">
        <v>245</v>
      </c>
      <c r="C490" t="s">
        <v>292</v>
      </c>
      <c r="D490" s="3">
        <v>17</v>
      </c>
      <c r="E490" s="3">
        <v>185</v>
      </c>
      <c r="F490" s="3">
        <v>861</v>
      </c>
      <c r="H490" t="str">
        <f t="shared" si="7"/>
        <v>pyrifoli-17</v>
      </c>
      <c r="I490" s="3">
        <v>120</v>
      </c>
    </row>
    <row r="491" spans="1:9" ht="18.75" customHeight="1" x14ac:dyDescent="0.3">
      <c r="A491" t="s">
        <v>308</v>
      </c>
      <c r="B491" t="s">
        <v>313</v>
      </c>
      <c r="C491" t="s">
        <v>314</v>
      </c>
      <c r="D491" s="3">
        <v>18</v>
      </c>
      <c r="E491" s="3">
        <v>139</v>
      </c>
      <c r="F491" s="3">
        <v>622</v>
      </c>
      <c r="H491" t="str">
        <f t="shared" si="7"/>
        <v>uviferum-18</v>
      </c>
      <c r="I491" s="3">
        <v>120</v>
      </c>
    </row>
    <row r="492" spans="1:9" ht="18.75" customHeight="1" x14ac:dyDescent="0.3">
      <c r="A492" t="s">
        <v>321</v>
      </c>
      <c r="B492" t="s">
        <v>322</v>
      </c>
      <c r="C492" t="s">
        <v>327</v>
      </c>
      <c r="D492" s="3">
        <v>21</v>
      </c>
      <c r="E492" s="3">
        <v>173</v>
      </c>
      <c r="F492" s="3">
        <v>739</v>
      </c>
      <c r="H492" t="str">
        <f t="shared" si="7"/>
        <v>pseudodentata-21</v>
      </c>
      <c r="I492" s="3">
        <v>120</v>
      </c>
    </row>
    <row r="493" spans="1:9" ht="18.75" customHeight="1" x14ac:dyDescent="0.3">
      <c r="A493" t="s">
        <v>354</v>
      </c>
      <c r="B493" t="s">
        <v>360</v>
      </c>
      <c r="C493" t="s">
        <v>362</v>
      </c>
      <c r="D493" s="3">
        <v>25</v>
      </c>
      <c r="E493" s="3">
        <v>128</v>
      </c>
      <c r="F493" s="3">
        <v>595</v>
      </c>
      <c r="H493" t="str">
        <f t="shared" si="7"/>
        <v>pterocarpa-25</v>
      </c>
      <c r="I493" s="3">
        <v>120</v>
      </c>
    </row>
    <row r="494" spans="1:9" ht="18.75" customHeight="1" x14ac:dyDescent="0.3">
      <c r="A494" t="s">
        <v>363</v>
      </c>
      <c r="B494" t="s">
        <v>379</v>
      </c>
      <c r="C494" t="s">
        <v>383</v>
      </c>
      <c r="D494" s="3">
        <v>26</v>
      </c>
      <c r="E494" s="3">
        <v>123</v>
      </c>
      <c r="F494" s="3">
        <v>540</v>
      </c>
      <c r="H494" t="str">
        <f t="shared" si="7"/>
        <v>curpidata-26</v>
      </c>
      <c r="I494" s="3">
        <v>120</v>
      </c>
    </row>
    <row r="495" spans="1:9" ht="18.75" customHeight="1" x14ac:dyDescent="0.3">
      <c r="A495" t="s">
        <v>363</v>
      </c>
      <c r="B495" t="s">
        <v>379</v>
      </c>
      <c r="C495" t="s">
        <v>385</v>
      </c>
      <c r="D495" s="3">
        <v>26</v>
      </c>
      <c r="E495" s="3">
        <v>123</v>
      </c>
      <c r="F495" s="3">
        <v>543</v>
      </c>
      <c r="H495" t="str">
        <f t="shared" si="7"/>
        <v>laevis-26</v>
      </c>
      <c r="I495" s="3">
        <v>120</v>
      </c>
    </row>
    <row r="496" spans="1:9" ht="18.75" customHeight="1" x14ac:dyDescent="0.3">
      <c r="A496" t="s">
        <v>363</v>
      </c>
      <c r="B496" t="s">
        <v>390</v>
      </c>
      <c r="C496" t="s">
        <v>392</v>
      </c>
      <c r="D496" s="3">
        <v>26</v>
      </c>
      <c r="E496" s="3">
        <v>126</v>
      </c>
      <c r="F496" s="3">
        <v>569</v>
      </c>
      <c r="H496" t="str">
        <f t="shared" si="7"/>
        <v>barcellensis-26</v>
      </c>
      <c r="I496" s="3">
        <v>120</v>
      </c>
    </row>
    <row r="497" spans="1:9" ht="18.75" customHeight="1" x14ac:dyDescent="0.3">
      <c r="A497" t="s">
        <v>363</v>
      </c>
      <c r="B497" t="s">
        <v>390</v>
      </c>
      <c r="C497" t="s">
        <v>395</v>
      </c>
      <c r="D497" s="3">
        <v>26</v>
      </c>
      <c r="E497" s="3">
        <v>126</v>
      </c>
      <c r="F497" s="3">
        <v>573</v>
      </c>
      <c r="H497" t="str">
        <f t="shared" si="7"/>
        <v>dissimilis-26</v>
      </c>
      <c r="I497" s="3">
        <v>120</v>
      </c>
    </row>
    <row r="498" spans="1:9" ht="18.75" customHeight="1" x14ac:dyDescent="0.3">
      <c r="A498" t="s">
        <v>416</v>
      </c>
      <c r="B498" t="s">
        <v>424</v>
      </c>
      <c r="C498" t="s">
        <v>426</v>
      </c>
      <c r="D498" s="3">
        <v>27</v>
      </c>
      <c r="E498" s="3">
        <v>50</v>
      </c>
      <c r="F498" s="3">
        <v>183</v>
      </c>
      <c r="H498" t="str">
        <f t="shared" si="7"/>
        <v>surinamensis-27</v>
      </c>
      <c r="I498" s="3">
        <v>120</v>
      </c>
    </row>
    <row r="499" spans="1:9" ht="18.75" customHeight="1" x14ac:dyDescent="0.3">
      <c r="A499" t="s">
        <v>456</v>
      </c>
      <c r="B499" t="s">
        <v>457</v>
      </c>
      <c r="C499" t="s">
        <v>460</v>
      </c>
      <c r="D499" s="3">
        <v>29</v>
      </c>
      <c r="E499" s="3">
        <v>2</v>
      </c>
      <c r="F499" s="3">
        <v>8</v>
      </c>
      <c r="H499" t="str">
        <f t="shared" si="7"/>
        <v>bracteata-29</v>
      </c>
      <c r="I499" s="3">
        <v>120</v>
      </c>
    </row>
    <row r="500" spans="1:9" ht="18.75" customHeight="1" x14ac:dyDescent="0.3">
      <c r="A500" t="s">
        <v>456</v>
      </c>
      <c r="B500" t="s">
        <v>500</v>
      </c>
      <c r="C500" t="s">
        <v>210</v>
      </c>
      <c r="D500" s="3">
        <v>29</v>
      </c>
      <c r="E500" s="3">
        <v>97</v>
      </c>
      <c r="F500" s="3">
        <v>369</v>
      </c>
      <c r="H500" t="str">
        <f t="shared" si="7"/>
        <v>oblongifolia-29</v>
      </c>
      <c r="I500" s="3">
        <v>120</v>
      </c>
    </row>
    <row r="501" spans="1:9" ht="18.75" customHeight="1" x14ac:dyDescent="0.3">
      <c r="A501" t="s">
        <v>536</v>
      </c>
      <c r="B501" t="s">
        <v>549</v>
      </c>
      <c r="C501" t="s">
        <v>550</v>
      </c>
      <c r="D501" s="3">
        <v>30</v>
      </c>
      <c r="E501" s="3">
        <v>46</v>
      </c>
      <c r="F501" s="3">
        <v>164</v>
      </c>
      <c r="H501" t="str">
        <f t="shared" si="7"/>
        <v>cf-arborea-30</v>
      </c>
      <c r="I501" s="3">
        <v>120</v>
      </c>
    </row>
    <row r="502" spans="1:9" ht="18.75" customHeight="1" x14ac:dyDescent="0.3">
      <c r="A502" t="s">
        <v>536</v>
      </c>
      <c r="B502" t="s">
        <v>577</v>
      </c>
      <c r="C502" t="s">
        <v>579</v>
      </c>
      <c r="D502" s="3">
        <v>30</v>
      </c>
      <c r="E502" s="3">
        <v>145</v>
      </c>
      <c r="F502" s="3">
        <v>632</v>
      </c>
      <c r="H502" t="str">
        <f t="shared" si="7"/>
        <v>flava-30</v>
      </c>
      <c r="I502" s="3">
        <v>120</v>
      </c>
    </row>
    <row r="503" spans="1:9" ht="18.75" customHeight="1" x14ac:dyDescent="0.3">
      <c r="A503" t="s">
        <v>593</v>
      </c>
      <c r="B503" t="s">
        <v>626</v>
      </c>
      <c r="C503" t="s">
        <v>635</v>
      </c>
      <c r="D503" s="3">
        <v>31</v>
      </c>
      <c r="E503" s="3">
        <v>109</v>
      </c>
      <c r="F503" s="3">
        <v>466</v>
      </c>
      <c r="H503" t="str">
        <f t="shared" si="7"/>
        <v>cf-margaritensis-31</v>
      </c>
      <c r="I503" s="3">
        <v>120</v>
      </c>
    </row>
    <row r="504" spans="1:9" ht="18.75" customHeight="1" x14ac:dyDescent="0.3">
      <c r="A504" t="s">
        <v>593</v>
      </c>
      <c r="B504" t="s">
        <v>656</v>
      </c>
      <c r="C504" t="s">
        <v>60</v>
      </c>
      <c r="D504" s="3">
        <v>31</v>
      </c>
      <c r="E504" s="3">
        <v>112</v>
      </c>
      <c r="F504" s="3">
        <v>505</v>
      </c>
      <c r="H504" t="str">
        <f t="shared" si="7"/>
        <v>sp-31</v>
      </c>
      <c r="I504" s="3">
        <v>120</v>
      </c>
    </row>
    <row r="505" spans="1:9" ht="18.75" customHeight="1" x14ac:dyDescent="0.3">
      <c r="A505" t="s">
        <v>593</v>
      </c>
      <c r="B505" t="s">
        <v>693</v>
      </c>
      <c r="C505" t="s">
        <v>214</v>
      </c>
      <c r="D505" s="3">
        <v>31</v>
      </c>
      <c r="E505" s="3">
        <v>151</v>
      </c>
      <c r="F505" s="3">
        <v>647</v>
      </c>
      <c r="H505" t="str">
        <f t="shared" si="7"/>
        <v>parviflora-31</v>
      </c>
      <c r="I505" s="3">
        <v>120</v>
      </c>
    </row>
    <row r="506" spans="1:9" ht="18.75" customHeight="1" x14ac:dyDescent="0.3">
      <c r="A506" t="s">
        <v>712</v>
      </c>
      <c r="B506" t="s">
        <v>713</v>
      </c>
      <c r="C506" t="s">
        <v>721</v>
      </c>
      <c r="D506" s="3">
        <v>33</v>
      </c>
      <c r="E506" s="3">
        <v>28</v>
      </c>
      <c r="F506" s="3">
        <v>112</v>
      </c>
      <c r="H506" t="str">
        <f t="shared" si="7"/>
        <v>spicata-33</v>
      </c>
      <c r="I506" s="3">
        <v>120</v>
      </c>
    </row>
    <row r="507" spans="1:9" ht="18.75" customHeight="1" x14ac:dyDescent="0.3">
      <c r="A507" t="s">
        <v>722</v>
      </c>
      <c r="B507" t="s">
        <v>723</v>
      </c>
      <c r="C507" t="s">
        <v>724</v>
      </c>
      <c r="D507" s="3">
        <v>34</v>
      </c>
      <c r="E507" s="3">
        <v>120</v>
      </c>
      <c r="F507" s="3">
        <v>532</v>
      </c>
      <c r="H507" t="str">
        <f t="shared" si="7"/>
        <v>chamissoana-34</v>
      </c>
      <c r="I507" s="3">
        <v>120</v>
      </c>
    </row>
    <row r="508" spans="1:9" ht="18.75" customHeight="1" x14ac:dyDescent="0.3">
      <c r="A508" t="s">
        <v>745</v>
      </c>
      <c r="B508" t="s">
        <v>748</v>
      </c>
      <c r="C508" t="s">
        <v>751</v>
      </c>
      <c r="D508" s="3">
        <v>36</v>
      </c>
      <c r="E508" s="3">
        <v>24</v>
      </c>
      <c r="F508" s="3">
        <v>87</v>
      </c>
      <c r="H508" t="str">
        <f t="shared" si="7"/>
        <v>lactescens-36</v>
      </c>
      <c r="I508" s="3">
        <v>120</v>
      </c>
    </row>
    <row r="509" spans="1:9" ht="18.75" customHeight="1" x14ac:dyDescent="0.3">
      <c r="A509" t="s">
        <v>875</v>
      </c>
      <c r="B509" t="s">
        <v>896</v>
      </c>
      <c r="C509" t="s">
        <v>906</v>
      </c>
      <c r="D509" s="3">
        <v>50</v>
      </c>
      <c r="E509" s="3">
        <v>152</v>
      </c>
      <c r="F509" s="3">
        <v>659</v>
      </c>
      <c r="H509" t="str">
        <f t="shared" si="7"/>
        <v>hispida-50</v>
      </c>
      <c r="I509" s="3">
        <v>120</v>
      </c>
    </row>
    <row r="510" spans="1:9" ht="18.75" customHeight="1" x14ac:dyDescent="0.3">
      <c r="A510" t="s">
        <v>875</v>
      </c>
      <c r="B510" t="s">
        <v>896</v>
      </c>
      <c r="C510" t="s">
        <v>911</v>
      </c>
      <c r="D510" s="3">
        <v>50</v>
      </c>
      <c r="E510" s="3">
        <v>152</v>
      </c>
      <c r="F510" s="3">
        <v>667</v>
      </c>
      <c r="H510" t="str">
        <f t="shared" si="7"/>
        <v>plicata-50</v>
      </c>
      <c r="I510" s="3">
        <v>120</v>
      </c>
    </row>
    <row r="511" spans="1:9" ht="18.75" customHeight="1" x14ac:dyDescent="0.3">
      <c r="A511" t="s">
        <v>931</v>
      </c>
      <c r="B511" t="s">
        <v>932</v>
      </c>
      <c r="C511" t="s">
        <v>935</v>
      </c>
      <c r="D511" s="3">
        <v>53</v>
      </c>
      <c r="E511" s="3">
        <v>160</v>
      </c>
      <c r="F511" s="3">
        <v>698</v>
      </c>
      <c r="H511" t="str">
        <f t="shared" si="7"/>
        <v>horsfieldii-53</v>
      </c>
      <c r="I511" s="3">
        <v>120</v>
      </c>
    </row>
    <row r="512" spans="1:9" ht="18.75" customHeight="1" x14ac:dyDescent="0.3">
      <c r="A512" t="s">
        <v>75</v>
      </c>
      <c r="B512" t="s">
        <v>82</v>
      </c>
      <c r="C512" t="s">
        <v>106</v>
      </c>
      <c r="D512" s="3">
        <v>7</v>
      </c>
      <c r="E512" s="3">
        <v>178</v>
      </c>
      <c r="F512" s="3">
        <v>783</v>
      </c>
      <c r="H512" t="str">
        <f t="shared" si="7"/>
        <v>incana-7</v>
      </c>
      <c r="I512" s="3">
        <v>130</v>
      </c>
    </row>
    <row r="513" spans="1:9" ht="18.75" customHeight="1" x14ac:dyDescent="0.3">
      <c r="A513" t="s">
        <v>171</v>
      </c>
      <c r="B513" t="s">
        <v>172</v>
      </c>
      <c r="C513" t="s">
        <v>182</v>
      </c>
      <c r="D513" s="3">
        <v>15</v>
      </c>
      <c r="E513" s="3">
        <v>91</v>
      </c>
      <c r="F513" s="3">
        <v>354</v>
      </c>
      <c r="H513" t="str">
        <f t="shared" si="7"/>
        <v>hispidula-15</v>
      </c>
      <c r="I513" s="3">
        <v>130</v>
      </c>
    </row>
    <row r="514" spans="1:9" ht="18.75" customHeight="1" x14ac:dyDescent="0.3">
      <c r="A514" t="s">
        <v>171</v>
      </c>
      <c r="B514" t="s">
        <v>188</v>
      </c>
      <c r="C514" t="s">
        <v>206</v>
      </c>
      <c r="D514" s="3">
        <v>15</v>
      </c>
      <c r="E514" s="3">
        <v>107</v>
      </c>
      <c r="F514" s="3">
        <v>430</v>
      </c>
      <c r="H514" t="str">
        <f t="shared" si="7"/>
        <v>micrantha-15</v>
      </c>
      <c r="I514" s="3">
        <v>130</v>
      </c>
    </row>
    <row r="515" spans="1:9" ht="18.75" customHeight="1" x14ac:dyDescent="0.3">
      <c r="A515" t="s">
        <v>171</v>
      </c>
      <c r="B515" t="s">
        <v>188</v>
      </c>
      <c r="C515" t="s">
        <v>208</v>
      </c>
      <c r="D515" s="3">
        <v>15</v>
      </c>
      <c r="E515" s="3">
        <v>107</v>
      </c>
      <c r="F515" s="3">
        <v>432</v>
      </c>
      <c r="H515" t="str">
        <f t="shared" ref="H515:H578" si="8">_xlfn.CONCAT(C515,"-",D515)</f>
        <v>mollis-15</v>
      </c>
      <c r="I515" s="3">
        <v>130</v>
      </c>
    </row>
    <row r="516" spans="1:9" ht="18.75" customHeight="1" x14ac:dyDescent="0.3">
      <c r="A516" t="s">
        <v>239</v>
      </c>
      <c r="B516" t="s">
        <v>245</v>
      </c>
      <c r="C516" t="s">
        <v>232</v>
      </c>
      <c r="D516" s="3">
        <v>17</v>
      </c>
      <c r="E516" s="3">
        <v>185</v>
      </c>
      <c r="F516" s="3">
        <v>811</v>
      </c>
      <c r="H516" t="str">
        <f t="shared" si="8"/>
        <v>acuminata-17</v>
      </c>
      <c r="I516" s="3">
        <v>130</v>
      </c>
    </row>
    <row r="517" spans="1:9" ht="18.75" customHeight="1" x14ac:dyDescent="0.3">
      <c r="A517" t="s">
        <v>239</v>
      </c>
      <c r="B517" t="s">
        <v>245</v>
      </c>
      <c r="C517" t="s">
        <v>255</v>
      </c>
      <c r="D517" s="3">
        <v>17</v>
      </c>
      <c r="E517" s="3">
        <v>185</v>
      </c>
      <c r="F517" s="3">
        <v>822</v>
      </c>
      <c r="H517" t="str">
        <f t="shared" si="8"/>
        <v>bialata-17</v>
      </c>
      <c r="I517" s="3">
        <v>130</v>
      </c>
    </row>
    <row r="518" spans="1:9" ht="18.75" customHeight="1" x14ac:dyDescent="0.3">
      <c r="A518" t="s">
        <v>317</v>
      </c>
      <c r="B518" t="s">
        <v>318</v>
      </c>
      <c r="C518" t="s">
        <v>320</v>
      </c>
      <c r="D518" s="3">
        <v>20</v>
      </c>
      <c r="E518" s="3">
        <v>60</v>
      </c>
      <c r="F518" s="3">
        <v>213</v>
      </c>
      <c r="H518" t="str">
        <f t="shared" si="8"/>
        <v>mespiliformis-20</v>
      </c>
      <c r="I518" s="3">
        <v>130</v>
      </c>
    </row>
    <row r="519" spans="1:9" ht="18.75" customHeight="1" x14ac:dyDescent="0.3">
      <c r="A519" t="s">
        <v>354</v>
      </c>
      <c r="B519" t="s">
        <v>355</v>
      </c>
      <c r="C519" t="s">
        <v>357</v>
      </c>
      <c r="D519" s="3">
        <v>25</v>
      </c>
      <c r="E519" s="3">
        <v>102</v>
      </c>
      <c r="F519" s="3">
        <v>382</v>
      </c>
      <c r="H519" t="str">
        <f t="shared" si="8"/>
        <v>cordiformis-25</v>
      </c>
      <c r="I519" s="3">
        <v>130</v>
      </c>
    </row>
    <row r="520" spans="1:9" ht="18.75" customHeight="1" x14ac:dyDescent="0.3">
      <c r="A520" t="s">
        <v>363</v>
      </c>
      <c r="B520" t="s">
        <v>390</v>
      </c>
      <c r="C520" t="s">
        <v>236</v>
      </c>
      <c r="D520" s="3">
        <v>26</v>
      </c>
      <c r="E520" s="3">
        <v>126</v>
      </c>
      <c r="F520" s="3">
        <v>580</v>
      </c>
      <c r="H520" t="str">
        <f t="shared" si="8"/>
        <v>longifolia-26</v>
      </c>
      <c r="I520" s="3">
        <v>130</v>
      </c>
    </row>
    <row r="521" spans="1:9" ht="18.75" customHeight="1" x14ac:dyDescent="0.3">
      <c r="A521" t="s">
        <v>363</v>
      </c>
      <c r="B521" t="s">
        <v>390</v>
      </c>
      <c r="C521" t="s">
        <v>114</v>
      </c>
      <c r="D521" s="3">
        <v>26</v>
      </c>
      <c r="E521" s="3">
        <v>126</v>
      </c>
      <c r="F521" s="3">
        <v>585</v>
      </c>
      <c r="H521" t="str">
        <f t="shared" si="8"/>
        <v>pallida-26</v>
      </c>
      <c r="I521" s="3">
        <v>130</v>
      </c>
    </row>
    <row r="522" spans="1:9" ht="18.75" customHeight="1" x14ac:dyDescent="0.3">
      <c r="A522" t="s">
        <v>416</v>
      </c>
      <c r="B522" t="s">
        <v>421</v>
      </c>
      <c r="C522" t="s">
        <v>21</v>
      </c>
      <c r="D522" s="3">
        <v>27</v>
      </c>
      <c r="E522" s="3">
        <v>49</v>
      </c>
      <c r="F522" s="3">
        <v>177</v>
      </c>
      <c r="H522" t="str">
        <f t="shared" si="8"/>
        <v>guianensis-27</v>
      </c>
      <c r="I522" s="3">
        <v>130</v>
      </c>
    </row>
    <row r="523" spans="1:9" ht="18.75" customHeight="1" x14ac:dyDescent="0.3">
      <c r="A523" t="s">
        <v>416</v>
      </c>
      <c r="B523" t="s">
        <v>427</v>
      </c>
      <c r="C523" t="s">
        <v>435</v>
      </c>
      <c r="D523" s="3">
        <v>27</v>
      </c>
      <c r="E523" s="3">
        <v>73</v>
      </c>
      <c r="F523" s="3">
        <v>244</v>
      </c>
      <c r="H523" t="str">
        <f t="shared" si="8"/>
        <v>iquitesensis-27</v>
      </c>
      <c r="I523" s="3">
        <v>130</v>
      </c>
    </row>
    <row r="524" spans="1:9" ht="18.75" customHeight="1" x14ac:dyDescent="0.3">
      <c r="A524" t="s">
        <v>456</v>
      </c>
      <c r="B524" t="s">
        <v>457</v>
      </c>
      <c r="C524" t="s">
        <v>462</v>
      </c>
      <c r="D524" s="3">
        <v>29</v>
      </c>
      <c r="E524" s="3">
        <v>2</v>
      </c>
      <c r="F524" s="3">
        <v>10</v>
      </c>
      <c r="H524" t="str">
        <f t="shared" si="8"/>
        <v>cuanzensis-29</v>
      </c>
      <c r="I524" s="3">
        <v>130</v>
      </c>
    </row>
    <row r="525" spans="1:9" ht="18.75" customHeight="1" x14ac:dyDescent="0.3">
      <c r="A525" t="s">
        <v>456</v>
      </c>
      <c r="B525" t="s">
        <v>470</v>
      </c>
      <c r="C525" t="s">
        <v>471</v>
      </c>
      <c r="D525" s="3">
        <v>29</v>
      </c>
      <c r="E525" s="3">
        <v>13</v>
      </c>
      <c r="F525" s="3">
        <v>40</v>
      </c>
      <c r="H525" t="str">
        <f t="shared" si="8"/>
        <v>psilophylla-29</v>
      </c>
      <c r="I525" s="3">
        <v>130</v>
      </c>
    </row>
    <row r="526" spans="1:9" ht="18.75" customHeight="1" x14ac:dyDescent="0.3">
      <c r="A526" t="s">
        <v>456</v>
      </c>
      <c r="B526" t="s">
        <v>483</v>
      </c>
      <c r="C526" t="s">
        <v>329</v>
      </c>
      <c r="D526" s="3">
        <v>29</v>
      </c>
      <c r="E526" s="3">
        <v>47</v>
      </c>
      <c r="F526" s="3">
        <v>170</v>
      </c>
      <c r="H526" t="str">
        <f t="shared" si="8"/>
        <v>reticulata-29</v>
      </c>
      <c r="I526" s="3">
        <v>130</v>
      </c>
    </row>
    <row r="527" spans="1:9" ht="18.75" customHeight="1" x14ac:dyDescent="0.3">
      <c r="A527" t="s">
        <v>536</v>
      </c>
      <c r="B527" t="s">
        <v>563</v>
      </c>
      <c r="C527" t="s">
        <v>565</v>
      </c>
      <c r="D527" s="3">
        <v>30</v>
      </c>
      <c r="E527" s="3">
        <v>131</v>
      </c>
      <c r="F527" s="3">
        <v>601</v>
      </c>
      <c r="H527" t="str">
        <f t="shared" si="8"/>
        <v>decussata-30</v>
      </c>
      <c r="I527" s="3">
        <v>130</v>
      </c>
    </row>
    <row r="528" spans="1:9" ht="18.75" customHeight="1" x14ac:dyDescent="0.3">
      <c r="A528" t="s">
        <v>536</v>
      </c>
      <c r="B528" t="s">
        <v>573</v>
      </c>
      <c r="C528" t="s">
        <v>574</v>
      </c>
      <c r="D528" s="3">
        <v>30</v>
      </c>
      <c r="E528" s="3">
        <v>142</v>
      </c>
      <c r="F528" s="3">
        <v>628</v>
      </c>
      <c r="H528" t="str">
        <f t="shared" si="8"/>
        <v>tocantina-30</v>
      </c>
      <c r="I528" s="3">
        <v>130</v>
      </c>
    </row>
    <row r="529" spans="1:9" ht="18.75" customHeight="1" x14ac:dyDescent="0.3">
      <c r="A529" t="s">
        <v>593</v>
      </c>
      <c r="B529" t="s">
        <v>656</v>
      </c>
      <c r="C529" t="s">
        <v>671</v>
      </c>
      <c r="D529" s="3">
        <v>31</v>
      </c>
      <c r="E529" s="3">
        <v>112</v>
      </c>
      <c r="F529" s="3">
        <v>503</v>
      </c>
      <c r="H529" t="str">
        <f t="shared" si="8"/>
        <v>robiniifolium-31</v>
      </c>
      <c r="I529" s="3">
        <v>130</v>
      </c>
    </row>
    <row r="530" spans="1:9" ht="18.75" customHeight="1" x14ac:dyDescent="0.3">
      <c r="A530" t="s">
        <v>593</v>
      </c>
      <c r="B530" t="s">
        <v>688</v>
      </c>
      <c r="C530" t="s">
        <v>690</v>
      </c>
      <c r="D530" s="3">
        <v>31</v>
      </c>
      <c r="E530" s="3">
        <v>148</v>
      </c>
      <c r="F530" s="3">
        <v>638</v>
      </c>
      <c r="H530" t="str">
        <f t="shared" si="8"/>
        <v>duckei-31</v>
      </c>
      <c r="I530" s="3">
        <v>130</v>
      </c>
    </row>
    <row r="531" spans="1:9" ht="18.75" customHeight="1" x14ac:dyDescent="0.3">
      <c r="A531" t="s">
        <v>725</v>
      </c>
      <c r="B531" t="s">
        <v>728</v>
      </c>
      <c r="C531" t="s">
        <v>326</v>
      </c>
      <c r="D531" s="3">
        <v>35</v>
      </c>
      <c r="E531" s="3">
        <v>34</v>
      </c>
      <c r="F531" s="3">
        <v>126</v>
      </c>
      <c r="H531" t="str">
        <f t="shared" si="8"/>
        <v>grandiflora-35</v>
      </c>
      <c r="I531" s="3">
        <v>130</v>
      </c>
    </row>
    <row r="532" spans="1:9" ht="18.75" customHeight="1" x14ac:dyDescent="0.3">
      <c r="A532" t="s">
        <v>843</v>
      </c>
      <c r="B532" t="s">
        <v>844</v>
      </c>
      <c r="C532" t="s">
        <v>505</v>
      </c>
      <c r="D532" s="3">
        <v>40</v>
      </c>
      <c r="E532" s="3">
        <v>118</v>
      </c>
      <c r="F532" s="3">
        <v>528</v>
      </c>
      <c r="H532" t="str">
        <f t="shared" si="8"/>
        <v>parvifolia-40</v>
      </c>
      <c r="I532" s="3">
        <v>130</v>
      </c>
    </row>
    <row r="533" spans="1:9" ht="18.75" customHeight="1" x14ac:dyDescent="0.3">
      <c r="A533" t="s">
        <v>875</v>
      </c>
      <c r="B533" t="s">
        <v>893</v>
      </c>
      <c r="C533" t="s">
        <v>176</v>
      </c>
      <c r="D533" s="3">
        <v>50</v>
      </c>
      <c r="E533" s="3">
        <v>116</v>
      </c>
      <c r="F533" s="3">
        <v>520</v>
      </c>
      <c r="H533" t="str">
        <f t="shared" si="8"/>
        <v>egensis-50</v>
      </c>
      <c r="I533" s="3">
        <v>130</v>
      </c>
    </row>
    <row r="534" spans="1:9" ht="18.75" customHeight="1" x14ac:dyDescent="0.3">
      <c r="A534" t="s">
        <v>950</v>
      </c>
      <c r="B534" t="s">
        <v>953</v>
      </c>
      <c r="C534" t="s">
        <v>836</v>
      </c>
      <c r="D534" s="3">
        <v>57</v>
      </c>
      <c r="E534" s="3">
        <v>111</v>
      </c>
      <c r="F534" s="3">
        <v>487</v>
      </c>
      <c r="H534" t="str">
        <f t="shared" si="8"/>
        <v>divaricata-57</v>
      </c>
      <c r="I534" s="3">
        <v>130</v>
      </c>
    </row>
    <row r="535" spans="1:9" ht="18.75" customHeight="1" x14ac:dyDescent="0.3">
      <c r="A535" t="s">
        <v>75</v>
      </c>
      <c r="B535" t="s">
        <v>82</v>
      </c>
      <c r="C535" t="s">
        <v>107</v>
      </c>
      <c r="D535" s="3">
        <v>7</v>
      </c>
      <c r="E535" s="3">
        <v>178</v>
      </c>
      <c r="F535" s="3">
        <v>784</v>
      </c>
      <c r="H535" t="str">
        <f t="shared" si="8"/>
        <v>insignis-7</v>
      </c>
      <c r="I535" s="3">
        <v>140</v>
      </c>
    </row>
    <row r="536" spans="1:9" ht="18.75" customHeight="1" x14ac:dyDescent="0.3">
      <c r="A536" t="s">
        <v>158</v>
      </c>
      <c r="B536" t="s">
        <v>159</v>
      </c>
      <c r="C536" t="s">
        <v>167</v>
      </c>
      <c r="D536" s="3">
        <v>13</v>
      </c>
      <c r="E536" s="3">
        <v>38</v>
      </c>
      <c r="F536" s="3">
        <v>146</v>
      </c>
      <c r="H536" t="str">
        <f t="shared" si="8"/>
        <v>tessmannii-13</v>
      </c>
      <c r="I536" s="3">
        <v>140</v>
      </c>
    </row>
    <row r="537" spans="1:9" ht="18.75" customHeight="1" x14ac:dyDescent="0.3">
      <c r="A537" t="s">
        <v>222</v>
      </c>
      <c r="B537" t="s">
        <v>231</v>
      </c>
      <c r="C537" t="s">
        <v>235</v>
      </c>
      <c r="D537" s="3">
        <v>16</v>
      </c>
      <c r="E537" s="3">
        <v>163</v>
      </c>
      <c r="F537" s="3">
        <v>707</v>
      </c>
      <c r="H537" t="str">
        <f t="shared" si="8"/>
        <v>gardneriana-16</v>
      </c>
      <c r="I537" s="3">
        <v>140</v>
      </c>
    </row>
    <row r="538" spans="1:9" ht="18.75" customHeight="1" x14ac:dyDescent="0.3">
      <c r="A538" t="s">
        <v>239</v>
      </c>
      <c r="B538" t="s">
        <v>245</v>
      </c>
      <c r="C538" t="s">
        <v>304</v>
      </c>
      <c r="D538" s="3">
        <v>17</v>
      </c>
      <c r="E538" s="3">
        <v>185</v>
      </c>
      <c r="F538" s="3">
        <v>874</v>
      </c>
      <c r="H538" t="str">
        <f t="shared" si="8"/>
        <v>tanibouca-17</v>
      </c>
      <c r="I538" s="3">
        <v>140</v>
      </c>
    </row>
    <row r="539" spans="1:9" ht="18.75" customHeight="1" x14ac:dyDescent="0.3">
      <c r="A539" t="s">
        <v>239</v>
      </c>
      <c r="B539" t="s">
        <v>245</v>
      </c>
      <c r="C539" t="s">
        <v>307</v>
      </c>
      <c r="D539" s="3">
        <v>17</v>
      </c>
      <c r="E539" s="3">
        <v>185</v>
      </c>
      <c r="F539" s="3">
        <v>877</v>
      </c>
      <c r="H539" t="str">
        <f t="shared" si="8"/>
        <v>velutina-17</v>
      </c>
      <c r="I539" s="3">
        <v>140</v>
      </c>
    </row>
    <row r="540" spans="1:9" ht="18.75" customHeight="1" x14ac:dyDescent="0.3">
      <c r="A540" t="s">
        <v>321</v>
      </c>
      <c r="B540" t="s">
        <v>322</v>
      </c>
      <c r="C540" t="s">
        <v>330</v>
      </c>
      <c r="D540" s="3">
        <v>21</v>
      </c>
      <c r="E540" s="3">
        <v>173</v>
      </c>
      <c r="F540" s="3">
        <v>743</v>
      </c>
      <c r="H540" t="str">
        <f t="shared" si="8"/>
        <v>spathulata-21</v>
      </c>
      <c r="I540" s="3">
        <v>140</v>
      </c>
    </row>
    <row r="541" spans="1:9" ht="18.75" customHeight="1" x14ac:dyDescent="0.3">
      <c r="A541" t="s">
        <v>354</v>
      </c>
      <c r="B541" t="s">
        <v>360</v>
      </c>
      <c r="C541" t="s">
        <v>361</v>
      </c>
      <c r="D541" s="3">
        <v>25</v>
      </c>
      <c r="E541" s="3">
        <v>128</v>
      </c>
      <c r="F541" s="3">
        <v>594</v>
      </c>
      <c r="H541" t="str">
        <f t="shared" si="8"/>
        <v>mexicana-25</v>
      </c>
      <c r="I541" s="3">
        <v>140</v>
      </c>
    </row>
    <row r="542" spans="1:9" ht="18.75" customHeight="1" x14ac:dyDescent="0.3">
      <c r="A542" t="s">
        <v>363</v>
      </c>
      <c r="B542" t="s">
        <v>366</v>
      </c>
      <c r="C542" t="s">
        <v>367</v>
      </c>
      <c r="D542" s="3">
        <v>26</v>
      </c>
      <c r="E542" s="3">
        <v>108</v>
      </c>
      <c r="F542" s="3">
        <v>449</v>
      </c>
      <c r="H542" t="str">
        <f t="shared" si="8"/>
        <v>amara-26</v>
      </c>
      <c r="I542" s="3">
        <v>140</v>
      </c>
    </row>
    <row r="543" spans="1:9" ht="18.75" customHeight="1" x14ac:dyDescent="0.3">
      <c r="A543" t="s">
        <v>363</v>
      </c>
      <c r="B543" t="s">
        <v>390</v>
      </c>
      <c r="C543" t="s">
        <v>391</v>
      </c>
      <c r="D543" s="3">
        <v>26</v>
      </c>
      <c r="E543" s="3">
        <v>126</v>
      </c>
      <c r="F543" s="3">
        <v>568</v>
      </c>
      <c r="H543" t="str">
        <f t="shared" si="8"/>
        <v>aciphylla-26</v>
      </c>
      <c r="I543" s="3">
        <v>140</v>
      </c>
    </row>
    <row r="544" spans="1:9" ht="18.75" customHeight="1" x14ac:dyDescent="0.3">
      <c r="A544" t="s">
        <v>416</v>
      </c>
      <c r="B544" t="s">
        <v>427</v>
      </c>
      <c r="C544" t="s">
        <v>438</v>
      </c>
      <c r="D544" s="3">
        <v>27</v>
      </c>
      <c r="E544" s="3">
        <v>73</v>
      </c>
      <c r="F544" s="3">
        <v>249</v>
      </c>
      <c r="H544" t="str">
        <f t="shared" si="8"/>
        <v>obtecta-27</v>
      </c>
      <c r="I544" s="3">
        <v>140</v>
      </c>
    </row>
    <row r="545" spans="1:9" ht="18.75" customHeight="1" x14ac:dyDescent="0.3">
      <c r="A545" t="s">
        <v>456</v>
      </c>
      <c r="B545" t="s">
        <v>519</v>
      </c>
      <c r="C545" t="s">
        <v>213</v>
      </c>
      <c r="D545" s="3">
        <v>29</v>
      </c>
      <c r="E545" s="3">
        <v>119</v>
      </c>
      <c r="F545" s="3">
        <v>530</v>
      </c>
      <c r="H545" t="str">
        <f t="shared" si="8"/>
        <v>paraensis-29</v>
      </c>
      <c r="I545" s="3">
        <v>140</v>
      </c>
    </row>
    <row r="546" spans="1:9" ht="18.75" customHeight="1" x14ac:dyDescent="0.3">
      <c r="A546" t="s">
        <v>536</v>
      </c>
      <c r="B546" t="s">
        <v>563</v>
      </c>
      <c r="C546" t="s">
        <v>568</v>
      </c>
      <c r="D546" s="3">
        <v>30</v>
      </c>
      <c r="E546" s="3">
        <v>131</v>
      </c>
      <c r="F546" s="3">
        <v>606</v>
      </c>
      <c r="H546" t="str">
        <f t="shared" si="8"/>
        <v>oppositifolia-30</v>
      </c>
      <c r="I546" s="3">
        <v>140</v>
      </c>
    </row>
    <row r="547" spans="1:9" ht="18.75" customHeight="1" x14ac:dyDescent="0.3">
      <c r="A547" t="s">
        <v>536</v>
      </c>
      <c r="B547" t="s">
        <v>563</v>
      </c>
      <c r="C547" t="s">
        <v>18</v>
      </c>
      <c r="D547" s="3">
        <v>30</v>
      </c>
      <c r="E547" s="3">
        <v>131</v>
      </c>
      <c r="F547" s="3">
        <v>609</v>
      </c>
      <c r="H547" t="str">
        <f t="shared" si="8"/>
        <v>ulei-30</v>
      </c>
      <c r="I547" s="3">
        <v>140</v>
      </c>
    </row>
    <row r="548" spans="1:9" ht="18.75" customHeight="1" x14ac:dyDescent="0.3">
      <c r="A548" t="s">
        <v>593</v>
      </c>
      <c r="B548" t="s">
        <v>601</v>
      </c>
      <c r="C548" t="s">
        <v>608</v>
      </c>
      <c r="D548" s="3">
        <v>31</v>
      </c>
      <c r="E548" s="3">
        <v>54</v>
      </c>
      <c r="F548" s="3">
        <v>194</v>
      </c>
      <c r="H548" t="str">
        <f t="shared" si="8"/>
        <v>melanoxylon-31</v>
      </c>
      <c r="I548" s="3">
        <v>140</v>
      </c>
    </row>
    <row r="549" spans="1:9" ht="18.75" customHeight="1" x14ac:dyDescent="0.3">
      <c r="A549" t="s">
        <v>593</v>
      </c>
      <c r="B549" t="s">
        <v>626</v>
      </c>
      <c r="C549" t="s">
        <v>633</v>
      </c>
      <c r="D549" s="3">
        <v>31</v>
      </c>
      <c r="E549" s="3">
        <v>109</v>
      </c>
      <c r="F549" s="3">
        <v>464</v>
      </c>
      <c r="H549" t="str">
        <f t="shared" si="8"/>
        <v>castilloi-31</v>
      </c>
      <c r="I549" s="3">
        <v>140</v>
      </c>
    </row>
    <row r="550" spans="1:9" ht="18.75" customHeight="1" x14ac:dyDescent="0.3">
      <c r="A550" t="s">
        <v>593</v>
      </c>
      <c r="B550" t="s">
        <v>656</v>
      </c>
      <c r="C550" t="s">
        <v>670</v>
      </c>
      <c r="D550" s="3">
        <v>31</v>
      </c>
      <c r="E550" s="3">
        <v>112</v>
      </c>
      <c r="F550" s="3">
        <v>502</v>
      </c>
      <c r="H550" t="str">
        <f t="shared" si="8"/>
        <v>moritzianum-31</v>
      </c>
      <c r="I550" s="3">
        <v>140</v>
      </c>
    </row>
    <row r="551" spans="1:9" ht="18.75" customHeight="1" x14ac:dyDescent="0.3">
      <c r="A551" t="s">
        <v>593</v>
      </c>
      <c r="B551" t="s">
        <v>656</v>
      </c>
      <c r="C551" t="s">
        <v>674</v>
      </c>
      <c r="D551" s="3">
        <v>31</v>
      </c>
      <c r="E551" s="3">
        <v>112</v>
      </c>
      <c r="F551" s="3">
        <v>508</v>
      </c>
      <c r="H551" t="str">
        <f t="shared" si="8"/>
        <v>violaceum-31</v>
      </c>
      <c r="I551" s="3">
        <v>140</v>
      </c>
    </row>
    <row r="552" spans="1:9" ht="18.75" customHeight="1" x14ac:dyDescent="0.3">
      <c r="A552" t="s">
        <v>593</v>
      </c>
      <c r="B552" t="s">
        <v>704</v>
      </c>
      <c r="C552" t="s">
        <v>706</v>
      </c>
      <c r="D552" s="3">
        <v>31</v>
      </c>
      <c r="E552" s="3">
        <v>192</v>
      </c>
      <c r="F552" s="3">
        <v>891</v>
      </c>
      <c r="H552" t="str">
        <f t="shared" si="8"/>
        <v>fusca-31</v>
      </c>
      <c r="I552" s="3">
        <v>140</v>
      </c>
    </row>
    <row r="553" spans="1:9" ht="18.75" customHeight="1" x14ac:dyDescent="0.3">
      <c r="A553" t="s">
        <v>864</v>
      </c>
      <c r="B553" t="s">
        <v>867</v>
      </c>
      <c r="C553" t="s">
        <v>468</v>
      </c>
      <c r="D553" s="3">
        <v>47</v>
      </c>
      <c r="E553" s="3">
        <v>74</v>
      </c>
      <c r="F553" s="3">
        <v>259</v>
      </c>
      <c r="H553" t="str">
        <f t="shared" si="8"/>
        <v>leiocarpa-47</v>
      </c>
      <c r="I553" s="3">
        <v>140</v>
      </c>
    </row>
    <row r="554" spans="1:9" ht="18.75" customHeight="1" x14ac:dyDescent="0.3">
      <c r="A554" t="s">
        <v>875</v>
      </c>
      <c r="B554" t="s">
        <v>884</v>
      </c>
      <c r="C554" t="s">
        <v>60</v>
      </c>
      <c r="D554" s="3">
        <v>50</v>
      </c>
      <c r="E554" s="3">
        <v>81</v>
      </c>
      <c r="F554" s="3">
        <v>326</v>
      </c>
      <c r="H554" t="str">
        <f t="shared" si="8"/>
        <v>sp-50</v>
      </c>
      <c r="I554" s="3">
        <v>140</v>
      </c>
    </row>
    <row r="555" spans="1:9" ht="18.75" customHeight="1" x14ac:dyDescent="0.3">
      <c r="A555" t="s">
        <v>875</v>
      </c>
      <c r="B555" t="s">
        <v>893</v>
      </c>
      <c r="C555" t="s">
        <v>895</v>
      </c>
      <c r="D555" s="3">
        <v>50</v>
      </c>
      <c r="E555" s="3">
        <v>116</v>
      </c>
      <c r="F555" s="3">
        <v>523</v>
      </c>
      <c r="H555" t="str">
        <f t="shared" si="8"/>
        <v>venulosa-50</v>
      </c>
      <c r="I555" s="3">
        <v>140</v>
      </c>
    </row>
    <row r="556" spans="1:9" ht="18.75" customHeight="1" x14ac:dyDescent="0.3">
      <c r="A556" t="s">
        <v>875</v>
      </c>
      <c r="B556" t="s">
        <v>896</v>
      </c>
      <c r="C556" t="s">
        <v>917</v>
      </c>
      <c r="D556" s="3">
        <v>50</v>
      </c>
      <c r="E556" s="3">
        <v>152</v>
      </c>
      <c r="F556" s="3">
        <v>678</v>
      </c>
      <c r="H556" t="str">
        <f t="shared" si="8"/>
        <v>vestita-50</v>
      </c>
      <c r="I556" s="3">
        <v>140</v>
      </c>
    </row>
    <row r="557" spans="1:9" ht="18.75" customHeight="1" x14ac:dyDescent="0.3">
      <c r="A557" t="s">
        <v>28</v>
      </c>
      <c r="B557" t="s">
        <v>37</v>
      </c>
      <c r="C557" t="s">
        <v>58</v>
      </c>
      <c r="D557" s="3">
        <v>4</v>
      </c>
      <c r="E557" s="3">
        <v>15</v>
      </c>
      <c r="F557" s="3">
        <v>64</v>
      </c>
      <c r="H557" t="str">
        <f t="shared" si="8"/>
        <v>rigidum-4</v>
      </c>
      <c r="I557" s="3">
        <v>150</v>
      </c>
    </row>
    <row r="558" spans="1:9" ht="18.75" customHeight="1" x14ac:dyDescent="0.3">
      <c r="A558" t="s">
        <v>75</v>
      </c>
      <c r="B558" t="s">
        <v>82</v>
      </c>
      <c r="C558" t="s">
        <v>123</v>
      </c>
      <c r="D558" s="3">
        <v>7</v>
      </c>
      <c r="E558" s="3">
        <v>178</v>
      </c>
      <c r="F558" s="3">
        <v>800</v>
      </c>
      <c r="H558" t="str">
        <f t="shared" si="8"/>
        <v>stenocalyx-7</v>
      </c>
      <c r="I558" s="3">
        <v>150</v>
      </c>
    </row>
    <row r="559" spans="1:9" ht="18.75" customHeight="1" x14ac:dyDescent="0.3">
      <c r="A559" t="s">
        <v>134</v>
      </c>
      <c r="B559" t="s">
        <v>135</v>
      </c>
      <c r="C559" t="s">
        <v>137</v>
      </c>
      <c r="D559" s="3">
        <v>10</v>
      </c>
      <c r="E559" s="3">
        <v>48</v>
      </c>
      <c r="F559" s="3">
        <v>172</v>
      </c>
      <c r="H559" t="str">
        <f t="shared" si="8"/>
        <v>bicolor-10</v>
      </c>
      <c r="I559" s="3">
        <v>150</v>
      </c>
    </row>
    <row r="560" spans="1:9" ht="18.75" customHeight="1" x14ac:dyDescent="0.3">
      <c r="A560" t="s">
        <v>171</v>
      </c>
      <c r="B560" t="s">
        <v>188</v>
      </c>
      <c r="C560" t="s">
        <v>114</v>
      </c>
      <c r="D560" s="3">
        <v>15</v>
      </c>
      <c r="E560" s="3">
        <v>107</v>
      </c>
      <c r="F560" s="3">
        <v>437</v>
      </c>
      <c r="H560" t="str">
        <f t="shared" si="8"/>
        <v>pallida-15</v>
      </c>
      <c r="I560" s="3">
        <v>150</v>
      </c>
    </row>
    <row r="561" spans="1:9" ht="18.75" customHeight="1" x14ac:dyDescent="0.3">
      <c r="A561" t="s">
        <v>239</v>
      </c>
      <c r="B561" t="s">
        <v>245</v>
      </c>
      <c r="C561" t="s">
        <v>262</v>
      </c>
      <c r="D561" s="3">
        <v>17</v>
      </c>
      <c r="E561" s="3">
        <v>185</v>
      </c>
      <c r="F561" s="3">
        <v>829</v>
      </c>
      <c r="H561" t="str">
        <f t="shared" si="8"/>
        <v>citrina-17</v>
      </c>
      <c r="I561" s="3">
        <v>150</v>
      </c>
    </row>
    <row r="562" spans="1:9" ht="18.75" customHeight="1" x14ac:dyDescent="0.3">
      <c r="A562" t="s">
        <v>239</v>
      </c>
      <c r="B562" t="s">
        <v>245</v>
      </c>
      <c r="C562" t="s">
        <v>264</v>
      </c>
      <c r="D562" s="3">
        <v>17</v>
      </c>
      <c r="E562" s="3">
        <v>185</v>
      </c>
      <c r="F562" s="3">
        <v>831</v>
      </c>
      <c r="H562" t="str">
        <f t="shared" si="8"/>
        <v>copelandii-17</v>
      </c>
      <c r="I562" s="3">
        <v>150</v>
      </c>
    </row>
    <row r="563" spans="1:9" ht="18.75" customHeight="1" x14ac:dyDescent="0.3">
      <c r="A563" t="s">
        <v>239</v>
      </c>
      <c r="B563" t="s">
        <v>245</v>
      </c>
      <c r="C563" t="s">
        <v>278</v>
      </c>
      <c r="D563" s="3">
        <v>17</v>
      </c>
      <c r="E563" s="3">
        <v>185</v>
      </c>
      <c r="F563" s="3">
        <v>846</v>
      </c>
      <c r="H563" t="str">
        <f t="shared" si="8"/>
        <v>manii-17</v>
      </c>
      <c r="I563" s="3">
        <v>150</v>
      </c>
    </row>
    <row r="564" spans="1:9" ht="18.75" customHeight="1" x14ac:dyDescent="0.3">
      <c r="A564" t="s">
        <v>347</v>
      </c>
      <c r="B564" t="s">
        <v>350</v>
      </c>
      <c r="C564" t="s">
        <v>352</v>
      </c>
      <c r="D564" s="3">
        <v>24</v>
      </c>
      <c r="E564" s="3">
        <v>191</v>
      </c>
      <c r="F564" s="3">
        <v>886</v>
      </c>
      <c r="H564" t="str">
        <f t="shared" si="8"/>
        <v>cupularis-24</v>
      </c>
      <c r="I564" s="3">
        <v>150</v>
      </c>
    </row>
    <row r="565" spans="1:9" ht="18.75" customHeight="1" x14ac:dyDescent="0.3">
      <c r="A565" t="s">
        <v>363</v>
      </c>
      <c r="B565" t="s">
        <v>379</v>
      </c>
      <c r="C565" t="s">
        <v>217</v>
      </c>
      <c r="D565" s="3">
        <v>26</v>
      </c>
      <c r="E565" s="3">
        <v>123</v>
      </c>
      <c r="F565" s="3">
        <v>550</v>
      </c>
      <c r="H565" t="str">
        <f t="shared" si="8"/>
        <v>robusta-26</v>
      </c>
      <c r="I565" s="3">
        <v>150</v>
      </c>
    </row>
    <row r="566" spans="1:9" ht="18.75" customHeight="1" x14ac:dyDescent="0.3">
      <c r="A566" t="s">
        <v>416</v>
      </c>
      <c r="B566" t="s">
        <v>450</v>
      </c>
      <c r="C566" t="s">
        <v>213</v>
      </c>
      <c r="D566" s="3">
        <v>27</v>
      </c>
      <c r="E566" s="3">
        <v>105</v>
      </c>
      <c r="F566" s="3">
        <v>397</v>
      </c>
      <c r="H566" t="str">
        <f t="shared" si="8"/>
        <v>paraensis-27</v>
      </c>
      <c r="I566" s="3">
        <v>150</v>
      </c>
    </row>
    <row r="567" spans="1:9" ht="18.75" customHeight="1" x14ac:dyDescent="0.3">
      <c r="A567" t="s">
        <v>536</v>
      </c>
      <c r="B567" t="s">
        <v>587</v>
      </c>
      <c r="C567" t="s">
        <v>590</v>
      </c>
      <c r="D567" s="3">
        <v>30</v>
      </c>
      <c r="E567" s="3">
        <v>174</v>
      </c>
      <c r="F567" s="3">
        <v>746</v>
      </c>
      <c r="H567" t="str">
        <f t="shared" si="8"/>
        <v>microstachyum-30</v>
      </c>
      <c r="I567" s="3">
        <v>150</v>
      </c>
    </row>
    <row r="568" spans="1:9" ht="18.75" customHeight="1" x14ac:dyDescent="0.3">
      <c r="A568" t="s">
        <v>593</v>
      </c>
      <c r="B568" t="s">
        <v>601</v>
      </c>
      <c r="C568" t="s">
        <v>615</v>
      </c>
      <c r="D568" s="3">
        <v>31</v>
      </c>
      <c r="E568" s="3">
        <v>54</v>
      </c>
      <c r="F568" s="3">
        <v>202</v>
      </c>
      <c r="H568" t="str">
        <f t="shared" si="8"/>
        <v>tucurensis-31</v>
      </c>
      <c r="I568" s="3">
        <v>150</v>
      </c>
    </row>
    <row r="569" spans="1:9" ht="18.75" customHeight="1" x14ac:dyDescent="0.3">
      <c r="A569" t="s">
        <v>593</v>
      </c>
      <c r="B569" t="s">
        <v>621</v>
      </c>
      <c r="C569" t="s">
        <v>625</v>
      </c>
      <c r="D569" s="3">
        <v>31</v>
      </c>
      <c r="E569" s="3">
        <v>98</v>
      </c>
      <c r="F569" s="3">
        <v>377</v>
      </c>
      <c r="H569" t="str">
        <f t="shared" si="8"/>
        <v>petraeum-31</v>
      </c>
      <c r="I569" s="3">
        <v>150</v>
      </c>
    </row>
    <row r="570" spans="1:9" ht="18.75" customHeight="1" x14ac:dyDescent="0.3">
      <c r="A570" t="s">
        <v>593</v>
      </c>
      <c r="B570" t="s">
        <v>656</v>
      </c>
      <c r="C570" t="s">
        <v>672</v>
      </c>
      <c r="D570" s="3">
        <v>31</v>
      </c>
      <c r="E570" s="3">
        <v>112</v>
      </c>
      <c r="F570" s="3">
        <v>504</v>
      </c>
      <c r="H570" t="str">
        <f t="shared" si="8"/>
        <v>scleroxylon-31</v>
      </c>
      <c r="I570" s="3">
        <v>150</v>
      </c>
    </row>
    <row r="571" spans="1:9" ht="18.75" customHeight="1" x14ac:dyDescent="0.3">
      <c r="A571" t="s">
        <v>593</v>
      </c>
      <c r="B571" t="s">
        <v>683</v>
      </c>
      <c r="C571" t="s">
        <v>687</v>
      </c>
      <c r="D571" s="3">
        <v>31</v>
      </c>
      <c r="E571" s="3">
        <v>136</v>
      </c>
      <c r="F571" s="3">
        <v>619</v>
      </c>
      <c r="H571" t="str">
        <f t="shared" si="8"/>
        <v>mooniana-31</v>
      </c>
      <c r="I571" s="3">
        <v>150</v>
      </c>
    </row>
    <row r="572" spans="1:9" ht="18.75" customHeight="1" x14ac:dyDescent="0.3">
      <c r="A572" t="s">
        <v>712</v>
      </c>
      <c r="B572" t="s">
        <v>713</v>
      </c>
      <c r="C572" t="s">
        <v>720</v>
      </c>
      <c r="D572" s="3">
        <v>33</v>
      </c>
      <c r="E572" s="3">
        <v>28</v>
      </c>
      <c r="F572" s="3">
        <v>110</v>
      </c>
      <c r="H572" t="str">
        <f t="shared" si="8"/>
        <v>poeppigiana-33</v>
      </c>
      <c r="I572" s="3">
        <v>150</v>
      </c>
    </row>
    <row r="573" spans="1:9" ht="18.75" customHeight="1" x14ac:dyDescent="0.3">
      <c r="A573" t="s">
        <v>725</v>
      </c>
      <c r="B573" t="s">
        <v>728</v>
      </c>
      <c r="C573" t="s">
        <v>290</v>
      </c>
      <c r="D573" s="3">
        <v>35</v>
      </c>
      <c r="E573" s="3">
        <v>34</v>
      </c>
      <c r="F573" s="3">
        <v>128</v>
      </c>
      <c r="H573" t="str">
        <f t="shared" si="8"/>
        <v>procera-35</v>
      </c>
      <c r="I573" s="3">
        <v>150</v>
      </c>
    </row>
    <row r="574" spans="1:9" ht="18.75" customHeight="1" x14ac:dyDescent="0.3">
      <c r="A574" t="s">
        <v>808</v>
      </c>
      <c r="B574" t="s">
        <v>810</v>
      </c>
      <c r="C574" t="s">
        <v>99</v>
      </c>
      <c r="D574" s="3">
        <v>38</v>
      </c>
      <c r="E574" s="3">
        <v>76</v>
      </c>
      <c r="F574" s="3">
        <v>269</v>
      </c>
      <c r="H574" t="str">
        <f t="shared" si="8"/>
        <v>flavescens-38</v>
      </c>
      <c r="I574" s="3">
        <v>150</v>
      </c>
    </row>
    <row r="575" spans="1:9" ht="18.75" customHeight="1" x14ac:dyDescent="0.3">
      <c r="A575" t="s">
        <v>875</v>
      </c>
      <c r="B575" t="s">
        <v>896</v>
      </c>
      <c r="C575" t="s">
        <v>891</v>
      </c>
      <c r="D575" s="3">
        <v>50</v>
      </c>
      <c r="E575" s="3">
        <v>152</v>
      </c>
      <c r="F575" s="3">
        <v>672</v>
      </c>
      <c r="H575" t="str">
        <f t="shared" si="8"/>
        <v>solimoesensis-50</v>
      </c>
      <c r="I575" s="3">
        <v>150</v>
      </c>
    </row>
    <row r="576" spans="1:9" ht="18.75" customHeight="1" x14ac:dyDescent="0.3">
      <c r="A576" t="s">
        <v>875</v>
      </c>
      <c r="B576" t="s">
        <v>896</v>
      </c>
      <c r="C576" t="s">
        <v>914</v>
      </c>
      <c r="D576" s="3">
        <v>50</v>
      </c>
      <c r="E576" s="3">
        <v>152</v>
      </c>
      <c r="F576" s="3">
        <v>675</v>
      </c>
      <c r="H576" t="str">
        <f t="shared" si="8"/>
        <v>torta-50</v>
      </c>
      <c r="I576" s="3">
        <v>150</v>
      </c>
    </row>
    <row r="577" spans="1:9" ht="18.75" customHeight="1" x14ac:dyDescent="0.3">
      <c r="A577" t="s">
        <v>931</v>
      </c>
      <c r="B577" t="s">
        <v>932</v>
      </c>
      <c r="C577" t="s">
        <v>179</v>
      </c>
      <c r="D577" s="3">
        <v>53</v>
      </c>
      <c r="E577" s="3">
        <v>160</v>
      </c>
      <c r="F577" s="3">
        <v>696</v>
      </c>
      <c r="H577" t="str">
        <f t="shared" si="8"/>
        <v>excelsa-53</v>
      </c>
      <c r="I577" s="3">
        <v>150</v>
      </c>
    </row>
    <row r="578" spans="1:9" ht="18.75" customHeight="1" x14ac:dyDescent="0.3">
      <c r="A578" t="s">
        <v>171</v>
      </c>
      <c r="B578" t="s">
        <v>172</v>
      </c>
      <c r="C578" t="s">
        <v>179</v>
      </c>
      <c r="D578" s="3">
        <v>15</v>
      </c>
      <c r="E578" s="3">
        <v>91</v>
      </c>
      <c r="F578" s="3">
        <v>351</v>
      </c>
      <c r="H578" t="str">
        <f t="shared" si="8"/>
        <v>excelsa-15</v>
      </c>
      <c r="I578" s="3">
        <v>160</v>
      </c>
    </row>
    <row r="579" spans="1:9" ht="18.75" customHeight="1" x14ac:dyDescent="0.3">
      <c r="A579" t="s">
        <v>171</v>
      </c>
      <c r="B579" t="s">
        <v>172</v>
      </c>
      <c r="C579" t="s">
        <v>184</v>
      </c>
      <c r="D579" s="3">
        <v>15</v>
      </c>
      <c r="E579" s="3">
        <v>91</v>
      </c>
      <c r="F579" s="3">
        <v>356</v>
      </c>
      <c r="H579" t="str">
        <f t="shared" ref="H579:H642" si="9">_xlfn.CONCAT(C579,"-",D579)</f>
        <v>racemosa-15</v>
      </c>
      <c r="I579" s="3">
        <v>160</v>
      </c>
    </row>
    <row r="580" spans="1:9" ht="18.75" customHeight="1" x14ac:dyDescent="0.3">
      <c r="A580" t="s">
        <v>222</v>
      </c>
      <c r="B580" t="s">
        <v>231</v>
      </c>
      <c r="C580" t="s">
        <v>234</v>
      </c>
      <c r="D580" s="3">
        <v>16</v>
      </c>
      <c r="E580" s="3">
        <v>163</v>
      </c>
      <c r="F580" s="3">
        <v>706</v>
      </c>
      <c r="H580" t="str">
        <f t="shared" si="9"/>
        <v>brasiliensis-16</v>
      </c>
      <c r="I580" s="3">
        <v>160</v>
      </c>
    </row>
    <row r="581" spans="1:9" ht="18.75" customHeight="1" x14ac:dyDescent="0.3">
      <c r="A581" t="s">
        <v>239</v>
      </c>
      <c r="B581" t="s">
        <v>245</v>
      </c>
      <c r="C581" t="s">
        <v>281</v>
      </c>
      <c r="D581" s="3">
        <v>17</v>
      </c>
      <c r="E581" s="3">
        <v>185</v>
      </c>
      <c r="F581" s="3">
        <v>850</v>
      </c>
      <c r="H581" t="str">
        <f t="shared" si="9"/>
        <v>myrlocarpa-17</v>
      </c>
      <c r="I581" s="3">
        <v>160</v>
      </c>
    </row>
    <row r="582" spans="1:9" ht="18.75" customHeight="1" x14ac:dyDescent="0.3">
      <c r="A582" t="s">
        <v>363</v>
      </c>
      <c r="B582" t="s">
        <v>374</v>
      </c>
      <c r="C582" t="s">
        <v>376</v>
      </c>
      <c r="D582" s="3">
        <v>26</v>
      </c>
      <c r="E582" s="3">
        <v>115</v>
      </c>
      <c r="F582" s="3">
        <v>517</v>
      </c>
      <c r="H582" t="str">
        <f t="shared" si="9"/>
        <v>itauba-26</v>
      </c>
      <c r="I582" s="3">
        <v>160</v>
      </c>
    </row>
    <row r="583" spans="1:9" ht="18.75" customHeight="1" x14ac:dyDescent="0.3">
      <c r="A583" t="s">
        <v>416</v>
      </c>
      <c r="B583" t="s">
        <v>427</v>
      </c>
      <c r="C583" t="s">
        <v>439</v>
      </c>
      <c r="D583" s="3">
        <v>27</v>
      </c>
      <c r="E583" s="3">
        <v>73</v>
      </c>
      <c r="F583" s="3">
        <v>250</v>
      </c>
      <c r="H583" t="str">
        <f t="shared" si="9"/>
        <v>obversa-27</v>
      </c>
      <c r="I583" s="3">
        <v>160</v>
      </c>
    </row>
    <row r="584" spans="1:9" ht="18.75" customHeight="1" x14ac:dyDescent="0.3">
      <c r="A584" t="s">
        <v>416</v>
      </c>
      <c r="B584" t="s">
        <v>427</v>
      </c>
      <c r="C584" t="s">
        <v>446</v>
      </c>
      <c r="D584" s="3">
        <v>27</v>
      </c>
      <c r="E584" s="3">
        <v>73</v>
      </c>
      <c r="F584" s="3">
        <v>258</v>
      </c>
      <c r="H584" t="str">
        <f t="shared" si="9"/>
        <v>truncata-27</v>
      </c>
      <c r="I584" s="3">
        <v>160</v>
      </c>
    </row>
    <row r="585" spans="1:9" ht="18.75" customHeight="1" x14ac:dyDescent="0.3">
      <c r="A585" t="s">
        <v>456</v>
      </c>
      <c r="B585" t="s">
        <v>489</v>
      </c>
      <c r="C585" t="s">
        <v>491</v>
      </c>
      <c r="D585" s="3">
        <v>29</v>
      </c>
      <c r="E585" s="3">
        <v>55</v>
      </c>
      <c r="F585" s="3">
        <v>204</v>
      </c>
      <c r="H585" t="str">
        <f t="shared" si="9"/>
        <v>guineense-29</v>
      </c>
      <c r="I585" s="3">
        <v>160</v>
      </c>
    </row>
    <row r="586" spans="1:9" ht="18.75" customHeight="1" x14ac:dyDescent="0.3">
      <c r="A586" t="s">
        <v>536</v>
      </c>
      <c r="B586" t="s">
        <v>563</v>
      </c>
      <c r="C586" t="s">
        <v>386</v>
      </c>
      <c r="D586" s="3">
        <v>30</v>
      </c>
      <c r="E586" s="3">
        <v>131</v>
      </c>
      <c r="F586" s="3">
        <v>605</v>
      </c>
      <c r="H586" t="str">
        <f t="shared" si="9"/>
        <v>nitida-30</v>
      </c>
      <c r="I586" s="3">
        <v>160</v>
      </c>
    </row>
    <row r="587" spans="1:9" ht="18.75" customHeight="1" x14ac:dyDescent="0.3">
      <c r="A587" t="s">
        <v>745</v>
      </c>
      <c r="B587" t="s">
        <v>757</v>
      </c>
      <c r="C587" t="s">
        <v>759</v>
      </c>
      <c r="D587" s="3">
        <v>36</v>
      </c>
      <c r="E587" s="3">
        <v>79</v>
      </c>
      <c r="F587" s="3">
        <v>287</v>
      </c>
      <c r="H587" t="str">
        <f t="shared" si="9"/>
        <v>albert-smithii-36</v>
      </c>
      <c r="I587" s="3">
        <v>160</v>
      </c>
    </row>
    <row r="588" spans="1:9" ht="18.75" customHeight="1" x14ac:dyDescent="0.3">
      <c r="A588" t="s">
        <v>745</v>
      </c>
      <c r="B588" t="s">
        <v>757</v>
      </c>
      <c r="C588" t="s">
        <v>761</v>
      </c>
      <c r="D588" s="3">
        <v>36</v>
      </c>
      <c r="E588" s="3">
        <v>79</v>
      </c>
      <c r="F588" s="3">
        <v>291</v>
      </c>
      <c r="H588" t="str">
        <f t="shared" si="9"/>
        <v>annulata-36</v>
      </c>
      <c r="I588" s="3">
        <v>160</v>
      </c>
    </row>
    <row r="589" spans="1:9" ht="18.75" customHeight="1" x14ac:dyDescent="0.3">
      <c r="A589" t="s">
        <v>745</v>
      </c>
      <c r="B589" t="s">
        <v>757</v>
      </c>
      <c r="C589" t="s">
        <v>770</v>
      </c>
      <c r="D589" s="3">
        <v>36</v>
      </c>
      <c r="E589" s="3">
        <v>79</v>
      </c>
      <c r="F589" s="3">
        <v>301</v>
      </c>
      <c r="H589" t="str">
        <f t="shared" si="9"/>
        <v>bougainvillei-36</v>
      </c>
      <c r="I589" s="3">
        <v>160</v>
      </c>
    </row>
    <row r="590" spans="1:9" ht="18.75" customHeight="1" x14ac:dyDescent="0.3">
      <c r="A590" t="s">
        <v>808</v>
      </c>
      <c r="B590" t="s">
        <v>810</v>
      </c>
      <c r="C590" t="s">
        <v>823</v>
      </c>
      <c r="D590" s="3">
        <v>38</v>
      </c>
      <c r="E590" s="3">
        <v>76</v>
      </c>
      <c r="F590" s="3">
        <v>276</v>
      </c>
      <c r="H590" t="str">
        <f t="shared" si="9"/>
        <v>pseudopsidium-38</v>
      </c>
      <c r="I590" s="3">
        <v>160</v>
      </c>
    </row>
    <row r="591" spans="1:9" ht="18.75" customHeight="1" x14ac:dyDescent="0.3">
      <c r="A591" t="s">
        <v>875</v>
      </c>
      <c r="B591" t="s">
        <v>920</v>
      </c>
      <c r="C591" t="s">
        <v>921</v>
      </c>
      <c r="D591" s="3">
        <v>50</v>
      </c>
      <c r="E591" s="3">
        <v>177</v>
      </c>
      <c r="F591" s="3">
        <v>756</v>
      </c>
      <c r="H591" t="str">
        <f t="shared" si="9"/>
        <v>oblanceolata-50</v>
      </c>
      <c r="I591" s="3">
        <v>160</v>
      </c>
    </row>
    <row r="592" spans="1:9" ht="18.75" customHeight="1" x14ac:dyDescent="0.3">
      <c r="A592" t="s">
        <v>931</v>
      </c>
      <c r="B592" t="s">
        <v>932</v>
      </c>
      <c r="C592" t="s">
        <v>936</v>
      </c>
      <c r="D592" s="3">
        <v>53</v>
      </c>
      <c r="E592" s="3">
        <v>160</v>
      </c>
      <c r="F592" s="3">
        <v>700</v>
      </c>
      <c r="H592" t="str">
        <f t="shared" si="9"/>
        <v>mildbraedii-53</v>
      </c>
      <c r="I592" s="3">
        <v>160</v>
      </c>
    </row>
    <row r="593" spans="1:9" ht="18.75" customHeight="1" x14ac:dyDescent="0.3">
      <c r="A593" t="s">
        <v>957</v>
      </c>
      <c r="B593" t="s">
        <v>962</v>
      </c>
      <c r="C593" t="s">
        <v>965</v>
      </c>
      <c r="D593" s="3">
        <v>59</v>
      </c>
      <c r="E593" s="3">
        <v>195</v>
      </c>
      <c r="F593" s="3">
        <v>926</v>
      </c>
      <c r="H593" t="str">
        <f t="shared" si="9"/>
        <v>vismiaefolia-59</v>
      </c>
      <c r="I593" s="3">
        <v>160</v>
      </c>
    </row>
    <row r="594" spans="1:9" ht="18.75" customHeight="1" x14ac:dyDescent="0.3">
      <c r="A594" t="s">
        <v>171</v>
      </c>
      <c r="B594" t="s">
        <v>188</v>
      </c>
      <c r="C594" t="s">
        <v>201</v>
      </c>
      <c r="D594" s="3">
        <v>15</v>
      </c>
      <c r="E594" s="3">
        <v>107</v>
      </c>
      <c r="F594" s="3">
        <v>425</v>
      </c>
      <c r="H594" t="str">
        <f t="shared" si="9"/>
        <v>latifolia-15</v>
      </c>
      <c r="I594" s="3">
        <v>170</v>
      </c>
    </row>
    <row r="595" spans="1:9" ht="18.75" customHeight="1" x14ac:dyDescent="0.3">
      <c r="A595" t="s">
        <v>239</v>
      </c>
      <c r="B595" t="s">
        <v>245</v>
      </c>
      <c r="C595" t="s">
        <v>258</v>
      </c>
      <c r="D595" s="3">
        <v>17</v>
      </c>
      <c r="E595" s="3">
        <v>185</v>
      </c>
      <c r="F595" s="3">
        <v>825</v>
      </c>
      <c r="H595" t="str">
        <f t="shared" si="9"/>
        <v>calamansanai-17</v>
      </c>
      <c r="I595" s="3">
        <v>170</v>
      </c>
    </row>
    <row r="596" spans="1:9" ht="18.75" customHeight="1" x14ac:dyDescent="0.3">
      <c r="A596" t="s">
        <v>239</v>
      </c>
      <c r="B596" t="s">
        <v>245</v>
      </c>
      <c r="C596" t="s">
        <v>287</v>
      </c>
      <c r="D596" s="3">
        <v>17</v>
      </c>
      <c r="E596" s="3">
        <v>185</v>
      </c>
      <c r="F596" s="3">
        <v>856</v>
      </c>
      <c r="H596" t="str">
        <f t="shared" si="9"/>
        <v>paniculata-17</v>
      </c>
      <c r="I596" s="3">
        <v>170</v>
      </c>
    </row>
    <row r="597" spans="1:9" ht="18.75" customHeight="1" x14ac:dyDescent="0.3">
      <c r="A597" t="s">
        <v>363</v>
      </c>
      <c r="B597" t="s">
        <v>379</v>
      </c>
      <c r="C597" t="s">
        <v>384</v>
      </c>
      <c r="D597" s="3">
        <v>26</v>
      </c>
      <c r="E597" s="3">
        <v>123</v>
      </c>
      <c r="F597" s="3">
        <v>541</v>
      </c>
      <c r="H597" t="str">
        <f t="shared" si="9"/>
        <v>dioica-26</v>
      </c>
      <c r="I597" s="3">
        <v>170</v>
      </c>
    </row>
    <row r="598" spans="1:9" ht="18.75" customHeight="1" x14ac:dyDescent="0.3">
      <c r="A598" t="s">
        <v>363</v>
      </c>
      <c r="B598" t="s">
        <v>379</v>
      </c>
      <c r="C598" t="s">
        <v>276</v>
      </c>
      <c r="D598" s="3">
        <v>26</v>
      </c>
      <c r="E598" s="3">
        <v>123</v>
      </c>
      <c r="F598" s="3">
        <v>545</v>
      </c>
      <c r="H598" t="str">
        <f t="shared" si="9"/>
        <v>lucida-26</v>
      </c>
      <c r="I598" s="3">
        <v>170</v>
      </c>
    </row>
    <row r="599" spans="1:9" ht="18.75" customHeight="1" x14ac:dyDescent="0.3">
      <c r="A599" t="s">
        <v>363</v>
      </c>
      <c r="B599" t="s">
        <v>390</v>
      </c>
      <c r="C599" t="s">
        <v>404</v>
      </c>
      <c r="D599" s="3">
        <v>26</v>
      </c>
      <c r="E599" s="3">
        <v>126</v>
      </c>
      <c r="F599" s="3">
        <v>584</v>
      </c>
      <c r="H599" t="str">
        <f t="shared" si="9"/>
        <v>organensis-26</v>
      </c>
      <c r="I599" s="3">
        <v>170</v>
      </c>
    </row>
    <row r="600" spans="1:9" ht="18.75" customHeight="1" x14ac:dyDescent="0.3">
      <c r="A600" t="s">
        <v>363</v>
      </c>
      <c r="B600" t="s">
        <v>390</v>
      </c>
      <c r="C600" t="s">
        <v>406</v>
      </c>
      <c r="D600" s="3">
        <v>26</v>
      </c>
      <c r="E600" s="3">
        <v>126</v>
      </c>
      <c r="F600" s="3">
        <v>587</v>
      </c>
      <c r="H600" t="str">
        <f t="shared" si="9"/>
        <v>puberula-26</v>
      </c>
      <c r="I600" s="3">
        <v>170</v>
      </c>
    </row>
    <row r="601" spans="1:9" ht="18.75" customHeight="1" x14ac:dyDescent="0.3">
      <c r="A601" t="s">
        <v>416</v>
      </c>
      <c r="B601" t="s">
        <v>450</v>
      </c>
      <c r="C601" t="s">
        <v>433</v>
      </c>
      <c r="D601" s="3">
        <v>27</v>
      </c>
      <c r="E601" s="3">
        <v>105</v>
      </c>
      <c r="F601" s="3">
        <v>393</v>
      </c>
      <c r="H601" t="str">
        <f t="shared" si="9"/>
        <v>corrugata-27</v>
      </c>
      <c r="I601" s="3">
        <v>170</v>
      </c>
    </row>
    <row r="602" spans="1:9" ht="18.75" customHeight="1" x14ac:dyDescent="0.3">
      <c r="A602" t="s">
        <v>456</v>
      </c>
      <c r="B602" t="s">
        <v>527</v>
      </c>
      <c r="C602" t="s">
        <v>530</v>
      </c>
      <c r="D602" s="3">
        <v>29</v>
      </c>
      <c r="E602" s="3">
        <v>168</v>
      </c>
      <c r="F602" s="3">
        <v>720</v>
      </c>
      <c r="H602" t="str">
        <f t="shared" si="9"/>
        <v>reticulosum-29</v>
      </c>
      <c r="I602" s="3">
        <v>170</v>
      </c>
    </row>
    <row r="603" spans="1:9" ht="18.75" customHeight="1" x14ac:dyDescent="0.3">
      <c r="A603" t="s">
        <v>536</v>
      </c>
      <c r="B603" t="s">
        <v>544</v>
      </c>
      <c r="C603" t="s">
        <v>546</v>
      </c>
      <c r="D603" s="3">
        <v>30</v>
      </c>
      <c r="E603" s="3">
        <v>8</v>
      </c>
      <c r="F603" s="3">
        <v>32</v>
      </c>
      <c r="H603" t="str">
        <f t="shared" si="9"/>
        <v>peregrina-30</v>
      </c>
      <c r="I603" s="3">
        <v>170</v>
      </c>
    </row>
    <row r="604" spans="1:9" ht="18.75" customHeight="1" x14ac:dyDescent="0.3">
      <c r="A604" t="s">
        <v>593</v>
      </c>
      <c r="B604" t="s">
        <v>601</v>
      </c>
      <c r="C604" t="s">
        <v>611</v>
      </c>
      <c r="D604" s="3">
        <v>31</v>
      </c>
      <c r="E604" s="3">
        <v>54</v>
      </c>
      <c r="F604" s="3">
        <v>197</v>
      </c>
      <c r="H604" t="str">
        <f t="shared" si="9"/>
        <v>purpurascens-31</v>
      </c>
      <c r="I604" s="3">
        <v>170</v>
      </c>
    </row>
    <row r="605" spans="1:9" ht="18.75" customHeight="1" x14ac:dyDescent="0.3">
      <c r="A605" t="s">
        <v>593</v>
      </c>
      <c r="B605" t="s">
        <v>626</v>
      </c>
      <c r="C605" t="s">
        <v>644</v>
      </c>
      <c r="D605" s="3">
        <v>31</v>
      </c>
      <c r="E605" s="3">
        <v>109</v>
      </c>
      <c r="F605" s="3">
        <v>475</v>
      </c>
      <c r="H605" t="str">
        <f t="shared" si="9"/>
        <v>latifolius-31</v>
      </c>
      <c r="I605" s="3">
        <v>170</v>
      </c>
    </row>
    <row r="606" spans="1:9" ht="18.75" customHeight="1" x14ac:dyDescent="0.3">
      <c r="A606" t="s">
        <v>593</v>
      </c>
      <c r="B606" t="s">
        <v>701</v>
      </c>
      <c r="C606" t="s">
        <v>702</v>
      </c>
      <c r="D606" s="3">
        <v>31</v>
      </c>
      <c r="E606" s="3">
        <v>158</v>
      </c>
      <c r="F606" s="3">
        <v>691</v>
      </c>
      <c r="H606" t="str">
        <f t="shared" si="9"/>
        <v>pubescens-31</v>
      </c>
      <c r="I606" s="3">
        <v>170</v>
      </c>
    </row>
    <row r="607" spans="1:9" ht="18.75" customHeight="1" x14ac:dyDescent="0.3">
      <c r="A607" t="s">
        <v>832</v>
      </c>
      <c r="B607" t="s">
        <v>833</v>
      </c>
      <c r="C607" t="s">
        <v>836</v>
      </c>
      <c r="D607" s="3">
        <v>39</v>
      </c>
      <c r="E607" s="3">
        <v>124</v>
      </c>
      <c r="F607" s="3">
        <v>557</v>
      </c>
      <c r="H607" t="str">
        <f t="shared" si="9"/>
        <v>divaricata-39</v>
      </c>
      <c r="I607" s="3">
        <v>170</v>
      </c>
    </row>
    <row r="608" spans="1:9" ht="18.75" customHeight="1" x14ac:dyDescent="0.3">
      <c r="A608" t="s">
        <v>875</v>
      </c>
      <c r="B608" t="s">
        <v>878</v>
      </c>
      <c r="C608" t="s">
        <v>60</v>
      </c>
      <c r="D608" s="3">
        <v>50</v>
      </c>
      <c r="E608" s="3">
        <v>66</v>
      </c>
      <c r="F608" s="3">
        <v>225</v>
      </c>
      <c r="H608" t="str">
        <f t="shared" si="9"/>
        <v>sp-50</v>
      </c>
      <c r="I608" s="3">
        <v>170</v>
      </c>
    </row>
    <row r="609" spans="1:9" ht="18.75" customHeight="1" x14ac:dyDescent="0.3">
      <c r="A609" t="s">
        <v>942</v>
      </c>
      <c r="B609" t="s">
        <v>943</v>
      </c>
      <c r="C609" t="s">
        <v>820</v>
      </c>
      <c r="D609" s="3">
        <v>56</v>
      </c>
      <c r="E609" s="3">
        <v>12</v>
      </c>
      <c r="F609" s="3">
        <v>38</v>
      </c>
      <c r="H609" t="str">
        <f t="shared" si="9"/>
        <v>malaccensis-56</v>
      </c>
      <c r="I609" s="3">
        <v>170</v>
      </c>
    </row>
    <row r="610" spans="1:9" ht="18.75" customHeight="1" x14ac:dyDescent="0.3">
      <c r="A610" t="s">
        <v>957</v>
      </c>
      <c r="B610" t="s">
        <v>962</v>
      </c>
      <c r="C610" t="s">
        <v>426</v>
      </c>
      <c r="D610" s="3">
        <v>59</v>
      </c>
      <c r="E610" s="3">
        <v>195</v>
      </c>
      <c r="F610" s="3">
        <v>925</v>
      </c>
      <c r="H610" t="str">
        <f t="shared" si="9"/>
        <v>surinamensis-59</v>
      </c>
      <c r="I610" s="3">
        <v>170</v>
      </c>
    </row>
    <row r="611" spans="1:9" ht="18.75" customHeight="1" x14ac:dyDescent="0.3">
      <c r="A611" t="s">
        <v>75</v>
      </c>
      <c r="B611" t="s">
        <v>82</v>
      </c>
      <c r="C611" t="s">
        <v>105</v>
      </c>
      <c r="D611" s="3">
        <v>7</v>
      </c>
      <c r="E611" s="3">
        <v>178</v>
      </c>
      <c r="F611" s="3">
        <v>782</v>
      </c>
      <c r="H611" t="str">
        <f t="shared" si="9"/>
        <v>impetiginosa-7</v>
      </c>
      <c r="I611" s="3">
        <v>180</v>
      </c>
    </row>
    <row r="612" spans="1:9" ht="18.75" customHeight="1" x14ac:dyDescent="0.3">
      <c r="A612" t="s">
        <v>171</v>
      </c>
      <c r="B612" t="s">
        <v>188</v>
      </c>
      <c r="C612" t="s">
        <v>184</v>
      </c>
      <c r="D612" s="3">
        <v>15</v>
      </c>
      <c r="E612" s="3">
        <v>107</v>
      </c>
      <c r="F612" s="3">
        <v>442</v>
      </c>
      <c r="H612" t="str">
        <f t="shared" si="9"/>
        <v>racemosa-15</v>
      </c>
      <c r="I612" s="3">
        <v>180</v>
      </c>
    </row>
    <row r="613" spans="1:9" ht="18.75" customHeight="1" x14ac:dyDescent="0.3">
      <c r="A613" t="s">
        <v>239</v>
      </c>
      <c r="B613" t="s">
        <v>240</v>
      </c>
      <c r="C613" t="s">
        <v>204</v>
      </c>
      <c r="D613" s="3">
        <v>17</v>
      </c>
      <c r="E613" s="3">
        <v>25</v>
      </c>
      <c r="F613" s="3">
        <v>94</v>
      </c>
      <c r="H613" t="str">
        <f t="shared" si="9"/>
        <v>macrophylla-17</v>
      </c>
      <c r="I613" s="3">
        <v>180</v>
      </c>
    </row>
    <row r="614" spans="1:9" ht="18.75" customHeight="1" x14ac:dyDescent="0.3">
      <c r="A614" t="s">
        <v>456</v>
      </c>
      <c r="B614" t="s">
        <v>500</v>
      </c>
      <c r="C614" t="s">
        <v>504</v>
      </c>
      <c r="D614" s="3">
        <v>29</v>
      </c>
      <c r="E614" s="3">
        <v>97</v>
      </c>
      <c r="F614" s="3">
        <v>370</v>
      </c>
      <c r="H614" t="str">
        <f t="shared" si="9"/>
        <v>palustris-29</v>
      </c>
      <c r="I614" s="3">
        <v>180</v>
      </c>
    </row>
    <row r="615" spans="1:9" ht="18.75" customHeight="1" x14ac:dyDescent="0.3">
      <c r="A615" t="s">
        <v>536</v>
      </c>
      <c r="B615" t="s">
        <v>563</v>
      </c>
      <c r="C615" t="s">
        <v>487</v>
      </c>
      <c r="D615" s="3">
        <v>30</v>
      </c>
      <c r="E615" s="3">
        <v>131</v>
      </c>
      <c r="F615" s="3">
        <v>604</v>
      </c>
      <c r="H615" t="str">
        <f t="shared" si="9"/>
        <v>multijuga-30</v>
      </c>
      <c r="I615" s="3">
        <v>180</v>
      </c>
    </row>
    <row r="616" spans="1:9" ht="18.75" customHeight="1" x14ac:dyDescent="0.3">
      <c r="A616" t="s">
        <v>593</v>
      </c>
      <c r="B616" t="s">
        <v>704</v>
      </c>
      <c r="C616" t="s">
        <v>60</v>
      </c>
      <c r="D616" s="3">
        <v>31</v>
      </c>
      <c r="E616" s="3">
        <v>192</v>
      </c>
      <c r="F616" s="3">
        <v>894</v>
      </c>
      <c r="H616" t="str">
        <f t="shared" si="9"/>
        <v>sp-31</v>
      </c>
      <c r="I616" s="3">
        <v>180</v>
      </c>
    </row>
    <row r="617" spans="1:9" ht="18.75" customHeight="1" x14ac:dyDescent="0.3">
      <c r="A617" t="s">
        <v>832</v>
      </c>
      <c r="B617" t="s">
        <v>833</v>
      </c>
      <c r="C617" t="s">
        <v>837</v>
      </c>
      <c r="D617" s="3">
        <v>39</v>
      </c>
      <c r="E617" s="3">
        <v>124</v>
      </c>
      <c r="F617" s="3">
        <v>561</v>
      </c>
      <c r="H617" t="str">
        <f t="shared" si="9"/>
        <v>madeirana-39</v>
      </c>
      <c r="I617" s="3">
        <v>180</v>
      </c>
    </row>
    <row r="618" spans="1:9" ht="18.75" customHeight="1" x14ac:dyDescent="0.3">
      <c r="A618" t="s">
        <v>875</v>
      </c>
      <c r="B618" t="s">
        <v>896</v>
      </c>
      <c r="C618" t="s">
        <v>908</v>
      </c>
      <c r="D618" s="3">
        <v>50</v>
      </c>
      <c r="E618" s="3">
        <v>152</v>
      </c>
      <c r="F618" s="3">
        <v>662</v>
      </c>
      <c r="H618" t="str">
        <f t="shared" si="9"/>
        <v>laevigata-50</v>
      </c>
      <c r="I618" s="3">
        <v>180</v>
      </c>
    </row>
    <row r="619" spans="1:9" ht="18.75" customHeight="1" x14ac:dyDescent="0.3">
      <c r="A619" t="s">
        <v>931</v>
      </c>
      <c r="B619" t="s">
        <v>932</v>
      </c>
      <c r="C619" t="s">
        <v>934</v>
      </c>
      <c r="D619" s="3">
        <v>53</v>
      </c>
      <c r="E619" s="3">
        <v>160</v>
      </c>
      <c r="F619" s="3">
        <v>697</v>
      </c>
      <c r="H619" t="str">
        <f t="shared" si="9"/>
        <v>forbesii-53</v>
      </c>
      <c r="I619" s="3">
        <v>180</v>
      </c>
    </row>
    <row r="620" spans="1:9" ht="18.75" customHeight="1" x14ac:dyDescent="0.3">
      <c r="A620" t="s">
        <v>942</v>
      </c>
      <c r="B620" t="s">
        <v>945</v>
      </c>
      <c r="C620" t="s">
        <v>949</v>
      </c>
      <c r="D620" s="3">
        <v>56</v>
      </c>
      <c r="E620" s="3">
        <v>84</v>
      </c>
      <c r="F620" s="3">
        <v>333</v>
      </c>
      <c r="H620" t="str">
        <f t="shared" si="9"/>
        <v>warburgianus-56</v>
      </c>
      <c r="I620" s="3">
        <v>180</v>
      </c>
    </row>
    <row r="621" spans="1:9" ht="18.75" customHeight="1" x14ac:dyDescent="0.3">
      <c r="A621" t="s">
        <v>957</v>
      </c>
      <c r="B621" t="s">
        <v>960</v>
      </c>
      <c r="C621" t="s">
        <v>213</v>
      </c>
      <c r="D621" s="3">
        <v>59</v>
      </c>
      <c r="E621" s="3">
        <v>161</v>
      </c>
      <c r="F621" s="3">
        <v>702</v>
      </c>
      <c r="H621" t="str">
        <f t="shared" si="9"/>
        <v>paraensis-59</v>
      </c>
      <c r="I621" s="3">
        <v>180</v>
      </c>
    </row>
    <row r="622" spans="1:9" ht="18.75" customHeight="1" x14ac:dyDescent="0.3">
      <c r="A622" t="s">
        <v>75</v>
      </c>
      <c r="B622" t="s">
        <v>82</v>
      </c>
      <c r="C622" t="s">
        <v>87</v>
      </c>
      <c r="D622" s="3">
        <v>7</v>
      </c>
      <c r="E622" s="3">
        <v>178</v>
      </c>
      <c r="F622" s="3">
        <v>764</v>
      </c>
      <c r="H622" t="str">
        <f t="shared" si="9"/>
        <v>barbata-7</v>
      </c>
      <c r="I622" s="3">
        <v>190</v>
      </c>
    </row>
    <row r="623" spans="1:9" ht="18.75" customHeight="1" x14ac:dyDescent="0.3">
      <c r="A623" t="s">
        <v>171</v>
      </c>
      <c r="B623" t="s">
        <v>172</v>
      </c>
      <c r="C623" t="s">
        <v>173</v>
      </c>
      <c r="D623" s="3">
        <v>15</v>
      </c>
      <c r="E623" s="3">
        <v>91</v>
      </c>
      <c r="F623" s="3">
        <v>345</v>
      </c>
      <c r="H623" t="str">
        <f t="shared" si="9"/>
        <v>bicornis-15</v>
      </c>
      <c r="I623" s="3">
        <v>190</v>
      </c>
    </row>
    <row r="624" spans="1:9" ht="18.75" customHeight="1" x14ac:dyDescent="0.3">
      <c r="A624" t="s">
        <v>363</v>
      </c>
      <c r="B624" t="s">
        <v>366</v>
      </c>
      <c r="C624" t="s">
        <v>373</v>
      </c>
      <c r="D624" s="3">
        <v>26</v>
      </c>
      <c r="E624" s="3">
        <v>108</v>
      </c>
      <c r="F624" s="3">
        <v>456</v>
      </c>
      <c r="H624" t="str">
        <f t="shared" si="9"/>
        <v>polyphylla-26</v>
      </c>
      <c r="I624" s="3">
        <v>190</v>
      </c>
    </row>
    <row r="625" spans="1:9" ht="18.75" customHeight="1" x14ac:dyDescent="0.3">
      <c r="A625" t="s">
        <v>363</v>
      </c>
      <c r="B625" t="s">
        <v>379</v>
      </c>
      <c r="C625" t="s">
        <v>389</v>
      </c>
      <c r="D625" s="3">
        <v>26</v>
      </c>
      <c r="E625" s="3">
        <v>123</v>
      </c>
      <c r="F625" s="3">
        <v>553</v>
      </c>
      <c r="H625" t="str">
        <f t="shared" si="9"/>
        <v>villosa-26</v>
      </c>
      <c r="I625" s="3">
        <v>190</v>
      </c>
    </row>
    <row r="626" spans="1:9" ht="18.75" customHeight="1" x14ac:dyDescent="0.3">
      <c r="A626" t="s">
        <v>363</v>
      </c>
      <c r="B626" t="s">
        <v>390</v>
      </c>
      <c r="C626" t="s">
        <v>397</v>
      </c>
      <c r="D626" s="3">
        <v>26</v>
      </c>
      <c r="E626" s="3">
        <v>126</v>
      </c>
      <c r="F626" s="3">
        <v>575</v>
      </c>
      <c r="H626" t="str">
        <f t="shared" si="9"/>
        <v>fragrantissima-26</v>
      </c>
      <c r="I626" s="3">
        <v>190</v>
      </c>
    </row>
    <row r="627" spans="1:9" ht="18.75" customHeight="1" x14ac:dyDescent="0.3">
      <c r="A627" t="s">
        <v>416</v>
      </c>
      <c r="B627" t="s">
        <v>427</v>
      </c>
      <c r="C627" t="s">
        <v>436</v>
      </c>
      <c r="D627" s="3">
        <v>27</v>
      </c>
      <c r="E627" s="3">
        <v>73</v>
      </c>
      <c r="F627" s="3">
        <v>245</v>
      </c>
      <c r="H627" t="str">
        <f t="shared" si="9"/>
        <v>juruensis-27</v>
      </c>
      <c r="I627" s="3">
        <v>190</v>
      </c>
    </row>
    <row r="628" spans="1:9" ht="18.75" customHeight="1" x14ac:dyDescent="0.3">
      <c r="A628" t="s">
        <v>416</v>
      </c>
      <c r="B628" t="s">
        <v>447</v>
      </c>
      <c r="C628" t="s">
        <v>449</v>
      </c>
      <c r="D628" s="3">
        <v>27</v>
      </c>
      <c r="E628" s="3">
        <v>92</v>
      </c>
      <c r="F628" s="3">
        <v>361</v>
      </c>
      <c r="H628" t="str">
        <f t="shared" si="9"/>
        <v>latifolium-27</v>
      </c>
      <c r="I628" s="3">
        <v>190</v>
      </c>
    </row>
    <row r="629" spans="1:9" ht="18.75" customHeight="1" x14ac:dyDescent="0.3">
      <c r="A629" t="s">
        <v>456</v>
      </c>
      <c r="B629" t="s">
        <v>457</v>
      </c>
      <c r="C629" t="s">
        <v>458</v>
      </c>
      <c r="D629" s="3">
        <v>29</v>
      </c>
      <c r="E629" s="3">
        <v>2</v>
      </c>
      <c r="F629" s="3">
        <v>6</v>
      </c>
      <c r="H629" t="str">
        <f t="shared" si="9"/>
        <v>africana-29</v>
      </c>
      <c r="I629" s="3">
        <v>190</v>
      </c>
    </row>
    <row r="630" spans="1:9" ht="18.75" customHeight="1" x14ac:dyDescent="0.3">
      <c r="A630" t="s">
        <v>456</v>
      </c>
      <c r="B630" t="s">
        <v>457</v>
      </c>
      <c r="C630" t="s">
        <v>463</v>
      </c>
      <c r="D630" s="3">
        <v>29</v>
      </c>
      <c r="E630" s="3">
        <v>2</v>
      </c>
      <c r="F630" s="3">
        <v>11</v>
      </c>
      <c r="H630" t="str">
        <f t="shared" si="9"/>
        <v>pachyloba-29</v>
      </c>
      <c r="I630" s="3">
        <v>190</v>
      </c>
    </row>
    <row r="631" spans="1:9" ht="18.75" customHeight="1" x14ac:dyDescent="0.3">
      <c r="A631" t="s">
        <v>456</v>
      </c>
      <c r="B631" t="s">
        <v>517</v>
      </c>
      <c r="C631" t="s">
        <v>518</v>
      </c>
      <c r="D631" s="3">
        <v>29</v>
      </c>
      <c r="E631" s="3">
        <v>114</v>
      </c>
      <c r="F631" s="3">
        <v>515</v>
      </c>
      <c r="H631" t="str">
        <f t="shared" si="9"/>
        <v>brauna-29</v>
      </c>
      <c r="I631" s="3">
        <v>190</v>
      </c>
    </row>
    <row r="632" spans="1:9" ht="18.75" customHeight="1" x14ac:dyDescent="0.3">
      <c r="A632" t="s">
        <v>536</v>
      </c>
      <c r="B632" t="s">
        <v>544</v>
      </c>
      <c r="C632" t="s">
        <v>353</v>
      </c>
      <c r="D632" s="3">
        <v>30</v>
      </c>
      <c r="E632" s="3">
        <v>8</v>
      </c>
      <c r="F632" s="3">
        <v>31</v>
      </c>
      <c r="H632" t="str">
        <f t="shared" si="9"/>
        <v>macrocarpa-30</v>
      </c>
      <c r="I632" s="3">
        <v>190</v>
      </c>
    </row>
    <row r="633" spans="1:9" ht="18.75" customHeight="1" x14ac:dyDescent="0.3">
      <c r="A633" t="s">
        <v>536</v>
      </c>
      <c r="B633" t="s">
        <v>558</v>
      </c>
      <c r="C633" t="s">
        <v>559</v>
      </c>
      <c r="D633" s="3">
        <v>30</v>
      </c>
      <c r="E633" s="3">
        <v>99</v>
      </c>
      <c r="F633" s="3">
        <v>378</v>
      </c>
      <c r="H633" t="str">
        <f t="shared" si="9"/>
        <v>alba-30</v>
      </c>
      <c r="I633" s="3">
        <v>190</v>
      </c>
    </row>
    <row r="634" spans="1:9" ht="18.75" customHeight="1" x14ac:dyDescent="0.3">
      <c r="A634" t="s">
        <v>593</v>
      </c>
      <c r="B634" t="s">
        <v>601</v>
      </c>
      <c r="C634" t="s">
        <v>60</v>
      </c>
      <c r="D634" s="3">
        <v>31</v>
      </c>
      <c r="E634" s="3">
        <v>54</v>
      </c>
      <c r="F634" s="3">
        <v>198</v>
      </c>
      <c r="H634" t="str">
        <f t="shared" si="9"/>
        <v>sp-31</v>
      </c>
      <c r="I634" s="3">
        <v>190</v>
      </c>
    </row>
    <row r="635" spans="1:9" ht="18.75" customHeight="1" x14ac:dyDescent="0.3">
      <c r="A635" t="s">
        <v>593</v>
      </c>
      <c r="B635" t="s">
        <v>620</v>
      </c>
      <c r="C635" t="s">
        <v>122</v>
      </c>
      <c r="D635" s="3">
        <v>31</v>
      </c>
      <c r="E635" s="3">
        <v>78</v>
      </c>
      <c r="F635" s="3">
        <v>284</v>
      </c>
      <c r="H635" t="str">
        <f t="shared" si="9"/>
        <v>spectabilis-31</v>
      </c>
      <c r="I635" s="3">
        <v>190</v>
      </c>
    </row>
    <row r="636" spans="1:9" ht="18.75" customHeight="1" x14ac:dyDescent="0.3">
      <c r="A636" t="s">
        <v>7</v>
      </c>
      <c r="B636" t="s">
        <v>8</v>
      </c>
      <c r="C636" t="s">
        <v>10</v>
      </c>
      <c r="D636" s="3">
        <v>2</v>
      </c>
      <c r="E636" s="3">
        <v>7</v>
      </c>
      <c r="F636" s="3">
        <v>26</v>
      </c>
      <c r="H636" t="str">
        <f t="shared" si="9"/>
        <v>giganteum-2</v>
      </c>
      <c r="I636" s="3">
        <v>200</v>
      </c>
    </row>
    <row r="637" spans="1:9" ht="18.75" customHeight="1" x14ac:dyDescent="0.3">
      <c r="A637" t="s">
        <v>152</v>
      </c>
      <c r="B637" t="s">
        <v>153</v>
      </c>
      <c r="C637" t="s">
        <v>154</v>
      </c>
      <c r="D637" s="3">
        <v>12</v>
      </c>
      <c r="E637" s="3">
        <v>36</v>
      </c>
      <c r="F637" s="3">
        <v>131</v>
      </c>
      <c r="H637" t="str">
        <f t="shared" si="9"/>
        <v>costaricense-12</v>
      </c>
      <c r="I637" s="3">
        <v>200</v>
      </c>
    </row>
    <row r="638" spans="1:9" ht="18.75" customHeight="1" x14ac:dyDescent="0.3">
      <c r="A638" t="s">
        <v>171</v>
      </c>
      <c r="B638" t="s">
        <v>172</v>
      </c>
      <c r="C638" t="s">
        <v>180</v>
      </c>
      <c r="D638" s="3">
        <v>15</v>
      </c>
      <c r="E638" s="3">
        <v>91</v>
      </c>
      <c r="F638" s="3">
        <v>352</v>
      </c>
      <c r="H638" t="str">
        <f t="shared" si="9"/>
        <v>glandulosa-15</v>
      </c>
      <c r="I638" s="3">
        <v>200</v>
      </c>
    </row>
    <row r="639" spans="1:9" ht="18.75" customHeight="1" x14ac:dyDescent="0.3">
      <c r="A639" t="s">
        <v>171</v>
      </c>
      <c r="B639" t="s">
        <v>188</v>
      </c>
      <c r="C639" t="s">
        <v>221</v>
      </c>
      <c r="D639" s="3">
        <v>15</v>
      </c>
      <c r="E639" s="3">
        <v>107</v>
      </c>
      <c r="F639" s="3">
        <v>448</v>
      </c>
      <c r="H639" t="str">
        <f t="shared" si="9"/>
        <v>urceolaris-15</v>
      </c>
      <c r="I639" s="3">
        <v>200</v>
      </c>
    </row>
    <row r="640" spans="1:9" ht="18.75" customHeight="1" x14ac:dyDescent="0.3">
      <c r="A640" t="s">
        <v>222</v>
      </c>
      <c r="B640" t="s">
        <v>229</v>
      </c>
      <c r="C640" t="s">
        <v>230</v>
      </c>
      <c r="D640" s="3">
        <v>16</v>
      </c>
      <c r="E640" s="3">
        <v>147</v>
      </c>
      <c r="F640" s="3">
        <v>635</v>
      </c>
      <c r="H640" t="str">
        <f t="shared" si="9"/>
        <v>esculenta-16</v>
      </c>
      <c r="I640" s="3">
        <v>200</v>
      </c>
    </row>
    <row r="641" spans="1:9" ht="18.75" customHeight="1" x14ac:dyDescent="0.3">
      <c r="A641" t="s">
        <v>239</v>
      </c>
      <c r="B641" t="s">
        <v>245</v>
      </c>
      <c r="C641" t="s">
        <v>295</v>
      </c>
      <c r="D641" s="3">
        <v>17</v>
      </c>
      <c r="E641" s="3">
        <v>185</v>
      </c>
      <c r="F641" s="3">
        <v>864</v>
      </c>
      <c r="H641" t="str">
        <f t="shared" si="9"/>
        <v>rubiginosa-17</v>
      </c>
      <c r="I641" s="3">
        <v>200</v>
      </c>
    </row>
    <row r="642" spans="1:9" ht="18.75" customHeight="1" x14ac:dyDescent="0.3">
      <c r="A642" t="s">
        <v>321</v>
      </c>
      <c r="B642" t="s">
        <v>322</v>
      </c>
      <c r="C642" t="s">
        <v>164</v>
      </c>
      <c r="D642" s="3">
        <v>21</v>
      </c>
      <c r="E642" s="3">
        <v>173</v>
      </c>
      <c r="F642" s="3">
        <v>738</v>
      </c>
      <c r="H642" t="str">
        <f t="shared" si="9"/>
        <v>obtusa-21</v>
      </c>
      <c r="I642" s="3">
        <v>200</v>
      </c>
    </row>
    <row r="643" spans="1:9" ht="18.75" customHeight="1" x14ac:dyDescent="0.3">
      <c r="A643" t="s">
        <v>347</v>
      </c>
      <c r="B643" t="s">
        <v>350</v>
      </c>
      <c r="C643" t="s">
        <v>351</v>
      </c>
      <c r="D643" s="3">
        <v>24</v>
      </c>
      <c r="E643" s="3">
        <v>191</v>
      </c>
      <c r="F643" s="3">
        <v>885</v>
      </c>
      <c r="H643" t="str">
        <f t="shared" ref="H643:H706" si="10">_xlfn.CONCAT(C643,"-",D643)</f>
        <v>celativenia-24</v>
      </c>
      <c r="I643" s="3">
        <v>200</v>
      </c>
    </row>
    <row r="644" spans="1:9" ht="18.75" customHeight="1" x14ac:dyDescent="0.3">
      <c r="A644" t="s">
        <v>456</v>
      </c>
      <c r="B644" t="s">
        <v>527</v>
      </c>
      <c r="C644" t="s">
        <v>529</v>
      </c>
      <c r="D644" s="3">
        <v>29</v>
      </c>
      <c r="E644" s="3">
        <v>168</v>
      </c>
      <c r="F644" s="3">
        <v>719</v>
      </c>
      <c r="H644" t="str">
        <f t="shared" si="10"/>
        <v>paniculatum-29</v>
      </c>
      <c r="I644" s="3">
        <v>200</v>
      </c>
    </row>
    <row r="645" spans="1:9" ht="18.75" customHeight="1" x14ac:dyDescent="0.3">
      <c r="A645" t="s">
        <v>536</v>
      </c>
      <c r="B645" t="s">
        <v>537</v>
      </c>
      <c r="C645" t="s">
        <v>373</v>
      </c>
      <c r="D645" s="3">
        <v>30</v>
      </c>
      <c r="E645" s="3">
        <v>1</v>
      </c>
      <c r="F645" s="3">
        <v>5</v>
      </c>
      <c r="H645" t="str">
        <f t="shared" si="10"/>
        <v>polyphylla-30</v>
      </c>
      <c r="I645" s="3">
        <v>200</v>
      </c>
    </row>
    <row r="646" spans="1:9" ht="18.75" customHeight="1" x14ac:dyDescent="0.3">
      <c r="A646" t="s">
        <v>593</v>
      </c>
      <c r="B646" t="s">
        <v>688</v>
      </c>
      <c r="C646" t="s">
        <v>689</v>
      </c>
      <c r="D646" s="3">
        <v>31</v>
      </c>
      <c r="E646" s="3">
        <v>148</v>
      </c>
      <c r="F646" s="3">
        <v>637</v>
      </c>
      <c r="H646" t="str">
        <f t="shared" si="10"/>
        <v>dimorphandrum-31</v>
      </c>
      <c r="I646" s="3">
        <v>200</v>
      </c>
    </row>
    <row r="647" spans="1:9" ht="18.75" customHeight="1" x14ac:dyDescent="0.3">
      <c r="A647" t="s">
        <v>593</v>
      </c>
      <c r="B647" t="s">
        <v>694</v>
      </c>
      <c r="C647" t="s">
        <v>695</v>
      </c>
      <c r="D647" s="3">
        <v>31</v>
      </c>
      <c r="E647" s="3">
        <v>157</v>
      </c>
      <c r="F647" s="3">
        <v>683</v>
      </c>
      <c r="H647" t="str">
        <f t="shared" si="10"/>
        <v>acapulcensis-31</v>
      </c>
      <c r="I647" s="3">
        <v>200</v>
      </c>
    </row>
    <row r="648" spans="1:9" ht="18.75" customHeight="1" x14ac:dyDescent="0.3">
      <c r="A648" t="s">
        <v>808</v>
      </c>
      <c r="B648" t="s">
        <v>831</v>
      </c>
      <c r="C648" t="s">
        <v>60</v>
      </c>
      <c r="D648" s="3">
        <v>38</v>
      </c>
      <c r="E648" s="3">
        <v>156</v>
      </c>
      <c r="F648" s="3">
        <v>682</v>
      </c>
      <c r="H648" t="str">
        <f t="shared" si="10"/>
        <v>sp-38</v>
      </c>
      <c r="I648" s="3">
        <v>200</v>
      </c>
    </row>
    <row r="649" spans="1:9" ht="18.75" customHeight="1" x14ac:dyDescent="0.3">
      <c r="A649" t="s">
        <v>852</v>
      </c>
      <c r="B649" t="s">
        <v>853</v>
      </c>
      <c r="C649" t="s">
        <v>855</v>
      </c>
      <c r="D649" s="3">
        <v>43</v>
      </c>
      <c r="E649" s="3">
        <v>150</v>
      </c>
      <c r="F649" s="3">
        <v>646</v>
      </c>
      <c r="H649" t="str">
        <f t="shared" si="10"/>
        <v>neriifolius-43</v>
      </c>
      <c r="I649" s="3">
        <v>200</v>
      </c>
    </row>
    <row r="650" spans="1:9" ht="18.75" customHeight="1" x14ac:dyDescent="0.3">
      <c r="A650" t="s">
        <v>875</v>
      </c>
      <c r="B650" t="s">
        <v>896</v>
      </c>
      <c r="C650" t="s">
        <v>21</v>
      </c>
      <c r="D650" s="3">
        <v>50</v>
      </c>
      <c r="E650" s="3">
        <v>152</v>
      </c>
      <c r="F650" s="3">
        <v>657</v>
      </c>
      <c r="H650" t="str">
        <f t="shared" si="10"/>
        <v>guianensis-50</v>
      </c>
      <c r="I650" s="3">
        <v>200</v>
      </c>
    </row>
    <row r="651" spans="1:9" ht="18.75" customHeight="1" x14ac:dyDescent="0.3">
      <c r="A651" t="s">
        <v>875</v>
      </c>
      <c r="B651" t="s">
        <v>896</v>
      </c>
      <c r="C651" t="s">
        <v>905</v>
      </c>
      <c r="D651" s="3">
        <v>50</v>
      </c>
      <c r="E651" s="3">
        <v>152</v>
      </c>
      <c r="F651" s="3">
        <v>658</v>
      </c>
      <c r="H651" t="str">
        <f t="shared" si="10"/>
        <v>gutta-50</v>
      </c>
      <c r="I651" s="3">
        <v>200</v>
      </c>
    </row>
    <row r="652" spans="1:9" ht="18.75" customHeight="1" x14ac:dyDescent="0.3">
      <c r="A652" t="s">
        <v>7</v>
      </c>
      <c r="B652" t="s">
        <v>14</v>
      </c>
      <c r="C652" t="s">
        <v>15</v>
      </c>
      <c r="D652" s="3">
        <v>2</v>
      </c>
      <c r="E652" s="3">
        <v>16</v>
      </c>
      <c r="F652" s="3">
        <v>69</v>
      </c>
      <c r="H652" t="str">
        <f t="shared" si="10"/>
        <v>gracile-2</v>
      </c>
      <c r="I652" s="3">
        <v>210</v>
      </c>
    </row>
    <row r="653" spans="1:9" ht="18.75" customHeight="1" x14ac:dyDescent="0.3">
      <c r="A653" t="s">
        <v>158</v>
      </c>
      <c r="B653" t="s">
        <v>159</v>
      </c>
      <c r="C653" t="s">
        <v>166</v>
      </c>
      <c r="D653" s="3">
        <v>13</v>
      </c>
      <c r="E653" s="3">
        <v>38</v>
      </c>
      <c r="F653" s="3">
        <v>144</v>
      </c>
      <c r="H653" t="str">
        <f t="shared" si="10"/>
        <v>sciadophylla-13</v>
      </c>
      <c r="I653" s="3">
        <v>210</v>
      </c>
    </row>
    <row r="654" spans="1:9" ht="18.75" customHeight="1" x14ac:dyDescent="0.3">
      <c r="A654" t="s">
        <v>239</v>
      </c>
      <c r="B654" t="s">
        <v>245</v>
      </c>
      <c r="C654" t="s">
        <v>250</v>
      </c>
      <c r="D654" s="3">
        <v>17</v>
      </c>
      <c r="E654" s="3">
        <v>185</v>
      </c>
      <c r="F654" s="3">
        <v>817</v>
      </c>
      <c r="H654" t="str">
        <f t="shared" si="10"/>
        <v>arjuna-17</v>
      </c>
      <c r="I654" s="3">
        <v>210</v>
      </c>
    </row>
    <row r="655" spans="1:9" ht="18.75" customHeight="1" x14ac:dyDescent="0.3">
      <c r="A655" t="s">
        <v>239</v>
      </c>
      <c r="B655" t="s">
        <v>245</v>
      </c>
      <c r="C655" t="s">
        <v>270</v>
      </c>
      <c r="D655" s="3">
        <v>17</v>
      </c>
      <c r="E655" s="3">
        <v>185</v>
      </c>
      <c r="F655" s="3">
        <v>837</v>
      </c>
      <c r="H655" t="str">
        <f t="shared" si="10"/>
        <v>gigantifolia-17</v>
      </c>
      <c r="I655" s="3">
        <v>210</v>
      </c>
    </row>
    <row r="656" spans="1:9" ht="18.75" customHeight="1" x14ac:dyDescent="0.3">
      <c r="A656" t="s">
        <v>239</v>
      </c>
      <c r="B656" t="s">
        <v>245</v>
      </c>
      <c r="C656" t="s">
        <v>302</v>
      </c>
      <c r="D656" s="3">
        <v>17</v>
      </c>
      <c r="E656" s="3">
        <v>185</v>
      </c>
      <c r="F656" s="3">
        <v>872</v>
      </c>
      <c r="H656" t="str">
        <f t="shared" si="10"/>
        <v>sumatrana-17</v>
      </c>
      <c r="I656" s="3">
        <v>210</v>
      </c>
    </row>
    <row r="657" spans="1:9" ht="18.75" customHeight="1" x14ac:dyDescent="0.3">
      <c r="A657" t="s">
        <v>321</v>
      </c>
      <c r="B657" t="s">
        <v>322</v>
      </c>
      <c r="C657" t="s">
        <v>201</v>
      </c>
      <c r="D657" s="3">
        <v>21</v>
      </c>
      <c r="E657" s="3">
        <v>173</v>
      </c>
      <c r="F657" s="3">
        <v>737</v>
      </c>
      <c r="H657" t="str">
        <f t="shared" si="10"/>
        <v>latifolia-21</v>
      </c>
      <c r="I657" s="3">
        <v>210</v>
      </c>
    </row>
    <row r="658" spans="1:9" ht="18.75" customHeight="1" x14ac:dyDescent="0.3">
      <c r="A658" t="s">
        <v>363</v>
      </c>
      <c r="B658" t="s">
        <v>366</v>
      </c>
      <c r="C658" t="s">
        <v>369</v>
      </c>
      <c r="D658" s="3">
        <v>26</v>
      </c>
      <c r="E658" s="3">
        <v>108</v>
      </c>
      <c r="F658" s="3">
        <v>451</v>
      </c>
      <c r="H658" t="str">
        <f t="shared" si="10"/>
        <v>armeniaca-26</v>
      </c>
      <c r="I658" s="3">
        <v>210</v>
      </c>
    </row>
    <row r="659" spans="1:9" ht="18.75" customHeight="1" x14ac:dyDescent="0.3">
      <c r="A659" t="s">
        <v>363</v>
      </c>
      <c r="B659" t="s">
        <v>379</v>
      </c>
      <c r="C659" t="s">
        <v>380</v>
      </c>
      <c r="D659" s="3">
        <v>26</v>
      </c>
      <c r="E659" s="3">
        <v>123</v>
      </c>
      <c r="F659" s="3">
        <v>537</v>
      </c>
      <c r="H659" t="str">
        <f t="shared" si="10"/>
        <v>amazonum-26</v>
      </c>
      <c r="I659" s="3">
        <v>210</v>
      </c>
    </row>
    <row r="660" spans="1:9" ht="18.75" customHeight="1" x14ac:dyDescent="0.3">
      <c r="A660" t="s">
        <v>363</v>
      </c>
      <c r="B660" t="s">
        <v>379</v>
      </c>
      <c r="C660" t="s">
        <v>60</v>
      </c>
      <c r="D660" s="3">
        <v>26</v>
      </c>
      <c r="E660" s="3">
        <v>123</v>
      </c>
      <c r="F660" s="3">
        <v>551</v>
      </c>
      <c r="H660" t="str">
        <f t="shared" si="10"/>
        <v>sp-26</v>
      </c>
      <c r="I660" s="3">
        <v>210</v>
      </c>
    </row>
    <row r="661" spans="1:9" ht="18.75" customHeight="1" x14ac:dyDescent="0.3">
      <c r="A661" t="s">
        <v>593</v>
      </c>
      <c r="B661" t="s">
        <v>626</v>
      </c>
      <c r="C661" t="s">
        <v>641</v>
      </c>
      <c r="D661" s="3">
        <v>31</v>
      </c>
      <c r="E661" s="3">
        <v>109</v>
      </c>
      <c r="F661" s="3">
        <v>472</v>
      </c>
      <c r="H661" t="str">
        <f t="shared" si="10"/>
        <v>fendleri-31</v>
      </c>
      <c r="I661" s="3">
        <v>210</v>
      </c>
    </row>
    <row r="662" spans="1:9" ht="18.75" customHeight="1" x14ac:dyDescent="0.3">
      <c r="A662" t="s">
        <v>790</v>
      </c>
      <c r="B662" t="s">
        <v>791</v>
      </c>
      <c r="C662" t="s">
        <v>796</v>
      </c>
      <c r="D662" s="3">
        <v>37</v>
      </c>
      <c r="E662" s="3">
        <v>194</v>
      </c>
      <c r="F662" s="3">
        <v>901</v>
      </c>
      <c r="H662" t="str">
        <f t="shared" si="10"/>
        <v>gardneri-37</v>
      </c>
      <c r="I662" s="3">
        <v>210</v>
      </c>
    </row>
    <row r="663" spans="1:9" ht="18.75" customHeight="1" x14ac:dyDescent="0.3">
      <c r="A663" t="s">
        <v>845</v>
      </c>
      <c r="B663" t="s">
        <v>846</v>
      </c>
      <c r="C663" t="s">
        <v>847</v>
      </c>
      <c r="D663" s="3">
        <v>41</v>
      </c>
      <c r="E663" s="3">
        <v>82</v>
      </c>
      <c r="F663" s="3">
        <v>327</v>
      </c>
      <c r="H663" t="str">
        <f t="shared" si="10"/>
        <v>gorarema-41</v>
      </c>
      <c r="I663" s="3">
        <v>210</v>
      </c>
    </row>
    <row r="664" spans="1:9" ht="18.75" customHeight="1" x14ac:dyDescent="0.3">
      <c r="A664" t="s">
        <v>875</v>
      </c>
      <c r="B664" t="s">
        <v>920</v>
      </c>
      <c r="C664" t="s">
        <v>60</v>
      </c>
      <c r="D664" s="3">
        <v>50</v>
      </c>
      <c r="E664" s="3">
        <v>177</v>
      </c>
      <c r="F664" s="3">
        <v>759</v>
      </c>
      <c r="H664" t="str">
        <f t="shared" si="10"/>
        <v>sp-50</v>
      </c>
      <c r="I664" s="3">
        <v>210</v>
      </c>
    </row>
    <row r="665" spans="1:9" ht="18.75" customHeight="1" x14ac:dyDescent="0.3">
      <c r="A665" t="s">
        <v>28</v>
      </c>
      <c r="B665" t="s">
        <v>29</v>
      </c>
      <c r="C665" t="s">
        <v>31</v>
      </c>
      <c r="D665" s="3">
        <v>4</v>
      </c>
      <c r="E665" s="3">
        <v>5</v>
      </c>
      <c r="F665" s="3">
        <v>18</v>
      </c>
      <c r="H665" t="str">
        <f t="shared" si="10"/>
        <v>boonel-4</v>
      </c>
      <c r="I665" s="3">
        <v>220</v>
      </c>
    </row>
    <row r="666" spans="1:9" ht="18.75" customHeight="1" x14ac:dyDescent="0.3">
      <c r="A666" t="s">
        <v>28</v>
      </c>
      <c r="B666" t="s">
        <v>37</v>
      </c>
      <c r="C666" t="s">
        <v>54</v>
      </c>
      <c r="D666" s="3">
        <v>4</v>
      </c>
      <c r="E666" s="3">
        <v>15</v>
      </c>
      <c r="F666" s="3">
        <v>60</v>
      </c>
      <c r="H666" t="str">
        <f t="shared" si="10"/>
        <v>parvifolium-4</v>
      </c>
      <c r="I666" s="3">
        <v>220</v>
      </c>
    </row>
    <row r="667" spans="1:9" ht="18.75" customHeight="1" x14ac:dyDescent="0.3">
      <c r="A667" t="s">
        <v>144</v>
      </c>
      <c r="B667" t="s">
        <v>150</v>
      </c>
      <c r="C667" t="s">
        <v>151</v>
      </c>
      <c r="D667" s="3">
        <v>11</v>
      </c>
      <c r="E667" s="3">
        <v>189</v>
      </c>
      <c r="F667" s="3">
        <v>881</v>
      </c>
      <c r="H667" t="str">
        <f t="shared" si="10"/>
        <v>burseraefolia-11</v>
      </c>
      <c r="I667" s="3">
        <v>220</v>
      </c>
    </row>
    <row r="668" spans="1:9" ht="18.75" customHeight="1" x14ac:dyDescent="0.3">
      <c r="A668" t="s">
        <v>239</v>
      </c>
      <c r="B668" t="s">
        <v>245</v>
      </c>
      <c r="C668" t="s">
        <v>300</v>
      </c>
      <c r="D668" s="3">
        <v>17</v>
      </c>
      <c r="E668" s="3">
        <v>185</v>
      </c>
      <c r="F668" s="3">
        <v>869</v>
      </c>
      <c r="H668" t="str">
        <f t="shared" si="10"/>
        <v>solomonensis-17</v>
      </c>
      <c r="I668" s="3">
        <v>220</v>
      </c>
    </row>
    <row r="669" spans="1:9" ht="18.75" customHeight="1" x14ac:dyDescent="0.3">
      <c r="A669" t="s">
        <v>239</v>
      </c>
      <c r="B669" t="s">
        <v>245</v>
      </c>
      <c r="C669" t="s">
        <v>305</v>
      </c>
      <c r="D669" s="3">
        <v>17</v>
      </c>
      <c r="E669" s="3">
        <v>185</v>
      </c>
      <c r="F669" s="3">
        <v>875</v>
      </c>
      <c r="H669" t="str">
        <f t="shared" si="10"/>
        <v>tomentosa-17</v>
      </c>
      <c r="I669" s="3">
        <v>220</v>
      </c>
    </row>
    <row r="670" spans="1:9" ht="18.75" customHeight="1" x14ac:dyDescent="0.3">
      <c r="A670" t="s">
        <v>347</v>
      </c>
      <c r="B670" t="s">
        <v>350</v>
      </c>
      <c r="C670" t="s">
        <v>21</v>
      </c>
      <c r="D670" s="3">
        <v>24</v>
      </c>
      <c r="E670" s="3">
        <v>191</v>
      </c>
      <c r="F670" s="3">
        <v>887</v>
      </c>
      <c r="H670" t="str">
        <f t="shared" si="10"/>
        <v>guianensis-24</v>
      </c>
      <c r="I670" s="3">
        <v>220</v>
      </c>
    </row>
    <row r="671" spans="1:9" ht="18.75" customHeight="1" x14ac:dyDescent="0.3">
      <c r="A671" t="s">
        <v>416</v>
      </c>
      <c r="B671" t="s">
        <v>424</v>
      </c>
      <c r="C671" t="s">
        <v>21</v>
      </c>
      <c r="D671" s="3">
        <v>27</v>
      </c>
      <c r="E671" s="3">
        <v>50</v>
      </c>
      <c r="F671" s="3">
        <v>181</v>
      </c>
      <c r="H671" t="str">
        <f t="shared" si="10"/>
        <v>guianensis-27</v>
      </c>
      <c r="I671" s="3">
        <v>220</v>
      </c>
    </row>
    <row r="672" spans="1:9" ht="18.75" customHeight="1" x14ac:dyDescent="0.3">
      <c r="A672" t="s">
        <v>416</v>
      </c>
      <c r="B672" t="s">
        <v>450</v>
      </c>
      <c r="C672" t="s">
        <v>453</v>
      </c>
      <c r="D672" s="3">
        <v>27</v>
      </c>
      <c r="E672" s="3">
        <v>105</v>
      </c>
      <c r="F672" s="3">
        <v>396</v>
      </c>
      <c r="H672" t="str">
        <f t="shared" si="10"/>
        <v>ollaria-27</v>
      </c>
      <c r="I672" s="3">
        <v>220</v>
      </c>
    </row>
    <row r="673" spans="1:9" ht="18.75" customHeight="1" x14ac:dyDescent="0.3">
      <c r="A673" t="s">
        <v>456</v>
      </c>
      <c r="B673" t="s">
        <v>507</v>
      </c>
      <c r="C673" t="s">
        <v>509</v>
      </c>
      <c r="D673" s="3">
        <v>29</v>
      </c>
      <c r="E673" s="3">
        <v>106</v>
      </c>
      <c r="F673" s="3">
        <v>401</v>
      </c>
      <c r="H673" t="str">
        <f t="shared" si="10"/>
        <v>coriaria-29</v>
      </c>
      <c r="I673" s="3">
        <v>220</v>
      </c>
    </row>
    <row r="674" spans="1:9" ht="18.75" customHeight="1" x14ac:dyDescent="0.3">
      <c r="A674" t="s">
        <v>536</v>
      </c>
      <c r="B674" t="s">
        <v>587</v>
      </c>
      <c r="C674" t="s">
        <v>529</v>
      </c>
      <c r="D674" s="3">
        <v>30</v>
      </c>
      <c r="E674" s="3">
        <v>174</v>
      </c>
      <c r="F674" s="3">
        <v>747</v>
      </c>
      <c r="H674" t="str">
        <f t="shared" si="10"/>
        <v>paniculatum-30</v>
      </c>
      <c r="I674" s="3">
        <v>220</v>
      </c>
    </row>
    <row r="675" spans="1:9" ht="18.75" customHeight="1" x14ac:dyDescent="0.3">
      <c r="A675" t="s">
        <v>593</v>
      </c>
      <c r="B675" t="s">
        <v>681</v>
      </c>
      <c r="C675" t="s">
        <v>682</v>
      </c>
      <c r="D675" s="3">
        <v>31</v>
      </c>
      <c r="E675" s="3">
        <v>127</v>
      </c>
      <c r="F675" s="3">
        <v>593</v>
      </c>
      <c r="H675" t="str">
        <f t="shared" si="10"/>
        <v>panamense-31</v>
      </c>
      <c r="I675" s="3">
        <v>220</v>
      </c>
    </row>
    <row r="676" spans="1:9" ht="18.75" customHeight="1" x14ac:dyDescent="0.3">
      <c r="A676" t="s">
        <v>745</v>
      </c>
      <c r="B676" t="s">
        <v>757</v>
      </c>
      <c r="C676" t="s">
        <v>767</v>
      </c>
      <c r="D676" s="3">
        <v>36</v>
      </c>
      <c r="E676" s="3">
        <v>79</v>
      </c>
      <c r="F676" s="3">
        <v>298</v>
      </c>
      <c r="H676" t="str">
        <f t="shared" si="10"/>
        <v>bellengeri-36</v>
      </c>
      <c r="I676" s="3">
        <v>220</v>
      </c>
    </row>
    <row r="677" spans="1:9" ht="18.75" customHeight="1" x14ac:dyDescent="0.3">
      <c r="A677" t="s">
        <v>745</v>
      </c>
      <c r="B677" t="s">
        <v>757</v>
      </c>
      <c r="C677" t="s">
        <v>773</v>
      </c>
      <c r="D677" s="3">
        <v>36</v>
      </c>
      <c r="E677" s="3">
        <v>79</v>
      </c>
      <c r="F677" s="3">
        <v>304</v>
      </c>
      <c r="H677" t="str">
        <f t="shared" si="10"/>
        <v>calimana-36</v>
      </c>
      <c r="I677" s="3">
        <v>220</v>
      </c>
    </row>
    <row r="678" spans="1:9" ht="18.75" customHeight="1" x14ac:dyDescent="0.3">
      <c r="A678" t="s">
        <v>75</v>
      </c>
      <c r="B678" t="s">
        <v>82</v>
      </c>
      <c r="C678" t="s">
        <v>122</v>
      </c>
      <c r="D678" s="3">
        <v>7</v>
      </c>
      <c r="E678" s="3">
        <v>178</v>
      </c>
      <c r="F678" s="3">
        <v>799</v>
      </c>
      <c r="H678" t="str">
        <f t="shared" si="10"/>
        <v>spectabilis-7</v>
      </c>
      <c r="I678" s="3">
        <v>230</v>
      </c>
    </row>
    <row r="679" spans="1:9" ht="18.75" customHeight="1" x14ac:dyDescent="0.3">
      <c r="A679" t="s">
        <v>239</v>
      </c>
      <c r="B679" t="s">
        <v>240</v>
      </c>
      <c r="C679" t="s">
        <v>242</v>
      </c>
      <c r="D679" s="3">
        <v>17</v>
      </c>
      <c r="E679" s="3">
        <v>25</v>
      </c>
      <c r="F679" s="3">
        <v>93</v>
      </c>
      <c r="H679" t="str">
        <f t="shared" si="10"/>
        <v>grandis-17</v>
      </c>
      <c r="I679" s="3">
        <v>230</v>
      </c>
    </row>
    <row r="680" spans="1:9" ht="18.75" customHeight="1" x14ac:dyDescent="0.3">
      <c r="A680" t="s">
        <v>239</v>
      </c>
      <c r="B680" t="s">
        <v>245</v>
      </c>
      <c r="C680" t="s">
        <v>268</v>
      </c>
      <c r="D680" s="3">
        <v>17</v>
      </c>
      <c r="E680" s="3">
        <v>185</v>
      </c>
      <c r="F680" s="3">
        <v>835</v>
      </c>
      <c r="H680" t="str">
        <f t="shared" si="10"/>
        <v>edulis-17</v>
      </c>
      <c r="I680" s="3">
        <v>230</v>
      </c>
    </row>
    <row r="681" spans="1:9" ht="18.75" customHeight="1" x14ac:dyDescent="0.3">
      <c r="A681" t="s">
        <v>239</v>
      </c>
      <c r="B681" t="s">
        <v>245</v>
      </c>
      <c r="C681" t="s">
        <v>280</v>
      </c>
      <c r="D681" s="3">
        <v>17</v>
      </c>
      <c r="E681" s="3">
        <v>185</v>
      </c>
      <c r="F681" s="3">
        <v>848</v>
      </c>
      <c r="H681" t="str">
        <f t="shared" si="10"/>
        <v>microcarpa-17</v>
      </c>
      <c r="I681" s="3">
        <v>230</v>
      </c>
    </row>
    <row r="682" spans="1:9" ht="18.75" customHeight="1" x14ac:dyDescent="0.3">
      <c r="A682" t="s">
        <v>416</v>
      </c>
      <c r="B682" t="s">
        <v>427</v>
      </c>
      <c r="C682" t="s">
        <v>443</v>
      </c>
      <c r="D682" s="3">
        <v>27</v>
      </c>
      <c r="E682" s="3">
        <v>73</v>
      </c>
      <c r="F682" s="3">
        <v>254</v>
      </c>
      <c r="H682" t="str">
        <f t="shared" si="10"/>
        <v>polyantha-27</v>
      </c>
      <c r="I682" s="3">
        <v>230</v>
      </c>
    </row>
    <row r="683" spans="1:9" ht="18.75" customHeight="1" x14ac:dyDescent="0.3">
      <c r="A683" t="s">
        <v>456</v>
      </c>
      <c r="B683" t="s">
        <v>524</v>
      </c>
      <c r="C683" t="s">
        <v>282</v>
      </c>
      <c r="D683" s="3">
        <v>29</v>
      </c>
      <c r="E683" s="3">
        <v>159</v>
      </c>
      <c r="F683" s="3">
        <v>692</v>
      </c>
      <c r="H683" t="str">
        <f t="shared" si="10"/>
        <v>nitens-29</v>
      </c>
      <c r="I683" s="3">
        <v>230</v>
      </c>
    </row>
    <row r="684" spans="1:9" ht="18.75" customHeight="1" x14ac:dyDescent="0.3">
      <c r="A684" t="s">
        <v>456</v>
      </c>
      <c r="B684" t="s">
        <v>532</v>
      </c>
      <c r="C684" t="s">
        <v>287</v>
      </c>
      <c r="D684" s="3">
        <v>29</v>
      </c>
      <c r="E684" s="3">
        <v>179</v>
      </c>
      <c r="F684" s="3">
        <v>803</v>
      </c>
      <c r="H684" t="str">
        <f t="shared" si="10"/>
        <v>paniculata-29</v>
      </c>
      <c r="I684" s="3">
        <v>230</v>
      </c>
    </row>
    <row r="685" spans="1:9" ht="18.75" customHeight="1" x14ac:dyDescent="0.3">
      <c r="A685" t="s">
        <v>593</v>
      </c>
      <c r="B685" t="s">
        <v>597</v>
      </c>
      <c r="C685" t="s">
        <v>598</v>
      </c>
      <c r="D685" s="3">
        <v>31</v>
      </c>
      <c r="E685" s="3">
        <v>23</v>
      </c>
      <c r="F685" s="3">
        <v>81</v>
      </c>
      <c r="H685" t="str">
        <f t="shared" si="10"/>
        <v>virgiliodes-31</v>
      </c>
      <c r="I685" s="3">
        <v>230</v>
      </c>
    </row>
    <row r="686" spans="1:9" ht="18.75" customHeight="1" x14ac:dyDescent="0.3">
      <c r="A686" t="s">
        <v>593</v>
      </c>
      <c r="B686" t="s">
        <v>704</v>
      </c>
      <c r="C686" t="s">
        <v>298</v>
      </c>
      <c r="D686" s="3">
        <v>31</v>
      </c>
      <c r="E686" s="3">
        <v>192</v>
      </c>
      <c r="F686" s="3">
        <v>893</v>
      </c>
      <c r="H686" t="str">
        <f t="shared" si="10"/>
        <v>sericea-31</v>
      </c>
      <c r="I686" s="3">
        <v>230</v>
      </c>
    </row>
    <row r="687" spans="1:9" ht="18.75" customHeight="1" x14ac:dyDescent="0.3">
      <c r="A687" t="s">
        <v>712</v>
      </c>
      <c r="B687" t="s">
        <v>713</v>
      </c>
      <c r="C687" t="s">
        <v>429</v>
      </c>
      <c r="D687" s="3">
        <v>33</v>
      </c>
      <c r="E687" s="3">
        <v>28</v>
      </c>
      <c r="F687" s="3">
        <v>102</v>
      </c>
      <c r="H687" t="str">
        <f t="shared" si="10"/>
        <v>amazonica-33</v>
      </c>
      <c r="I687" s="3">
        <v>230</v>
      </c>
    </row>
    <row r="688" spans="1:9" ht="18.75" customHeight="1" x14ac:dyDescent="0.3">
      <c r="A688" t="s">
        <v>864</v>
      </c>
      <c r="B688" t="s">
        <v>868</v>
      </c>
      <c r="C688" t="s">
        <v>213</v>
      </c>
      <c r="D688" s="3">
        <v>47</v>
      </c>
      <c r="E688" s="3">
        <v>77</v>
      </c>
      <c r="F688" s="3">
        <v>283</v>
      </c>
      <c r="H688" t="str">
        <f t="shared" si="10"/>
        <v>paraensis-47</v>
      </c>
      <c r="I688" s="3">
        <v>230</v>
      </c>
    </row>
    <row r="689" spans="1:9" ht="18.75" customHeight="1" x14ac:dyDescent="0.3">
      <c r="A689" t="s">
        <v>942</v>
      </c>
      <c r="B689" t="s">
        <v>945</v>
      </c>
      <c r="C689" t="s">
        <v>947</v>
      </c>
      <c r="D689" s="3">
        <v>56</v>
      </c>
      <c r="E689" s="3">
        <v>84</v>
      </c>
      <c r="F689" s="3">
        <v>330</v>
      </c>
      <c r="H689" t="str">
        <f t="shared" si="10"/>
        <v>macrophyllus-56</v>
      </c>
      <c r="I689" s="3">
        <v>230</v>
      </c>
    </row>
    <row r="690" spans="1:9" ht="18.75" customHeight="1" x14ac:dyDescent="0.3">
      <c r="A690" t="s">
        <v>7</v>
      </c>
      <c r="B690" t="s">
        <v>8</v>
      </c>
      <c r="C690" t="s">
        <v>12</v>
      </c>
      <c r="D690" s="3">
        <v>2</v>
      </c>
      <c r="E690" s="3">
        <v>7</v>
      </c>
      <c r="F690" s="3">
        <v>28</v>
      </c>
      <c r="H690" t="str">
        <f t="shared" si="10"/>
        <v>spruceanum-2</v>
      </c>
      <c r="I690" s="3">
        <v>240</v>
      </c>
    </row>
    <row r="691" spans="1:9" ht="18.75" customHeight="1" x14ac:dyDescent="0.3">
      <c r="A691" t="s">
        <v>363</v>
      </c>
      <c r="B691" t="s">
        <v>374</v>
      </c>
      <c r="C691" t="s">
        <v>377</v>
      </c>
      <c r="D691" s="3">
        <v>26</v>
      </c>
      <c r="E691" s="3">
        <v>115</v>
      </c>
      <c r="F691" s="3">
        <v>518</v>
      </c>
      <c r="H691" t="str">
        <f t="shared" si="10"/>
        <v>lindaviana-26</v>
      </c>
      <c r="I691" s="3">
        <v>240</v>
      </c>
    </row>
    <row r="692" spans="1:9" ht="18.75" customHeight="1" x14ac:dyDescent="0.3">
      <c r="A692" t="s">
        <v>363</v>
      </c>
      <c r="B692" t="s">
        <v>390</v>
      </c>
      <c r="C692" t="s">
        <v>409</v>
      </c>
      <c r="D692" s="3">
        <v>26</v>
      </c>
      <c r="E692" s="3">
        <v>126</v>
      </c>
      <c r="F692" s="3">
        <v>590</v>
      </c>
      <c r="H692" t="str">
        <f t="shared" si="10"/>
        <v>sassafras-26</v>
      </c>
      <c r="I692" s="3">
        <v>240</v>
      </c>
    </row>
    <row r="693" spans="1:9" ht="18.75" customHeight="1" x14ac:dyDescent="0.3">
      <c r="A693" t="s">
        <v>456</v>
      </c>
      <c r="B693" t="s">
        <v>507</v>
      </c>
      <c r="C693" t="s">
        <v>514</v>
      </c>
      <c r="D693" s="3">
        <v>29</v>
      </c>
      <c r="E693" s="3">
        <v>106</v>
      </c>
      <c r="F693" s="3">
        <v>406</v>
      </c>
      <c r="H693" t="str">
        <f t="shared" si="10"/>
        <v>melanocarpa-29</v>
      </c>
      <c r="I693" s="3">
        <v>240</v>
      </c>
    </row>
    <row r="694" spans="1:9" ht="18.75" customHeight="1" x14ac:dyDescent="0.3">
      <c r="A694" t="s">
        <v>712</v>
      </c>
      <c r="B694" t="s">
        <v>713</v>
      </c>
      <c r="C694" t="s">
        <v>714</v>
      </c>
      <c r="D694" s="3">
        <v>33</v>
      </c>
      <c r="E694" s="3">
        <v>28</v>
      </c>
      <c r="F694" s="3">
        <v>103</v>
      </c>
      <c r="H694" t="str">
        <f t="shared" si="10"/>
        <v>arthropoda-33</v>
      </c>
      <c r="I694" s="3">
        <v>240</v>
      </c>
    </row>
    <row r="695" spans="1:9" ht="18.75" customHeight="1" x14ac:dyDescent="0.3">
      <c r="A695" t="s">
        <v>745</v>
      </c>
      <c r="B695" t="s">
        <v>757</v>
      </c>
      <c r="C695" t="s">
        <v>73</v>
      </c>
      <c r="D695" s="3">
        <v>36</v>
      </c>
      <c r="E695" s="3">
        <v>79</v>
      </c>
      <c r="F695" s="3">
        <v>290</v>
      </c>
      <c r="H695" t="str">
        <f t="shared" si="10"/>
        <v>angustifolia-36</v>
      </c>
      <c r="I695" s="3">
        <v>240</v>
      </c>
    </row>
    <row r="696" spans="1:9" ht="18.75" customHeight="1" x14ac:dyDescent="0.3">
      <c r="A696" t="s">
        <v>875</v>
      </c>
      <c r="B696" t="s">
        <v>896</v>
      </c>
      <c r="C696" t="s">
        <v>329</v>
      </c>
      <c r="D696" s="3">
        <v>50</v>
      </c>
      <c r="E696" s="3">
        <v>152</v>
      </c>
      <c r="F696" s="3">
        <v>670</v>
      </c>
      <c r="H696" t="str">
        <f t="shared" si="10"/>
        <v>reticulata-50</v>
      </c>
      <c r="I696" s="3">
        <v>240</v>
      </c>
    </row>
    <row r="697" spans="1:9" ht="18.75" customHeight="1" x14ac:dyDescent="0.3">
      <c r="A697" t="s">
        <v>7</v>
      </c>
      <c r="B697" t="s">
        <v>14</v>
      </c>
      <c r="C697" t="s">
        <v>18</v>
      </c>
      <c r="D697" s="3">
        <v>2</v>
      </c>
      <c r="E697" s="3">
        <v>16</v>
      </c>
      <c r="F697" s="3">
        <v>72</v>
      </c>
      <c r="H697" t="str">
        <f t="shared" si="10"/>
        <v>ulei-2</v>
      </c>
      <c r="I697" s="3">
        <v>250</v>
      </c>
    </row>
    <row r="698" spans="1:9" ht="18.75" customHeight="1" x14ac:dyDescent="0.3">
      <c r="A698" t="s">
        <v>331</v>
      </c>
      <c r="B698" t="s">
        <v>332</v>
      </c>
      <c r="C698" t="s">
        <v>333</v>
      </c>
      <c r="D698" s="3">
        <v>22</v>
      </c>
      <c r="E698" s="3">
        <v>4</v>
      </c>
      <c r="F698" s="3">
        <v>16</v>
      </c>
      <c r="H698" t="str">
        <f t="shared" si="10"/>
        <v>triplinervia-22</v>
      </c>
      <c r="I698" s="3">
        <v>250</v>
      </c>
    </row>
    <row r="699" spans="1:9" ht="18.75" customHeight="1" x14ac:dyDescent="0.3">
      <c r="A699" t="s">
        <v>536</v>
      </c>
      <c r="B699" t="s">
        <v>544</v>
      </c>
      <c r="C699" t="s">
        <v>545</v>
      </c>
      <c r="D699" s="3">
        <v>30</v>
      </c>
      <c r="E699" s="3">
        <v>8</v>
      </c>
      <c r="F699" s="3">
        <v>30</v>
      </c>
      <c r="H699" t="str">
        <f t="shared" si="10"/>
        <v>colubrina-30</v>
      </c>
      <c r="I699" s="3">
        <v>250</v>
      </c>
    </row>
    <row r="700" spans="1:9" ht="18.75" customHeight="1" x14ac:dyDescent="0.3">
      <c r="A700" t="s">
        <v>536</v>
      </c>
      <c r="B700" t="s">
        <v>563</v>
      </c>
      <c r="C700" t="s">
        <v>569</v>
      </c>
      <c r="D700" s="3">
        <v>30</v>
      </c>
      <c r="E700" s="3">
        <v>131</v>
      </c>
      <c r="F700" s="3">
        <v>607</v>
      </c>
      <c r="H700" t="str">
        <f t="shared" si="10"/>
        <v>pendula-30</v>
      </c>
      <c r="I700" s="3">
        <v>250</v>
      </c>
    </row>
    <row r="701" spans="1:9" ht="18.75" customHeight="1" x14ac:dyDescent="0.3">
      <c r="A701" t="s">
        <v>536</v>
      </c>
      <c r="B701" t="s">
        <v>587</v>
      </c>
      <c r="C701" t="s">
        <v>592</v>
      </c>
      <c r="D701" s="3">
        <v>30</v>
      </c>
      <c r="E701" s="3">
        <v>174</v>
      </c>
      <c r="F701" s="3">
        <v>749</v>
      </c>
      <c r="H701" t="str">
        <f t="shared" si="10"/>
        <v>pulcherrimum-30</v>
      </c>
      <c r="I701" s="3">
        <v>250</v>
      </c>
    </row>
    <row r="702" spans="1:9" ht="18.75" customHeight="1" x14ac:dyDescent="0.3">
      <c r="A702" t="s">
        <v>593</v>
      </c>
      <c r="B702" t="s">
        <v>676</v>
      </c>
      <c r="C702" t="s">
        <v>60</v>
      </c>
      <c r="D702" s="3">
        <v>31</v>
      </c>
      <c r="E702" s="3">
        <v>121</v>
      </c>
      <c r="F702" s="3">
        <v>535</v>
      </c>
      <c r="H702" t="str">
        <f t="shared" si="10"/>
        <v>sp-31</v>
      </c>
      <c r="I702" s="3">
        <v>250</v>
      </c>
    </row>
    <row r="703" spans="1:9" ht="18.75" customHeight="1" x14ac:dyDescent="0.3">
      <c r="A703" t="s">
        <v>875</v>
      </c>
      <c r="B703" t="s">
        <v>893</v>
      </c>
      <c r="C703" t="s">
        <v>894</v>
      </c>
      <c r="D703" s="3">
        <v>50</v>
      </c>
      <c r="E703" s="3">
        <v>116</v>
      </c>
      <c r="F703" s="3">
        <v>522</v>
      </c>
      <c r="H703" t="str">
        <f t="shared" si="10"/>
        <v>guyanensis-50</v>
      </c>
      <c r="I703" s="3">
        <v>250</v>
      </c>
    </row>
    <row r="704" spans="1:9" ht="18.75" customHeight="1" x14ac:dyDescent="0.3">
      <c r="A704" t="s">
        <v>875</v>
      </c>
      <c r="B704" t="s">
        <v>896</v>
      </c>
      <c r="C704" t="s">
        <v>204</v>
      </c>
      <c r="D704" s="3">
        <v>50</v>
      </c>
      <c r="E704" s="3">
        <v>152</v>
      </c>
      <c r="F704" s="3">
        <v>665</v>
      </c>
      <c r="H704" t="str">
        <f t="shared" si="10"/>
        <v>macrophylla-50</v>
      </c>
      <c r="I704" s="3">
        <v>250</v>
      </c>
    </row>
    <row r="705" spans="1:9" ht="18.75" customHeight="1" x14ac:dyDescent="0.3">
      <c r="A705" t="s">
        <v>966</v>
      </c>
      <c r="B705" t="s">
        <v>967</v>
      </c>
      <c r="C705" t="s">
        <v>969</v>
      </c>
      <c r="D705" s="3">
        <v>60</v>
      </c>
      <c r="E705" s="3">
        <v>87</v>
      </c>
      <c r="F705" s="3">
        <v>337</v>
      </c>
      <c r="H705" t="str">
        <f t="shared" si="10"/>
        <v>officinale-60</v>
      </c>
      <c r="I705" s="3">
        <v>250</v>
      </c>
    </row>
    <row r="706" spans="1:9" ht="18.75" customHeight="1" x14ac:dyDescent="0.3">
      <c r="A706" t="s">
        <v>28</v>
      </c>
      <c r="B706" t="s">
        <v>29</v>
      </c>
      <c r="C706" t="s">
        <v>30</v>
      </c>
      <c r="D706" s="3">
        <v>4</v>
      </c>
      <c r="E706" s="3">
        <v>5</v>
      </c>
      <c r="F706" s="3">
        <v>17</v>
      </c>
      <c r="H706" t="str">
        <f t="shared" si="10"/>
        <v>angustiloba-4</v>
      </c>
      <c r="I706" s="3">
        <v>260</v>
      </c>
    </row>
    <row r="707" spans="1:9" ht="18.75" customHeight="1" x14ac:dyDescent="0.3">
      <c r="A707" t="s">
        <v>354</v>
      </c>
      <c r="B707" t="s">
        <v>355</v>
      </c>
      <c r="C707" t="s">
        <v>359</v>
      </c>
      <c r="D707" s="3">
        <v>25</v>
      </c>
      <c r="E707" s="3">
        <v>102</v>
      </c>
      <c r="F707" s="3">
        <v>384</v>
      </c>
      <c r="H707" t="str">
        <f t="shared" ref="H707:H770" si="11">_xlfn.CONCAT(C707,"-",D707)</f>
        <v>olanchana-25</v>
      </c>
      <c r="I707" s="3">
        <v>260</v>
      </c>
    </row>
    <row r="708" spans="1:9" ht="18.75" customHeight="1" x14ac:dyDescent="0.3">
      <c r="A708" t="s">
        <v>363</v>
      </c>
      <c r="B708" t="s">
        <v>366</v>
      </c>
      <c r="C708" t="s">
        <v>85</v>
      </c>
      <c r="D708" s="3">
        <v>26</v>
      </c>
      <c r="E708" s="3">
        <v>108</v>
      </c>
      <c r="F708" s="3">
        <v>452</v>
      </c>
      <c r="H708" t="str">
        <f t="shared" si="11"/>
        <v>aurea-26</v>
      </c>
      <c r="I708" s="3">
        <v>260</v>
      </c>
    </row>
    <row r="709" spans="1:9" ht="18.75" customHeight="1" x14ac:dyDescent="0.3">
      <c r="A709" t="s">
        <v>536</v>
      </c>
      <c r="B709" t="s">
        <v>551</v>
      </c>
      <c r="C709" t="s">
        <v>179</v>
      </c>
      <c r="D709" s="3">
        <v>30</v>
      </c>
      <c r="E709" s="3">
        <v>59</v>
      </c>
      <c r="F709" s="3">
        <v>211</v>
      </c>
      <c r="H709" t="str">
        <f t="shared" si="11"/>
        <v>excelsa-30</v>
      </c>
      <c r="I709" s="3">
        <v>260</v>
      </c>
    </row>
    <row r="710" spans="1:9" ht="18.75" customHeight="1" x14ac:dyDescent="0.3">
      <c r="A710" t="s">
        <v>875</v>
      </c>
      <c r="B710" t="s">
        <v>888</v>
      </c>
      <c r="C710" t="s">
        <v>890</v>
      </c>
      <c r="D710" s="3">
        <v>50</v>
      </c>
      <c r="E710" s="3">
        <v>113</v>
      </c>
      <c r="F710" s="3">
        <v>512</v>
      </c>
      <c r="H710" t="str">
        <f t="shared" si="11"/>
        <v>huberi-50</v>
      </c>
      <c r="I710" s="3">
        <v>260</v>
      </c>
    </row>
    <row r="711" spans="1:9" ht="18.75" customHeight="1" x14ac:dyDescent="0.3">
      <c r="A711" t="s">
        <v>28</v>
      </c>
      <c r="B711" t="s">
        <v>37</v>
      </c>
      <c r="C711" t="s">
        <v>42</v>
      </c>
      <c r="D711" s="3">
        <v>4</v>
      </c>
      <c r="E711" s="3">
        <v>15</v>
      </c>
      <c r="F711" s="3">
        <v>47</v>
      </c>
      <c r="H711" t="str">
        <f t="shared" si="11"/>
        <v>cruentum-4</v>
      </c>
      <c r="I711" s="3">
        <v>270</v>
      </c>
    </row>
    <row r="712" spans="1:9" ht="18.75" customHeight="1" x14ac:dyDescent="0.3">
      <c r="A712" t="s">
        <v>67</v>
      </c>
      <c r="B712" t="s">
        <v>70</v>
      </c>
      <c r="C712" t="s">
        <v>69</v>
      </c>
      <c r="D712" s="3">
        <v>5</v>
      </c>
      <c r="E712" s="3">
        <v>166</v>
      </c>
      <c r="F712" s="3">
        <v>716</v>
      </c>
      <c r="H712" t="str">
        <f t="shared" si="11"/>
        <v>morototoni-5</v>
      </c>
      <c r="I712" s="3">
        <v>270</v>
      </c>
    </row>
    <row r="713" spans="1:9" ht="18.75" customHeight="1" x14ac:dyDescent="0.3">
      <c r="A713" t="s">
        <v>222</v>
      </c>
      <c r="B713" t="s">
        <v>231</v>
      </c>
      <c r="C713" t="s">
        <v>232</v>
      </c>
      <c r="D713" s="3">
        <v>16</v>
      </c>
      <c r="E713" s="3">
        <v>163</v>
      </c>
      <c r="F713" s="3">
        <v>704</v>
      </c>
      <c r="H713" t="str">
        <f t="shared" si="11"/>
        <v>acuminata-16</v>
      </c>
      <c r="I713" s="3">
        <v>270</v>
      </c>
    </row>
    <row r="714" spans="1:9" ht="18.75" customHeight="1" x14ac:dyDescent="0.3">
      <c r="A714" t="s">
        <v>308</v>
      </c>
      <c r="B714" t="s">
        <v>309</v>
      </c>
      <c r="C714" t="s">
        <v>310</v>
      </c>
      <c r="D714" s="3">
        <v>18</v>
      </c>
      <c r="E714" s="3">
        <v>51</v>
      </c>
      <c r="F714" s="3">
        <v>184</v>
      </c>
      <c r="H714" t="str">
        <f t="shared" si="11"/>
        <v>lusitanica-18</v>
      </c>
      <c r="I714" s="3">
        <v>270</v>
      </c>
    </row>
    <row r="715" spans="1:9" ht="18.75" customHeight="1" x14ac:dyDescent="0.3">
      <c r="A715" t="s">
        <v>363</v>
      </c>
      <c r="B715" t="s">
        <v>366</v>
      </c>
      <c r="C715" t="s">
        <v>60</v>
      </c>
      <c r="D715" s="3">
        <v>26</v>
      </c>
      <c r="E715" s="3">
        <v>108</v>
      </c>
      <c r="F715" s="3">
        <v>457</v>
      </c>
      <c r="H715" t="str">
        <f t="shared" si="11"/>
        <v>sp-26</v>
      </c>
      <c r="I715" s="3">
        <v>270</v>
      </c>
    </row>
    <row r="716" spans="1:9" ht="18.75" customHeight="1" x14ac:dyDescent="0.3">
      <c r="A716" t="s">
        <v>536</v>
      </c>
      <c r="B716" t="s">
        <v>553</v>
      </c>
      <c r="C716" t="s">
        <v>555</v>
      </c>
      <c r="D716" s="3">
        <v>30</v>
      </c>
      <c r="E716" s="3">
        <v>69</v>
      </c>
      <c r="F716" s="3">
        <v>230</v>
      </c>
      <c r="H716" t="str">
        <f t="shared" si="11"/>
        <v>cyclocarpum-30</v>
      </c>
      <c r="I716" s="3">
        <v>270</v>
      </c>
    </row>
    <row r="717" spans="1:9" ht="18.75" customHeight="1" x14ac:dyDescent="0.3">
      <c r="A717" t="s">
        <v>593</v>
      </c>
      <c r="B717" t="s">
        <v>676</v>
      </c>
      <c r="C717" t="s">
        <v>678</v>
      </c>
      <c r="D717" s="3">
        <v>31</v>
      </c>
      <c r="E717" s="3">
        <v>121</v>
      </c>
      <c r="F717" s="3">
        <v>534</v>
      </c>
      <c r="H717" t="str">
        <f t="shared" si="11"/>
        <v>frondosus-31</v>
      </c>
      <c r="I717" s="3">
        <v>270</v>
      </c>
    </row>
    <row r="718" spans="1:9" ht="18.75" customHeight="1" x14ac:dyDescent="0.3">
      <c r="A718" t="s">
        <v>875</v>
      </c>
      <c r="B718" t="s">
        <v>896</v>
      </c>
      <c r="C718" t="s">
        <v>400</v>
      </c>
      <c r="D718" s="3">
        <v>50</v>
      </c>
      <c r="E718" s="3">
        <v>152</v>
      </c>
      <c r="F718" s="3">
        <v>655</v>
      </c>
      <c r="H718" t="str">
        <f t="shared" si="11"/>
        <v>glomerata-50</v>
      </c>
      <c r="I718" s="3">
        <v>270</v>
      </c>
    </row>
    <row r="719" spans="1:9" ht="18.75" customHeight="1" x14ac:dyDescent="0.3">
      <c r="A719" t="s">
        <v>957</v>
      </c>
      <c r="B719" t="s">
        <v>962</v>
      </c>
      <c r="C719" t="s">
        <v>21</v>
      </c>
      <c r="D719" s="3">
        <v>59</v>
      </c>
      <c r="E719" s="3">
        <v>195</v>
      </c>
      <c r="F719" s="3">
        <v>922</v>
      </c>
      <c r="H719" t="str">
        <f t="shared" si="11"/>
        <v>guianensis-59</v>
      </c>
      <c r="I719" s="3">
        <v>270</v>
      </c>
    </row>
    <row r="720" spans="1:9" ht="18.75" customHeight="1" x14ac:dyDescent="0.3">
      <c r="A720" t="s">
        <v>75</v>
      </c>
      <c r="B720" t="s">
        <v>82</v>
      </c>
      <c r="C720" t="s">
        <v>103</v>
      </c>
      <c r="D720" s="3">
        <v>7</v>
      </c>
      <c r="E720" s="3">
        <v>178</v>
      </c>
      <c r="F720" s="3">
        <v>780</v>
      </c>
      <c r="H720" t="str">
        <f t="shared" si="11"/>
        <v>heterophylla-7</v>
      </c>
      <c r="I720" s="3">
        <v>280</v>
      </c>
    </row>
    <row r="721" spans="1:9" ht="18.75" customHeight="1" x14ac:dyDescent="0.3">
      <c r="A721" t="s">
        <v>134</v>
      </c>
      <c r="B721" t="s">
        <v>135</v>
      </c>
      <c r="C721" t="s">
        <v>138</v>
      </c>
      <c r="D721" s="3">
        <v>10</v>
      </c>
      <c r="E721" s="3">
        <v>48</v>
      </c>
      <c r="F721" s="3">
        <v>173</v>
      </c>
      <c r="H721" t="str">
        <f t="shared" si="11"/>
        <v>dodecandra-10</v>
      </c>
      <c r="I721" s="3">
        <v>280</v>
      </c>
    </row>
    <row r="722" spans="1:9" ht="18.75" customHeight="1" x14ac:dyDescent="0.3">
      <c r="A722" t="s">
        <v>171</v>
      </c>
      <c r="B722" t="s">
        <v>188</v>
      </c>
      <c r="C722" t="s">
        <v>210</v>
      </c>
      <c r="D722" s="3">
        <v>15</v>
      </c>
      <c r="E722" s="3">
        <v>107</v>
      </c>
      <c r="F722" s="3">
        <v>434</v>
      </c>
      <c r="H722" t="str">
        <f t="shared" si="11"/>
        <v>oblongifolia-15</v>
      </c>
      <c r="I722" s="3">
        <v>280</v>
      </c>
    </row>
    <row r="723" spans="1:9" ht="18.75" customHeight="1" x14ac:dyDescent="0.3">
      <c r="A723" t="s">
        <v>239</v>
      </c>
      <c r="B723" t="s">
        <v>245</v>
      </c>
      <c r="C723" t="s">
        <v>282</v>
      </c>
      <c r="D723" s="3">
        <v>17</v>
      </c>
      <c r="E723" s="3">
        <v>185</v>
      </c>
      <c r="F723" s="3">
        <v>851</v>
      </c>
      <c r="H723" t="str">
        <f t="shared" si="11"/>
        <v>nitens-17</v>
      </c>
      <c r="I723" s="3">
        <v>280</v>
      </c>
    </row>
    <row r="724" spans="1:9" ht="18.75" customHeight="1" x14ac:dyDescent="0.3">
      <c r="A724" t="s">
        <v>456</v>
      </c>
      <c r="B724" t="s">
        <v>474</v>
      </c>
      <c r="C724" t="s">
        <v>476</v>
      </c>
      <c r="D724" s="3">
        <v>29</v>
      </c>
      <c r="E724" s="3">
        <v>31</v>
      </c>
      <c r="F724" s="3">
        <v>117</v>
      </c>
      <c r="H724" t="str">
        <f t="shared" si="11"/>
        <v>cf-platyloba-29</v>
      </c>
      <c r="I724" s="3">
        <v>280</v>
      </c>
    </row>
    <row r="725" spans="1:9" ht="18.75" customHeight="1" x14ac:dyDescent="0.3">
      <c r="A725" t="s">
        <v>593</v>
      </c>
      <c r="B725" t="s">
        <v>704</v>
      </c>
      <c r="C725" t="s">
        <v>21</v>
      </c>
      <c r="D725" s="3">
        <v>31</v>
      </c>
      <c r="E725" s="3">
        <v>192</v>
      </c>
      <c r="F725" s="3">
        <v>892</v>
      </c>
      <c r="H725" t="str">
        <f t="shared" si="11"/>
        <v>guianensis-31</v>
      </c>
      <c r="I725" s="3">
        <v>280</v>
      </c>
    </row>
    <row r="726" spans="1:9" ht="18.75" customHeight="1" x14ac:dyDescent="0.3">
      <c r="A726" t="s">
        <v>745</v>
      </c>
      <c r="B726" t="s">
        <v>748</v>
      </c>
      <c r="C726" t="s">
        <v>100</v>
      </c>
      <c r="D726" s="3">
        <v>36</v>
      </c>
      <c r="E726" s="3">
        <v>24</v>
      </c>
      <c r="F726" s="3">
        <v>85</v>
      </c>
      <c r="H726" t="str">
        <f t="shared" si="11"/>
        <v>gaudichaudii-36</v>
      </c>
      <c r="I726" s="3">
        <v>280</v>
      </c>
    </row>
    <row r="727" spans="1:9" ht="18.75" customHeight="1" x14ac:dyDescent="0.3">
      <c r="A727" t="s">
        <v>790</v>
      </c>
      <c r="B727" t="s">
        <v>791</v>
      </c>
      <c r="C727" t="s">
        <v>618</v>
      </c>
      <c r="D727" s="3">
        <v>37</v>
      </c>
      <c r="E727" s="3">
        <v>194</v>
      </c>
      <c r="F727" s="3">
        <v>912</v>
      </c>
      <c r="H727" t="str">
        <f t="shared" si="11"/>
        <v>oleifera-37</v>
      </c>
      <c r="I727" s="3">
        <v>280</v>
      </c>
    </row>
    <row r="728" spans="1:9" ht="18.75" customHeight="1" x14ac:dyDescent="0.3">
      <c r="A728" t="s">
        <v>7</v>
      </c>
      <c r="B728" t="s">
        <v>8</v>
      </c>
      <c r="C728" t="s">
        <v>11</v>
      </c>
      <c r="D728" s="3">
        <v>2</v>
      </c>
      <c r="E728" s="3">
        <v>7</v>
      </c>
      <c r="F728" s="3">
        <v>27</v>
      </c>
      <c r="H728" t="str">
        <f t="shared" si="11"/>
        <v>occidentale-2</v>
      </c>
      <c r="I728" s="3">
        <v>290</v>
      </c>
    </row>
    <row r="729" spans="1:9" ht="18.75" customHeight="1" x14ac:dyDescent="0.3">
      <c r="A729" t="s">
        <v>239</v>
      </c>
      <c r="B729" t="s">
        <v>240</v>
      </c>
      <c r="C729" t="s">
        <v>60</v>
      </c>
      <c r="D729" s="3">
        <v>17</v>
      </c>
      <c r="E729" s="3">
        <v>25</v>
      </c>
      <c r="F729" s="3">
        <v>97</v>
      </c>
      <c r="H729" t="str">
        <f t="shared" si="11"/>
        <v>sp-17</v>
      </c>
      <c r="I729" s="3">
        <v>290</v>
      </c>
    </row>
    <row r="730" spans="1:9" ht="18.75" customHeight="1" x14ac:dyDescent="0.3">
      <c r="A730" t="s">
        <v>456</v>
      </c>
      <c r="B730" t="s">
        <v>457</v>
      </c>
      <c r="C730" t="s">
        <v>464</v>
      </c>
      <c r="D730" s="3">
        <v>29</v>
      </c>
      <c r="E730" s="3">
        <v>2</v>
      </c>
      <c r="F730" s="3">
        <v>12</v>
      </c>
      <c r="H730" t="str">
        <f t="shared" si="11"/>
        <v>quanzensis-29</v>
      </c>
      <c r="I730" s="3">
        <v>290</v>
      </c>
    </row>
    <row r="731" spans="1:9" ht="18.75" customHeight="1" x14ac:dyDescent="0.3">
      <c r="A731" t="s">
        <v>593</v>
      </c>
      <c r="B731" t="s">
        <v>597</v>
      </c>
      <c r="C731" t="s">
        <v>386</v>
      </c>
      <c r="D731" s="3">
        <v>31</v>
      </c>
      <c r="E731" s="3">
        <v>23</v>
      </c>
      <c r="F731" s="3">
        <v>80</v>
      </c>
      <c r="H731" t="str">
        <f t="shared" si="11"/>
        <v>nitida-31</v>
      </c>
      <c r="I731" s="3">
        <v>290</v>
      </c>
    </row>
    <row r="732" spans="1:9" ht="18.75" customHeight="1" x14ac:dyDescent="0.3">
      <c r="A732" t="s">
        <v>593</v>
      </c>
      <c r="B732" t="s">
        <v>626</v>
      </c>
      <c r="C732" t="s">
        <v>655</v>
      </c>
      <c r="D732" s="3">
        <v>31</v>
      </c>
      <c r="E732" s="3">
        <v>109</v>
      </c>
      <c r="F732" s="3">
        <v>486</v>
      </c>
      <c r="H732" t="str">
        <f t="shared" si="11"/>
        <v>sericeus-31</v>
      </c>
      <c r="I732" s="3">
        <v>290</v>
      </c>
    </row>
    <row r="733" spans="1:9" ht="18.75" customHeight="1" x14ac:dyDescent="0.3">
      <c r="A733" t="s">
        <v>712</v>
      </c>
      <c r="B733" t="s">
        <v>713</v>
      </c>
      <c r="C733" t="s">
        <v>60</v>
      </c>
      <c r="D733" s="3">
        <v>33</v>
      </c>
      <c r="E733" s="3">
        <v>28</v>
      </c>
      <c r="F733" s="3">
        <v>111</v>
      </c>
      <c r="H733" t="str">
        <f t="shared" si="11"/>
        <v>sp-33</v>
      </c>
      <c r="I733" s="3">
        <v>290</v>
      </c>
    </row>
    <row r="734" spans="1:9" ht="18.75" customHeight="1" x14ac:dyDescent="0.3">
      <c r="A734" t="s">
        <v>28</v>
      </c>
      <c r="B734" t="s">
        <v>37</v>
      </c>
      <c r="C734" t="s">
        <v>38</v>
      </c>
      <c r="D734" s="3">
        <v>4</v>
      </c>
      <c r="E734" s="3">
        <v>15</v>
      </c>
      <c r="F734" s="3">
        <v>43</v>
      </c>
      <c r="H734" t="str">
        <f t="shared" si="11"/>
        <v>album-4</v>
      </c>
      <c r="I734" s="3">
        <v>300</v>
      </c>
    </row>
    <row r="735" spans="1:9" ht="18.75" customHeight="1" x14ac:dyDescent="0.3">
      <c r="A735" t="s">
        <v>75</v>
      </c>
      <c r="B735" t="s">
        <v>82</v>
      </c>
      <c r="C735" t="s">
        <v>99</v>
      </c>
      <c r="D735" s="3">
        <v>7</v>
      </c>
      <c r="E735" s="3">
        <v>178</v>
      </c>
      <c r="F735" s="3">
        <v>776</v>
      </c>
      <c r="H735" t="str">
        <f t="shared" si="11"/>
        <v>flavescens-7</v>
      </c>
      <c r="I735" s="3">
        <v>300</v>
      </c>
    </row>
    <row r="736" spans="1:9" ht="18.75" customHeight="1" x14ac:dyDescent="0.3">
      <c r="A736" t="s">
        <v>239</v>
      </c>
      <c r="B736" t="s">
        <v>245</v>
      </c>
      <c r="C736" t="s">
        <v>274</v>
      </c>
      <c r="D736" s="3">
        <v>17</v>
      </c>
      <c r="E736" s="3">
        <v>185</v>
      </c>
      <c r="F736" s="3">
        <v>841</v>
      </c>
      <c r="H736" t="str">
        <f t="shared" si="11"/>
        <v>januarensis-17</v>
      </c>
      <c r="I736" s="3">
        <v>300</v>
      </c>
    </row>
    <row r="737" spans="1:9" ht="18.75" customHeight="1" x14ac:dyDescent="0.3">
      <c r="A737" t="s">
        <v>363</v>
      </c>
      <c r="B737" t="s">
        <v>366</v>
      </c>
      <c r="C737" t="s">
        <v>370</v>
      </c>
      <c r="D737" s="3">
        <v>26</v>
      </c>
      <c r="E737" s="3">
        <v>108</v>
      </c>
      <c r="F737" s="3">
        <v>453</v>
      </c>
      <c r="H737" t="str">
        <f t="shared" si="11"/>
        <v>canella-26</v>
      </c>
      <c r="I737" s="3">
        <v>300</v>
      </c>
    </row>
    <row r="738" spans="1:9" ht="18.75" customHeight="1" x14ac:dyDescent="0.3">
      <c r="A738" t="s">
        <v>416</v>
      </c>
      <c r="B738" t="s">
        <v>427</v>
      </c>
      <c r="C738" t="s">
        <v>60</v>
      </c>
      <c r="D738" s="3">
        <v>27</v>
      </c>
      <c r="E738" s="3">
        <v>73</v>
      </c>
      <c r="F738" s="3">
        <v>257</v>
      </c>
      <c r="H738" t="str">
        <f t="shared" si="11"/>
        <v>sp-27</v>
      </c>
      <c r="I738" s="3">
        <v>300</v>
      </c>
    </row>
    <row r="739" spans="1:9" ht="18.75" customHeight="1" x14ac:dyDescent="0.3">
      <c r="A739" t="s">
        <v>725</v>
      </c>
      <c r="B739" t="s">
        <v>729</v>
      </c>
      <c r="C739" t="s">
        <v>73</v>
      </c>
      <c r="D739" s="3">
        <v>35</v>
      </c>
      <c r="E739" s="3">
        <v>39</v>
      </c>
      <c r="F739" s="3">
        <v>147</v>
      </c>
      <c r="H739" t="str">
        <f t="shared" si="11"/>
        <v>angustifolia-35</v>
      </c>
      <c r="I739" s="3">
        <v>300</v>
      </c>
    </row>
    <row r="740" spans="1:9" ht="18.75" customHeight="1" x14ac:dyDescent="0.3">
      <c r="A740" t="s">
        <v>875</v>
      </c>
      <c r="B740" t="s">
        <v>887</v>
      </c>
      <c r="C740" t="s">
        <v>353</v>
      </c>
      <c r="D740" s="3">
        <v>50</v>
      </c>
      <c r="E740" s="3">
        <v>104</v>
      </c>
      <c r="F740" s="3">
        <v>390</v>
      </c>
      <c r="H740" t="str">
        <f t="shared" si="11"/>
        <v>macrocarpa-50</v>
      </c>
      <c r="I740" s="3">
        <v>300</v>
      </c>
    </row>
    <row r="741" spans="1:9" ht="18.75" customHeight="1" x14ac:dyDescent="0.3">
      <c r="A741" t="s">
        <v>28</v>
      </c>
      <c r="B741" t="s">
        <v>37</v>
      </c>
      <c r="C741" t="s">
        <v>57</v>
      </c>
      <c r="D741" s="3">
        <v>4</v>
      </c>
      <c r="E741" s="3">
        <v>15</v>
      </c>
      <c r="F741" s="3">
        <v>63</v>
      </c>
      <c r="H741" t="str">
        <f t="shared" si="11"/>
        <v>ramiflorum-4</v>
      </c>
      <c r="I741" s="3">
        <v>310</v>
      </c>
    </row>
    <row r="742" spans="1:9" ht="18.75" customHeight="1" x14ac:dyDescent="0.3">
      <c r="A742" t="s">
        <v>239</v>
      </c>
      <c r="B742" t="s">
        <v>245</v>
      </c>
      <c r="C742" t="s">
        <v>263</v>
      </c>
      <c r="D742" s="3">
        <v>17</v>
      </c>
      <c r="E742" s="3">
        <v>185</v>
      </c>
      <c r="F742" s="3">
        <v>830</v>
      </c>
      <c r="H742" t="str">
        <f t="shared" si="11"/>
        <v>comintana-17</v>
      </c>
      <c r="I742" s="3">
        <v>310</v>
      </c>
    </row>
    <row r="743" spans="1:9" ht="18.75" customHeight="1" x14ac:dyDescent="0.3">
      <c r="A743" t="s">
        <v>416</v>
      </c>
      <c r="B743" t="s">
        <v>427</v>
      </c>
      <c r="C743" t="s">
        <v>414</v>
      </c>
      <c r="D743" s="3">
        <v>27</v>
      </c>
      <c r="E743" s="3">
        <v>73</v>
      </c>
      <c r="F743" s="3">
        <v>246</v>
      </c>
      <c r="H743" t="str">
        <f t="shared" si="11"/>
        <v>krukovii-27</v>
      </c>
      <c r="I743" s="3">
        <v>310</v>
      </c>
    </row>
    <row r="744" spans="1:9" ht="18.75" customHeight="1" x14ac:dyDescent="0.3">
      <c r="A744" t="s">
        <v>593</v>
      </c>
      <c r="B744" t="s">
        <v>676</v>
      </c>
      <c r="C744" t="s">
        <v>677</v>
      </c>
      <c r="D744" s="3">
        <v>31</v>
      </c>
      <c r="E744" s="3">
        <v>121</v>
      </c>
      <c r="F744" s="3">
        <v>533</v>
      </c>
      <c r="H744" t="str">
        <f t="shared" si="11"/>
        <v>fastigiatus-31</v>
      </c>
      <c r="I744" s="3">
        <v>310</v>
      </c>
    </row>
    <row r="745" spans="1:9" ht="18.75" customHeight="1" x14ac:dyDescent="0.3">
      <c r="A745" t="s">
        <v>28</v>
      </c>
      <c r="B745" t="s">
        <v>37</v>
      </c>
      <c r="C745" t="s">
        <v>48</v>
      </c>
      <c r="D745" s="3">
        <v>4</v>
      </c>
      <c r="E745" s="3">
        <v>15</v>
      </c>
      <c r="F745" s="3">
        <v>53</v>
      </c>
      <c r="H745" t="str">
        <f t="shared" si="11"/>
        <v>macrocarpon-4</v>
      </c>
      <c r="I745" s="3">
        <v>320</v>
      </c>
    </row>
    <row r="746" spans="1:9" ht="18.75" customHeight="1" x14ac:dyDescent="0.3">
      <c r="A746" t="s">
        <v>315</v>
      </c>
      <c r="B746" t="s">
        <v>316</v>
      </c>
      <c r="C746" t="s">
        <v>143</v>
      </c>
      <c r="D746" s="3">
        <v>19</v>
      </c>
      <c r="E746" s="3">
        <v>52</v>
      </c>
      <c r="F746" s="3">
        <v>185</v>
      </c>
      <c r="H746" t="str">
        <f t="shared" si="11"/>
        <v>americana-19</v>
      </c>
      <c r="I746" s="3">
        <v>320</v>
      </c>
    </row>
    <row r="747" spans="1:9" ht="18.75" customHeight="1" x14ac:dyDescent="0.3">
      <c r="A747" t="s">
        <v>593</v>
      </c>
      <c r="B747" t="s">
        <v>626</v>
      </c>
      <c r="C747" t="s">
        <v>643</v>
      </c>
      <c r="D747" s="3">
        <v>31</v>
      </c>
      <c r="E747" s="3">
        <v>109</v>
      </c>
      <c r="F747" s="3">
        <v>474</v>
      </c>
      <c r="H747" t="str">
        <f t="shared" si="11"/>
        <v>hondurensis-31</v>
      </c>
      <c r="I747" s="3">
        <v>320</v>
      </c>
    </row>
    <row r="748" spans="1:9" ht="18.75" customHeight="1" x14ac:dyDescent="0.3">
      <c r="A748" t="s">
        <v>725</v>
      </c>
      <c r="B748" t="s">
        <v>737</v>
      </c>
      <c r="C748" t="s">
        <v>738</v>
      </c>
      <c r="D748" s="3">
        <v>35</v>
      </c>
      <c r="E748" s="3">
        <v>103</v>
      </c>
      <c r="F748" s="3">
        <v>385</v>
      </c>
      <c r="H748" t="str">
        <f t="shared" si="11"/>
        <v>anthotheca-35</v>
      </c>
      <c r="I748" s="3">
        <v>320</v>
      </c>
    </row>
    <row r="749" spans="1:9" ht="18.75" customHeight="1" x14ac:dyDescent="0.3">
      <c r="A749" t="s">
        <v>745</v>
      </c>
      <c r="B749" t="s">
        <v>757</v>
      </c>
      <c r="C749" t="s">
        <v>774</v>
      </c>
      <c r="D749" s="3">
        <v>36</v>
      </c>
      <c r="E749" s="3">
        <v>79</v>
      </c>
      <c r="F749" s="3">
        <v>305</v>
      </c>
      <c r="H749" t="str">
        <f t="shared" si="11"/>
        <v>callophylla-36</v>
      </c>
      <c r="I749" s="3">
        <v>320</v>
      </c>
    </row>
    <row r="750" spans="1:9" ht="18.75" customHeight="1" x14ac:dyDescent="0.3">
      <c r="A750" t="s">
        <v>222</v>
      </c>
      <c r="B750" t="s">
        <v>227</v>
      </c>
      <c r="C750" t="s">
        <v>228</v>
      </c>
      <c r="D750" s="3">
        <v>16</v>
      </c>
      <c r="E750" s="3">
        <v>33</v>
      </c>
      <c r="F750" s="3">
        <v>125</v>
      </c>
      <c r="H750" t="str">
        <f t="shared" si="11"/>
        <v>densiflora-16</v>
      </c>
      <c r="I750" s="3">
        <v>330</v>
      </c>
    </row>
    <row r="751" spans="1:9" ht="18.75" customHeight="1" x14ac:dyDescent="0.3">
      <c r="A751" t="s">
        <v>28</v>
      </c>
      <c r="B751" t="s">
        <v>37</v>
      </c>
      <c r="C751" t="s">
        <v>45</v>
      </c>
      <c r="D751" s="3">
        <v>4</v>
      </c>
      <c r="E751" s="3">
        <v>15</v>
      </c>
      <c r="F751" s="3">
        <v>50</v>
      </c>
      <c r="H751" t="str">
        <f t="shared" si="11"/>
        <v>eburneum-4</v>
      </c>
      <c r="I751" s="3">
        <v>340</v>
      </c>
    </row>
    <row r="752" spans="1:9" ht="18.75" customHeight="1" x14ac:dyDescent="0.3">
      <c r="A752" t="s">
        <v>239</v>
      </c>
      <c r="B752" t="s">
        <v>245</v>
      </c>
      <c r="C752" t="s">
        <v>276</v>
      </c>
      <c r="D752" s="3">
        <v>17</v>
      </c>
      <c r="E752" s="3">
        <v>185</v>
      </c>
      <c r="F752" s="3">
        <v>844</v>
      </c>
      <c r="H752" t="str">
        <f t="shared" si="11"/>
        <v>lucida-17</v>
      </c>
      <c r="I752" s="3">
        <v>340</v>
      </c>
    </row>
    <row r="753" spans="1:9" ht="18.75" customHeight="1" x14ac:dyDescent="0.3">
      <c r="A753" t="s">
        <v>363</v>
      </c>
      <c r="B753" t="s">
        <v>374</v>
      </c>
      <c r="C753" t="s">
        <v>378</v>
      </c>
      <c r="D753" s="3">
        <v>26</v>
      </c>
      <c r="E753" s="3">
        <v>115</v>
      </c>
      <c r="F753" s="3">
        <v>519</v>
      </c>
      <c r="H753" t="str">
        <f t="shared" si="11"/>
        <v>navalium-26</v>
      </c>
      <c r="I753" s="3">
        <v>340</v>
      </c>
    </row>
    <row r="754" spans="1:9" ht="18.75" customHeight="1" x14ac:dyDescent="0.3">
      <c r="A754" t="s">
        <v>942</v>
      </c>
      <c r="B754" t="s">
        <v>945</v>
      </c>
      <c r="C754" t="s">
        <v>946</v>
      </c>
      <c r="D754" s="3">
        <v>56</v>
      </c>
      <c r="E754" s="3">
        <v>84</v>
      </c>
      <c r="F754" s="3">
        <v>329</v>
      </c>
      <c r="H754" t="str">
        <f t="shared" si="11"/>
        <v>bancanus-56</v>
      </c>
      <c r="I754" s="3">
        <v>340</v>
      </c>
    </row>
    <row r="755" spans="1:9" ht="18.75" customHeight="1" x14ac:dyDescent="0.3">
      <c r="A755" t="s">
        <v>957</v>
      </c>
      <c r="B755" t="s">
        <v>960</v>
      </c>
      <c r="C755" t="s">
        <v>961</v>
      </c>
      <c r="D755" s="3">
        <v>59</v>
      </c>
      <c r="E755" s="3">
        <v>161</v>
      </c>
      <c r="F755" s="3">
        <v>701</v>
      </c>
      <c r="H755" t="str">
        <f t="shared" si="11"/>
        <v>albifora-59</v>
      </c>
      <c r="I755" s="3">
        <v>340</v>
      </c>
    </row>
    <row r="756" spans="1:9" ht="18.75" customHeight="1" x14ac:dyDescent="0.3">
      <c r="A756" t="s">
        <v>957</v>
      </c>
      <c r="B756" t="s">
        <v>962</v>
      </c>
      <c r="C756" t="s">
        <v>798</v>
      </c>
      <c r="D756" s="3">
        <v>59</v>
      </c>
      <c r="E756" s="3">
        <v>195</v>
      </c>
      <c r="F756" s="3">
        <v>921</v>
      </c>
      <c r="H756" t="str">
        <f t="shared" si="11"/>
        <v>guatemalensis-59</v>
      </c>
      <c r="I756" s="3">
        <v>340</v>
      </c>
    </row>
    <row r="757" spans="1:9" ht="18.75" customHeight="1" x14ac:dyDescent="0.3">
      <c r="A757" t="s">
        <v>67</v>
      </c>
      <c r="B757" t="s">
        <v>68</v>
      </c>
      <c r="C757" t="s">
        <v>69</v>
      </c>
      <c r="D757" s="3">
        <v>5</v>
      </c>
      <c r="E757" s="3">
        <v>57</v>
      </c>
      <c r="F757" s="3">
        <v>206</v>
      </c>
      <c r="H757" t="str">
        <f t="shared" si="11"/>
        <v>morototoni-5</v>
      </c>
      <c r="I757" s="3">
        <v>350</v>
      </c>
    </row>
    <row r="758" spans="1:9" ht="18.75" customHeight="1" x14ac:dyDescent="0.3">
      <c r="A758" t="s">
        <v>171</v>
      </c>
      <c r="B758" t="s">
        <v>188</v>
      </c>
      <c r="C758" t="s">
        <v>106</v>
      </c>
      <c r="D758" s="3">
        <v>15</v>
      </c>
      <c r="E758" s="3">
        <v>107</v>
      </c>
      <c r="F758" s="3">
        <v>423</v>
      </c>
      <c r="H758" t="str">
        <f t="shared" si="11"/>
        <v>incana-15</v>
      </c>
      <c r="I758" s="3">
        <v>350</v>
      </c>
    </row>
    <row r="759" spans="1:9" ht="18.75" customHeight="1" x14ac:dyDescent="0.3">
      <c r="A759" t="s">
        <v>456</v>
      </c>
      <c r="B759" t="s">
        <v>483</v>
      </c>
      <c r="C759" t="s">
        <v>488</v>
      </c>
      <c r="D759" s="3">
        <v>29</v>
      </c>
      <c r="E759" s="3">
        <v>47</v>
      </c>
      <c r="F759" s="3">
        <v>169</v>
      </c>
      <c r="H759" t="str">
        <f t="shared" si="11"/>
        <v>officinalis-29</v>
      </c>
      <c r="I759" s="3">
        <v>350</v>
      </c>
    </row>
    <row r="760" spans="1:9" ht="18.75" customHeight="1" x14ac:dyDescent="0.3">
      <c r="A760" t="s">
        <v>456</v>
      </c>
      <c r="B760" t="s">
        <v>500</v>
      </c>
      <c r="C760" t="s">
        <v>503</v>
      </c>
      <c r="D760" s="3">
        <v>29</v>
      </c>
      <c r="E760" s="3">
        <v>97</v>
      </c>
      <c r="F760" s="3">
        <v>368</v>
      </c>
      <c r="H760" t="str">
        <f t="shared" si="11"/>
        <v>davisii-29</v>
      </c>
      <c r="I760" s="3">
        <v>350</v>
      </c>
    </row>
    <row r="761" spans="1:9" ht="18.75" customHeight="1" x14ac:dyDescent="0.3">
      <c r="A761" t="s">
        <v>456</v>
      </c>
      <c r="B761" t="s">
        <v>500</v>
      </c>
      <c r="C761" t="s">
        <v>60</v>
      </c>
      <c r="D761" s="3">
        <v>29</v>
      </c>
      <c r="E761" s="3">
        <v>97</v>
      </c>
      <c r="F761" s="3">
        <v>372</v>
      </c>
      <c r="H761" t="str">
        <f t="shared" si="11"/>
        <v>sp-29</v>
      </c>
      <c r="I761" s="3">
        <v>350</v>
      </c>
    </row>
    <row r="762" spans="1:9" ht="18.75" customHeight="1" x14ac:dyDescent="0.3">
      <c r="A762" t="s">
        <v>536</v>
      </c>
      <c r="B762" t="s">
        <v>537</v>
      </c>
      <c r="C762" t="s">
        <v>540</v>
      </c>
      <c r="D762" s="3">
        <v>30</v>
      </c>
      <c r="E762" s="3">
        <v>1</v>
      </c>
      <c r="F762" s="3">
        <v>3</v>
      </c>
      <c r="H762" t="str">
        <f t="shared" si="11"/>
        <v>macracantha-30</v>
      </c>
      <c r="I762" s="3">
        <v>350</v>
      </c>
    </row>
    <row r="763" spans="1:9" ht="18.75" customHeight="1" x14ac:dyDescent="0.3">
      <c r="A763" t="s">
        <v>843</v>
      </c>
      <c r="B763" t="s">
        <v>844</v>
      </c>
      <c r="C763" t="s">
        <v>21</v>
      </c>
      <c r="D763" s="3">
        <v>40</v>
      </c>
      <c r="E763" s="3">
        <v>118</v>
      </c>
      <c r="F763" s="3">
        <v>527</v>
      </c>
      <c r="H763" t="str">
        <f t="shared" si="11"/>
        <v>guianensis-40</v>
      </c>
      <c r="I763" s="3">
        <v>350</v>
      </c>
    </row>
    <row r="764" spans="1:9" ht="18.75" customHeight="1" x14ac:dyDescent="0.3">
      <c r="A764" t="s">
        <v>875</v>
      </c>
      <c r="B764" t="s">
        <v>887</v>
      </c>
      <c r="C764" t="s">
        <v>60</v>
      </c>
      <c r="D764" s="3">
        <v>50</v>
      </c>
      <c r="E764" s="3">
        <v>104</v>
      </c>
      <c r="F764" s="3">
        <v>391</v>
      </c>
      <c r="H764" t="str">
        <f t="shared" si="11"/>
        <v>sp-50</v>
      </c>
      <c r="I764" s="3">
        <v>350</v>
      </c>
    </row>
    <row r="765" spans="1:9" ht="18.75" customHeight="1" x14ac:dyDescent="0.3">
      <c r="A765" t="s">
        <v>171</v>
      </c>
      <c r="B765" t="s">
        <v>188</v>
      </c>
      <c r="C765" t="s">
        <v>202</v>
      </c>
      <c r="D765" s="3">
        <v>15</v>
      </c>
      <c r="E765" s="3">
        <v>107</v>
      </c>
      <c r="F765" s="3">
        <v>426</v>
      </c>
      <c r="H765" t="str">
        <f t="shared" si="11"/>
        <v>licaniaeflora-15</v>
      </c>
      <c r="I765" s="3">
        <v>360</v>
      </c>
    </row>
    <row r="766" spans="1:9" ht="18.75" customHeight="1" x14ac:dyDescent="0.3">
      <c r="A766" t="s">
        <v>239</v>
      </c>
      <c r="B766" t="s">
        <v>245</v>
      </c>
      <c r="C766" t="s">
        <v>267</v>
      </c>
      <c r="D766" s="3">
        <v>17</v>
      </c>
      <c r="E766" s="3">
        <v>185</v>
      </c>
      <c r="F766" s="3">
        <v>834</v>
      </c>
      <c r="H766" t="str">
        <f t="shared" si="11"/>
        <v>dichotoma-17</v>
      </c>
      <c r="I766" s="3">
        <v>360</v>
      </c>
    </row>
    <row r="767" spans="1:9" ht="18.75" customHeight="1" x14ac:dyDescent="0.3">
      <c r="A767" t="s">
        <v>363</v>
      </c>
      <c r="B767" t="s">
        <v>390</v>
      </c>
      <c r="C767" t="s">
        <v>21</v>
      </c>
      <c r="D767" s="3">
        <v>26</v>
      </c>
      <c r="E767" s="3">
        <v>126</v>
      </c>
      <c r="F767" s="3">
        <v>579</v>
      </c>
      <c r="H767" t="str">
        <f t="shared" si="11"/>
        <v>guianensis-26</v>
      </c>
      <c r="I767" s="3">
        <v>360</v>
      </c>
    </row>
    <row r="768" spans="1:9" ht="18.75" customHeight="1" x14ac:dyDescent="0.3">
      <c r="A768" t="s">
        <v>593</v>
      </c>
      <c r="B768" t="s">
        <v>656</v>
      </c>
      <c r="C768" t="s">
        <v>157</v>
      </c>
      <c r="D768" s="3">
        <v>31</v>
      </c>
      <c r="E768" s="3">
        <v>112</v>
      </c>
      <c r="F768" s="3">
        <v>507</v>
      </c>
      <c r="H768" t="str">
        <f t="shared" si="11"/>
        <v>villosum-31</v>
      </c>
      <c r="I768" s="3">
        <v>360</v>
      </c>
    </row>
    <row r="769" spans="1:9" ht="18.75" customHeight="1" x14ac:dyDescent="0.3">
      <c r="A769" t="s">
        <v>790</v>
      </c>
      <c r="B769" t="s">
        <v>791</v>
      </c>
      <c r="C769" t="s">
        <v>801</v>
      </c>
      <c r="D769" s="3">
        <v>37</v>
      </c>
      <c r="E769" s="3">
        <v>194</v>
      </c>
      <c r="F769" s="3">
        <v>907</v>
      </c>
      <c r="H769" t="str">
        <f t="shared" si="11"/>
        <v>melinonii-37</v>
      </c>
      <c r="I769" s="3">
        <v>360</v>
      </c>
    </row>
    <row r="770" spans="1:9" ht="18.75" customHeight="1" x14ac:dyDescent="0.3">
      <c r="A770" t="s">
        <v>71</v>
      </c>
      <c r="B770" t="s">
        <v>72</v>
      </c>
      <c r="C770" t="s">
        <v>74</v>
      </c>
      <c r="D770" s="3">
        <v>6</v>
      </c>
      <c r="E770" s="3">
        <v>14</v>
      </c>
      <c r="F770" s="3">
        <v>42</v>
      </c>
      <c r="H770" t="str">
        <f t="shared" si="11"/>
        <v>araucana-6</v>
      </c>
      <c r="I770" s="3">
        <v>370</v>
      </c>
    </row>
    <row r="771" spans="1:9" ht="18.75" customHeight="1" x14ac:dyDescent="0.3">
      <c r="A771" t="s">
        <v>347</v>
      </c>
      <c r="B771" t="s">
        <v>350</v>
      </c>
      <c r="C771" t="s">
        <v>214</v>
      </c>
      <c r="D771" s="3">
        <v>24</v>
      </c>
      <c r="E771" s="3">
        <v>191</v>
      </c>
      <c r="F771" s="3">
        <v>889</v>
      </c>
      <c r="H771" t="str">
        <f t="shared" ref="H771:H834" si="12">_xlfn.CONCAT(C771,"-",D771)</f>
        <v>parviflora-24</v>
      </c>
      <c r="I771" s="3">
        <v>370</v>
      </c>
    </row>
    <row r="772" spans="1:9" ht="18.75" customHeight="1" x14ac:dyDescent="0.3">
      <c r="A772" t="s">
        <v>75</v>
      </c>
      <c r="B772" t="s">
        <v>82</v>
      </c>
      <c r="C772" t="s">
        <v>86</v>
      </c>
      <c r="D772" s="3">
        <v>7</v>
      </c>
      <c r="E772" s="3">
        <v>178</v>
      </c>
      <c r="F772" s="3">
        <v>763</v>
      </c>
      <c r="H772" t="str">
        <f t="shared" si="12"/>
        <v>avellanedae-7</v>
      </c>
      <c r="I772" s="3">
        <v>380</v>
      </c>
    </row>
    <row r="773" spans="1:9" ht="18.75" customHeight="1" x14ac:dyDescent="0.3">
      <c r="A773" t="s">
        <v>536</v>
      </c>
      <c r="B773" t="s">
        <v>542</v>
      </c>
      <c r="C773" t="s">
        <v>543</v>
      </c>
      <c r="D773" s="3">
        <v>30</v>
      </c>
      <c r="E773" s="3">
        <v>3</v>
      </c>
      <c r="F773" s="3">
        <v>15</v>
      </c>
      <c r="H773" t="str">
        <f t="shared" si="12"/>
        <v>caribaea-30</v>
      </c>
      <c r="I773" s="3">
        <v>380</v>
      </c>
    </row>
    <row r="774" spans="1:9" ht="18.75" customHeight="1" x14ac:dyDescent="0.3">
      <c r="A774" t="s">
        <v>171</v>
      </c>
      <c r="B774" t="s">
        <v>172</v>
      </c>
      <c r="C774" t="s">
        <v>187</v>
      </c>
      <c r="D774" s="3">
        <v>15</v>
      </c>
      <c r="E774" s="3">
        <v>91</v>
      </c>
      <c r="F774" s="3">
        <v>359</v>
      </c>
      <c r="H774" t="str">
        <f t="shared" si="12"/>
        <v>triandra-15</v>
      </c>
      <c r="I774" s="3">
        <v>390</v>
      </c>
    </row>
    <row r="775" spans="1:9" ht="18.75" customHeight="1" x14ac:dyDescent="0.3">
      <c r="A775" t="s">
        <v>363</v>
      </c>
      <c r="B775" t="s">
        <v>390</v>
      </c>
      <c r="C775" t="s">
        <v>64</v>
      </c>
      <c r="D775" s="3">
        <v>26</v>
      </c>
      <c r="E775" s="3">
        <v>126</v>
      </c>
      <c r="F775" s="3">
        <v>572</v>
      </c>
      <c r="H775" t="str">
        <f t="shared" si="12"/>
        <v>costulata-26</v>
      </c>
      <c r="I775" s="3">
        <v>390</v>
      </c>
    </row>
    <row r="776" spans="1:9" ht="18.75" customHeight="1" x14ac:dyDescent="0.3">
      <c r="A776" t="s">
        <v>593</v>
      </c>
      <c r="B776" t="s">
        <v>683</v>
      </c>
      <c r="C776" t="s">
        <v>685</v>
      </c>
      <c r="D776" s="3">
        <v>31</v>
      </c>
      <c r="E776" s="3">
        <v>136</v>
      </c>
      <c r="F776" s="3">
        <v>617</v>
      </c>
      <c r="H776" t="str">
        <f t="shared" si="12"/>
        <v>elata-31</v>
      </c>
      <c r="I776" s="3">
        <v>390</v>
      </c>
    </row>
    <row r="777" spans="1:9" ht="18.75" customHeight="1" x14ac:dyDescent="0.3">
      <c r="A777" t="s">
        <v>593</v>
      </c>
      <c r="B777" t="s">
        <v>694</v>
      </c>
      <c r="C777" t="s">
        <v>699</v>
      </c>
      <c r="D777" s="3">
        <v>31</v>
      </c>
      <c r="E777" s="3">
        <v>157</v>
      </c>
      <c r="F777" s="3">
        <v>689</v>
      </c>
      <c r="H777" t="str">
        <f t="shared" si="12"/>
        <v>macrocarpus-31</v>
      </c>
      <c r="I777" s="3">
        <v>390</v>
      </c>
    </row>
    <row r="778" spans="1:9" ht="18.75" customHeight="1" x14ac:dyDescent="0.3">
      <c r="A778" t="s">
        <v>832</v>
      </c>
      <c r="B778" t="s">
        <v>833</v>
      </c>
      <c r="C778" t="s">
        <v>212</v>
      </c>
      <c r="D778" s="3">
        <v>39</v>
      </c>
      <c r="E778" s="3">
        <v>124</v>
      </c>
      <c r="F778" s="3">
        <v>562</v>
      </c>
      <c r="H778" t="str">
        <f t="shared" si="12"/>
        <v>ovalifolia-39</v>
      </c>
      <c r="I778" s="3">
        <v>390</v>
      </c>
    </row>
    <row r="779" spans="1:9" ht="18.75" customHeight="1" x14ac:dyDescent="0.3">
      <c r="A779" t="s">
        <v>875</v>
      </c>
      <c r="B779" t="s">
        <v>918</v>
      </c>
      <c r="C779" t="s">
        <v>204</v>
      </c>
      <c r="D779" s="3">
        <v>50</v>
      </c>
      <c r="E779" s="3">
        <v>164</v>
      </c>
      <c r="F779" s="3">
        <v>711</v>
      </c>
      <c r="H779" t="str">
        <f t="shared" si="12"/>
        <v>macrophylla-50</v>
      </c>
      <c r="I779" s="3">
        <v>390</v>
      </c>
    </row>
    <row r="780" spans="1:9" ht="18.75" customHeight="1" x14ac:dyDescent="0.3">
      <c r="A780" t="s">
        <v>875</v>
      </c>
      <c r="B780" t="s">
        <v>922</v>
      </c>
      <c r="C780" t="s">
        <v>179</v>
      </c>
      <c r="D780" s="3">
        <v>50</v>
      </c>
      <c r="E780" s="3">
        <v>190</v>
      </c>
      <c r="F780" s="3">
        <v>883</v>
      </c>
      <c r="H780" t="str">
        <f t="shared" si="12"/>
        <v>excelsa-50</v>
      </c>
      <c r="I780" s="3">
        <v>390</v>
      </c>
    </row>
    <row r="781" spans="1:9" ht="18.75" customHeight="1" x14ac:dyDescent="0.3">
      <c r="A781" t="s">
        <v>7</v>
      </c>
      <c r="B781" t="s">
        <v>14</v>
      </c>
      <c r="C781" t="s">
        <v>19</v>
      </c>
      <c r="D781" s="3">
        <v>2</v>
      </c>
      <c r="E781" s="3">
        <v>16</v>
      </c>
      <c r="F781" s="3">
        <v>73</v>
      </c>
      <c r="H781" t="str">
        <f t="shared" si="12"/>
        <v>urundeuva-2</v>
      </c>
      <c r="I781" s="3">
        <v>400</v>
      </c>
    </row>
    <row r="782" spans="1:9" ht="18.75" customHeight="1" x14ac:dyDescent="0.3">
      <c r="A782" t="s">
        <v>171</v>
      </c>
      <c r="B782" t="s">
        <v>188</v>
      </c>
      <c r="C782" t="s">
        <v>214</v>
      </c>
      <c r="D782" s="3">
        <v>15</v>
      </c>
      <c r="E782" s="3">
        <v>107</v>
      </c>
      <c r="F782" s="3">
        <v>439</v>
      </c>
      <c r="H782" t="str">
        <f t="shared" si="12"/>
        <v>parviflora-15</v>
      </c>
      <c r="I782" s="3">
        <v>400</v>
      </c>
    </row>
    <row r="783" spans="1:9" ht="18.75" customHeight="1" x14ac:dyDescent="0.3">
      <c r="A783" t="s">
        <v>239</v>
      </c>
      <c r="B783" t="s">
        <v>245</v>
      </c>
      <c r="C783" t="s">
        <v>260</v>
      </c>
      <c r="D783" s="3">
        <v>17</v>
      </c>
      <c r="E783" s="3">
        <v>185</v>
      </c>
      <c r="F783" s="3">
        <v>827</v>
      </c>
      <c r="H783" t="str">
        <f t="shared" si="12"/>
        <v>chebula-17</v>
      </c>
      <c r="I783" s="3">
        <v>400</v>
      </c>
    </row>
    <row r="784" spans="1:9" ht="18.75" customHeight="1" x14ac:dyDescent="0.3">
      <c r="A784" t="s">
        <v>239</v>
      </c>
      <c r="B784" t="s">
        <v>245</v>
      </c>
      <c r="C784" t="s">
        <v>298</v>
      </c>
      <c r="D784" s="3">
        <v>17</v>
      </c>
      <c r="E784" s="3">
        <v>185</v>
      </c>
      <c r="F784" s="3">
        <v>867</v>
      </c>
      <c r="H784" t="str">
        <f t="shared" si="12"/>
        <v>sericea-17</v>
      </c>
      <c r="I784" s="3">
        <v>400</v>
      </c>
    </row>
    <row r="785" spans="1:9" ht="18.75" customHeight="1" x14ac:dyDescent="0.3">
      <c r="A785" t="s">
        <v>416</v>
      </c>
      <c r="B785" t="s">
        <v>447</v>
      </c>
      <c r="C785" t="s">
        <v>448</v>
      </c>
      <c r="D785" s="3">
        <v>27</v>
      </c>
      <c r="E785" s="3">
        <v>92</v>
      </c>
      <c r="F785" s="3">
        <v>360</v>
      </c>
      <c r="H785" t="str">
        <f t="shared" si="12"/>
        <v>jarana-27</v>
      </c>
      <c r="I785" s="3">
        <v>400</v>
      </c>
    </row>
    <row r="786" spans="1:9" ht="18.75" customHeight="1" x14ac:dyDescent="0.3">
      <c r="A786" t="s">
        <v>745</v>
      </c>
      <c r="B786" t="s">
        <v>748</v>
      </c>
      <c r="C786" t="s">
        <v>490</v>
      </c>
      <c r="D786" s="3">
        <v>36</v>
      </c>
      <c r="E786" s="3">
        <v>24</v>
      </c>
      <c r="F786" s="3">
        <v>86</v>
      </c>
      <c r="H786" t="str">
        <f t="shared" si="12"/>
        <v>guianense-36</v>
      </c>
      <c r="I786" s="3">
        <v>400</v>
      </c>
    </row>
    <row r="787" spans="1:9" ht="18.75" customHeight="1" x14ac:dyDescent="0.3">
      <c r="A787" t="s">
        <v>28</v>
      </c>
      <c r="B787" t="s">
        <v>29</v>
      </c>
      <c r="C787" t="s">
        <v>33</v>
      </c>
      <c r="D787" s="3">
        <v>4</v>
      </c>
      <c r="E787" s="3">
        <v>5</v>
      </c>
      <c r="F787" s="3">
        <v>20</v>
      </c>
      <c r="H787" t="str">
        <f t="shared" si="12"/>
        <v>macropylla-4</v>
      </c>
      <c r="I787" s="3">
        <v>410</v>
      </c>
    </row>
    <row r="788" spans="1:9" ht="18.75" customHeight="1" x14ac:dyDescent="0.3">
      <c r="A788" t="s">
        <v>875</v>
      </c>
      <c r="B788" t="s">
        <v>896</v>
      </c>
      <c r="C788" t="s">
        <v>916</v>
      </c>
      <c r="D788" s="3">
        <v>50</v>
      </c>
      <c r="E788" s="3">
        <v>152</v>
      </c>
      <c r="F788" s="3">
        <v>677</v>
      </c>
      <c r="H788" t="str">
        <f t="shared" si="12"/>
        <v>trilocularis-50</v>
      </c>
      <c r="I788" s="3">
        <v>410</v>
      </c>
    </row>
    <row r="789" spans="1:9" ht="18.75" customHeight="1" x14ac:dyDescent="0.3">
      <c r="A789" t="s">
        <v>171</v>
      </c>
      <c r="B789" t="s">
        <v>188</v>
      </c>
      <c r="C789" t="s">
        <v>193</v>
      </c>
      <c r="D789" s="3">
        <v>15</v>
      </c>
      <c r="E789" s="3">
        <v>107</v>
      </c>
      <c r="F789" s="3">
        <v>415</v>
      </c>
      <c r="H789" t="str">
        <f t="shared" si="12"/>
        <v>emarginata-15</v>
      </c>
      <c r="I789" s="3">
        <v>420</v>
      </c>
    </row>
    <row r="790" spans="1:9" ht="18.75" customHeight="1" x14ac:dyDescent="0.3">
      <c r="A790" t="s">
        <v>745</v>
      </c>
      <c r="B790" t="s">
        <v>757</v>
      </c>
      <c r="C790" t="s">
        <v>768</v>
      </c>
      <c r="D790" s="3">
        <v>36</v>
      </c>
      <c r="E790" s="3">
        <v>79</v>
      </c>
      <c r="F790" s="3">
        <v>299</v>
      </c>
      <c r="H790" t="str">
        <f t="shared" si="12"/>
        <v>benghalensis-36</v>
      </c>
      <c r="I790" s="3">
        <v>420</v>
      </c>
    </row>
    <row r="791" spans="1:9" ht="18.75" customHeight="1" x14ac:dyDescent="0.3">
      <c r="A791" t="s">
        <v>28</v>
      </c>
      <c r="B791" t="s">
        <v>37</v>
      </c>
      <c r="C791" t="s">
        <v>62</v>
      </c>
      <c r="D791" s="3">
        <v>4</v>
      </c>
      <c r="E791" s="3">
        <v>15</v>
      </c>
      <c r="F791" s="3">
        <v>68</v>
      </c>
      <c r="H791" t="str">
        <f t="shared" si="12"/>
        <v>tomentosum-4</v>
      </c>
      <c r="I791" s="3">
        <v>440</v>
      </c>
    </row>
    <row r="792" spans="1:9" ht="18.75" customHeight="1" x14ac:dyDescent="0.3">
      <c r="A792" t="s">
        <v>593</v>
      </c>
      <c r="B792" t="s">
        <v>679</v>
      </c>
      <c r="C792" t="s">
        <v>680</v>
      </c>
      <c r="D792" s="3">
        <v>31</v>
      </c>
      <c r="E792" s="3">
        <v>122</v>
      </c>
      <c r="F792" s="3">
        <v>536</v>
      </c>
      <c r="H792" t="str">
        <f t="shared" si="12"/>
        <v>balsamum-31</v>
      </c>
      <c r="I792" s="3">
        <v>440</v>
      </c>
    </row>
    <row r="793" spans="1:9" ht="18.75" customHeight="1" x14ac:dyDescent="0.3">
      <c r="A793" t="s">
        <v>712</v>
      </c>
      <c r="B793" t="s">
        <v>713</v>
      </c>
      <c r="C793" t="s">
        <v>717</v>
      </c>
      <c r="D793" s="3">
        <v>33</v>
      </c>
      <c r="E793" s="3">
        <v>28</v>
      </c>
      <c r="F793" s="3">
        <v>107</v>
      </c>
      <c r="H793" t="str">
        <f t="shared" si="12"/>
        <v>fluminensis-33</v>
      </c>
      <c r="I793" s="3">
        <v>440</v>
      </c>
    </row>
    <row r="794" spans="1:9" ht="18.75" customHeight="1" x14ac:dyDescent="0.3">
      <c r="A794" t="s">
        <v>134</v>
      </c>
      <c r="B794" t="s">
        <v>135</v>
      </c>
      <c r="C794" t="s">
        <v>140</v>
      </c>
      <c r="D794" s="3">
        <v>10</v>
      </c>
      <c r="E794" s="3">
        <v>48</v>
      </c>
      <c r="F794" s="3">
        <v>175</v>
      </c>
      <c r="H794" t="str">
        <f t="shared" si="12"/>
        <v>megalantha-10</v>
      </c>
      <c r="I794" s="3">
        <v>450</v>
      </c>
    </row>
    <row r="795" spans="1:9" ht="18.75" customHeight="1" x14ac:dyDescent="0.3">
      <c r="A795" t="s">
        <v>171</v>
      </c>
      <c r="B795" t="s">
        <v>188</v>
      </c>
      <c r="C795" t="s">
        <v>189</v>
      </c>
      <c r="D795" s="3">
        <v>15</v>
      </c>
      <c r="E795" s="3">
        <v>107</v>
      </c>
      <c r="F795" s="3">
        <v>409</v>
      </c>
      <c r="H795" t="str">
        <f t="shared" si="12"/>
        <v>apetala-15</v>
      </c>
      <c r="I795" s="3">
        <v>450</v>
      </c>
    </row>
    <row r="796" spans="1:9" ht="18.75" customHeight="1" x14ac:dyDescent="0.3">
      <c r="A796" t="s">
        <v>416</v>
      </c>
      <c r="B796" t="s">
        <v>427</v>
      </c>
      <c r="C796" t="s">
        <v>440</v>
      </c>
      <c r="D796" s="3">
        <v>27</v>
      </c>
      <c r="E796" s="3">
        <v>73</v>
      </c>
      <c r="F796" s="3">
        <v>251</v>
      </c>
      <c r="H796" t="str">
        <f t="shared" si="12"/>
        <v>odora-27</v>
      </c>
      <c r="I796" s="3">
        <v>450</v>
      </c>
    </row>
    <row r="797" spans="1:9" ht="18.75" customHeight="1" x14ac:dyDescent="0.3">
      <c r="A797" t="s">
        <v>239</v>
      </c>
      <c r="B797" t="s">
        <v>245</v>
      </c>
      <c r="C797" t="s">
        <v>283</v>
      </c>
      <c r="D797" s="3">
        <v>17</v>
      </c>
      <c r="E797" s="3">
        <v>185</v>
      </c>
      <c r="F797" s="3">
        <v>852</v>
      </c>
      <c r="H797" t="str">
        <f t="shared" si="12"/>
        <v>obionga-17</v>
      </c>
      <c r="I797" s="3">
        <v>470</v>
      </c>
    </row>
    <row r="798" spans="1:9" ht="18.75" customHeight="1" x14ac:dyDescent="0.3">
      <c r="A798" t="s">
        <v>321</v>
      </c>
      <c r="B798" t="s">
        <v>322</v>
      </c>
      <c r="C798" t="s">
        <v>60</v>
      </c>
      <c r="D798" s="3">
        <v>21</v>
      </c>
      <c r="E798" s="3">
        <v>173</v>
      </c>
      <c r="F798" s="3">
        <v>742</v>
      </c>
      <c r="H798" t="str">
        <f t="shared" si="12"/>
        <v>sp-21</v>
      </c>
      <c r="I798" s="3">
        <v>470</v>
      </c>
    </row>
    <row r="799" spans="1:9" ht="18.75" customHeight="1" x14ac:dyDescent="0.3">
      <c r="A799" t="s">
        <v>416</v>
      </c>
      <c r="B799" t="s">
        <v>450</v>
      </c>
      <c r="C799" t="s">
        <v>454</v>
      </c>
      <c r="D799" s="3">
        <v>27</v>
      </c>
      <c r="E799" s="3">
        <v>105</v>
      </c>
      <c r="F799" s="3">
        <v>398</v>
      </c>
      <c r="H799" t="str">
        <f t="shared" si="12"/>
        <v>pisonis-27</v>
      </c>
      <c r="I799" s="3">
        <v>470</v>
      </c>
    </row>
    <row r="800" spans="1:9" ht="18.75" customHeight="1" x14ac:dyDescent="0.3">
      <c r="A800" t="s">
        <v>725</v>
      </c>
      <c r="B800" t="s">
        <v>735</v>
      </c>
      <c r="C800" t="s">
        <v>326</v>
      </c>
      <c r="D800" s="3">
        <v>35</v>
      </c>
      <c r="E800" s="3">
        <v>88</v>
      </c>
      <c r="F800" s="3">
        <v>340</v>
      </c>
      <c r="H800" t="str">
        <f t="shared" si="12"/>
        <v>grandiflora-35</v>
      </c>
      <c r="I800" s="3">
        <v>470</v>
      </c>
    </row>
    <row r="801" spans="1:9" ht="18.75" customHeight="1" x14ac:dyDescent="0.3">
      <c r="A801" t="s">
        <v>28</v>
      </c>
      <c r="B801" t="s">
        <v>29</v>
      </c>
      <c r="C801" t="s">
        <v>32</v>
      </c>
      <c r="D801" s="3">
        <v>4</v>
      </c>
      <c r="E801" s="3">
        <v>5</v>
      </c>
      <c r="F801" s="3">
        <v>19</v>
      </c>
      <c r="H801" t="str">
        <f t="shared" si="12"/>
        <v>congensis-4</v>
      </c>
      <c r="I801" s="3">
        <v>480</v>
      </c>
    </row>
    <row r="802" spans="1:9" ht="18.75" customHeight="1" x14ac:dyDescent="0.3">
      <c r="A802" t="s">
        <v>222</v>
      </c>
      <c r="B802" t="s">
        <v>231</v>
      </c>
      <c r="C802" t="s">
        <v>204</v>
      </c>
      <c r="D802" s="3">
        <v>16</v>
      </c>
      <c r="E802" s="3">
        <v>163</v>
      </c>
      <c r="F802" s="3">
        <v>709</v>
      </c>
      <c r="H802" t="str">
        <f t="shared" si="12"/>
        <v>macrophylla-16</v>
      </c>
      <c r="I802" s="3">
        <v>480</v>
      </c>
    </row>
    <row r="803" spans="1:9" ht="18.75" customHeight="1" x14ac:dyDescent="0.3">
      <c r="A803" t="s">
        <v>416</v>
      </c>
      <c r="B803" t="s">
        <v>418</v>
      </c>
      <c r="C803" t="s">
        <v>419</v>
      </c>
      <c r="D803" s="3">
        <v>27</v>
      </c>
      <c r="E803" s="3">
        <v>35</v>
      </c>
      <c r="F803" s="3">
        <v>129</v>
      </c>
      <c r="H803" t="str">
        <f t="shared" si="12"/>
        <v>estrellensis-27</v>
      </c>
      <c r="I803" s="3">
        <v>480</v>
      </c>
    </row>
    <row r="804" spans="1:9" ht="18.75" customHeight="1" x14ac:dyDescent="0.3">
      <c r="A804" t="s">
        <v>957</v>
      </c>
      <c r="B804" t="s">
        <v>958</v>
      </c>
      <c r="C804" t="s">
        <v>959</v>
      </c>
      <c r="D804" s="3">
        <v>59</v>
      </c>
      <c r="E804" s="3">
        <v>72</v>
      </c>
      <c r="F804" s="3">
        <v>235</v>
      </c>
      <c r="H804" t="str">
        <f t="shared" si="12"/>
        <v>uncinatum-59</v>
      </c>
      <c r="I804" s="3">
        <v>480</v>
      </c>
    </row>
    <row r="805" spans="1:9" ht="18.75" customHeight="1" x14ac:dyDescent="0.3">
      <c r="A805" t="s">
        <v>924</v>
      </c>
      <c r="B805" t="s">
        <v>925</v>
      </c>
      <c r="C805" t="s">
        <v>926</v>
      </c>
      <c r="D805" s="3">
        <v>51</v>
      </c>
      <c r="E805" s="3">
        <v>171</v>
      </c>
      <c r="F805" s="3">
        <v>730</v>
      </c>
      <c r="H805" t="str">
        <f t="shared" si="12"/>
        <v>glauca-51</v>
      </c>
      <c r="I805" s="3">
        <v>490</v>
      </c>
    </row>
    <row r="806" spans="1:9" ht="18.75" customHeight="1" x14ac:dyDescent="0.3">
      <c r="A806" t="s">
        <v>456</v>
      </c>
      <c r="B806" t="s">
        <v>472</v>
      </c>
      <c r="C806" t="s">
        <v>473</v>
      </c>
      <c r="D806" s="3">
        <v>29</v>
      </c>
      <c r="E806" s="3">
        <v>18</v>
      </c>
      <c r="F806" s="3">
        <v>75</v>
      </c>
      <c r="H806" t="str">
        <f t="shared" si="12"/>
        <v>plurijaga-29</v>
      </c>
      <c r="I806" s="3">
        <v>500</v>
      </c>
    </row>
    <row r="807" spans="1:9" ht="18.75" customHeight="1" x14ac:dyDescent="0.3">
      <c r="A807" t="s">
        <v>456</v>
      </c>
      <c r="B807" t="s">
        <v>483</v>
      </c>
      <c r="C807" t="s">
        <v>484</v>
      </c>
      <c r="D807" s="3">
        <v>29</v>
      </c>
      <c r="E807" s="3">
        <v>47</v>
      </c>
      <c r="F807" s="3">
        <v>165</v>
      </c>
      <c r="H807" t="str">
        <f t="shared" si="12"/>
        <v>langsdorfii-29</v>
      </c>
      <c r="I807" s="3">
        <v>500</v>
      </c>
    </row>
    <row r="808" spans="1:9" ht="18.75" customHeight="1" x14ac:dyDescent="0.3">
      <c r="A808" t="s">
        <v>745</v>
      </c>
      <c r="B808" t="s">
        <v>757</v>
      </c>
      <c r="C808" t="s">
        <v>247</v>
      </c>
      <c r="D808" s="3">
        <v>36</v>
      </c>
      <c r="E808" s="3">
        <v>79</v>
      </c>
      <c r="F808" s="3">
        <v>288</v>
      </c>
      <c r="H808" t="str">
        <f t="shared" si="12"/>
        <v>altissima-36</v>
      </c>
      <c r="I808" s="3">
        <v>500</v>
      </c>
    </row>
    <row r="809" spans="1:9" ht="18.75" customHeight="1" x14ac:dyDescent="0.3">
      <c r="A809" t="s">
        <v>171</v>
      </c>
      <c r="B809" t="s">
        <v>188</v>
      </c>
      <c r="C809" t="s">
        <v>190</v>
      </c>
      <c r="D809" s="3">
        <v>15</v>
      </c>
      <c r="E809" s="3">
        <v>107</v>
      </c>
      <c r="F809" s="3">
        <v>410</v>
      </c>
      <c r="H809" t="str">
        <f t="shared" si="12"/>
        <v>britteniana-15</v>
      </c>
      <c r="I809" s="3">
        <v>510</v>
      </c>
    </row>
    <row r="810" spans="1:9" ht="18.75" customHeight="1" x14ac:dyDescent="0.3">
      <c r="A810" t="s">
        <v>171</v>
      </c>
      <c r="B810" t="s">
        <v>188</v>
      </c>
      <c r="C810" t="s">
        <v>216</v>
      </c>
      <c r="D810" s="3">
        <v>15</v>
      </c>
      <c r="E810" s="3">
        <v>107</v>
      </c>
      <c r="F810" s="3">
        <v>441</v>
      </c>
      <c r="H810" t="str">
        <f t="shared" si="12"/>
        <v>polita-15</v>
      </c>
      <c r="I810" s="3">
        <v>510</v>
      </c>
    </row>
    <row r="811" spans="1:9" ht="18.75" customHeight="1" x14ac:dyDescent="0.3">
      <c r="A811" t="s">
        <v>954</v>
      </c>
      <c r="B811" t="s">
        <v>955</v>
      </c>
      <c r="C811" t="s">
        <v>126</v>
      </c>
      <c r="D811" s="3">
        <v>58</v>
      </c>
      <c r="E811" s="3">
        <v>83</v>
      </c>
      <c r="F811" s="3">
        <v>328</v>
      </c>
      <c r="H811" t="str">
        <f t="shared" si="12"/>
        <v>arborea-58</v>
      </c>
      <c r="I811" s="3">
        <v>510</v>
      </c>
    </row>
    <row r="812" spans="1:9" ht="18.75" customHeight="1" x14ac:dyDescent="0.3">
      <c r="A812" t="s">
        <v>966</v>
      </c>
      <c r="B812" t="s">
        <v>967</v>
      </c>
      <c r="C812" t="s">
        <v>970</v>
      </c>
      <c r="D812" s="3">
        <v>60</v>
      </c>
      <c r="E812" s="3">
        <v>87</v>
      </c>
      <c r="F812" s="3">
        <v>338</v>
      </c>
      <c r="H812" t="str">
        <f t="shared" si="12"/>
        <v>sanctum-60</v>
      </c>
      <c r="I812" s="3">
        <v>520</v>
      </c>
    </row>
    <row r="813" spans="1:9" ht="18.75" customHeight="1" x14ac:dyDescent="0.3">
      <c r="A813" t="s">
        <v>75</v>
      </c>
      <c r="B813" t="s">
        <v>82</v>
      </c>
      <c r="C813" t="s">
        <v>113</v>
      </c>
      <c r="D813" s="3">
        <v>7</v>
      </c>
      <c r="E813" s="3">
        <v>178</v>
      </c>
      <c r="F813" s="3">
        <v>790</v>
      </c>
      <c r="H813" t="str">
        <f t="shared" si="12"/>
        <v>ochracea-7</v>
      </c>
      <c r="I813" s="3">
        <v>530</v>
      </c>
    </row>
    <row r="814" spans="1:9" ht="18.75" customHeight="1" x14ac:dyDescent="0.3">
      <c r="A814" t="s">
        <v>725</v>
      </c>
      <c r="B814" t="s">
        <v>737</v>
      </c>
      <c r="C814" t="s">
        <v>740</v>
      </c>
      <c r="D814" s="3">
        <v>35</v>
      </c>
      <c r="E814" s="3">
        <v>103</v>
      </c>
      <c r="F814" s="3">
        <v>388</v>
      </c>
      <c r="H814" t="str">
        <f t="shared" si="12"/>
        <v>senegalensis-35</v>
      </c>
      <c r="I814" s="3">
        <v>530</v>
      </c>
    </row>
    <row r="815" spans="1:9" ht="18.75" customHeight="1" x14ac:dyDescent="0.3">
      <c r="A815" t="s">
        <v>28</v>
      </c>
      <c r="B815" t="s">
        <v>63</v>
      </c>
      <c r="C815" t="s">
        <v>64</v>
      </c>
      <c r="D815" s="3">
        <v>4</v>
      </c>
      <c r="E815" s="3">
        <v>65</v>
      </c>
      <c r="F815" s="3">
        <v>221</v>
      </c>
      <c r="H815" t="str">
        <f t="shared" si="12"/>
        <v>costulata-4</v>
      </c>
      <c r="I815" s="3">
        <v>540</v>
      </c>
    </row>
    <row r="816" spans="1:9" ht="18.75" customHeight="1" x14ac:dyDescent="0.3">
      <c r="A816" t="s">
        <v>308</v>
      </c>
      <c r="B816" t="s">
        <v>311</v>
      </c>
      <c r="C816" t="s">
        <v>312</v>
      </c>
      <c r="D816" s="3">
        <v>18</v>
      </c>
      <c r="E816" s="3">
        <v>80</v>
      </c>
      <c r="F816" s="3">
        <v>323</v>
      </c>
      <c r="H816" t="str">
        <f t="shared" si="12"/>
        <v>cupressoides-18</v>
      </c>
      <c r="I816" s="3">
        <v>540</v>
      </c>
    </row>
    <row r="817" spans="1:9" ht="18.75" customHeight="1" x14ac:dyDescent="0.3">
      <c r="A817" t="s">
        <v>144</v>
      </c>
      <c r="B817" t="s">
        <v>148</v>
      </c>
      <c r="C817" t="s">
        <v>149</v>
      </c>
      <c r="D817" s="3">
        <v>11</v>
      </c>
      <c r="E817" s="3">
        <v>153</v>
      </c>
      <c r="F817" s="3">
        <v>679</v>
      </c>
      <c r="H817" t="str">
        <f t="shared" si="12"/>
        <v>heptaphyllum-11</v>
      </c>
      <c r="I817" s="3">
        <v>550</v>
      </c>
    </row>
    <row r="818" spans="1:9" ht="18.75" customHeight="1" x14ac:dyDescent="0.3">
      <c r="A818" t="s">
        <v>416</v>
      </c>
      <c r="B818" t="s">
        <v>427</v>
      </c>
      <c r="C818" t="s">
        <v>432</v>
      </c>
      <c r="D818" s="3">
        <v>27</v>
      </c>
      <c r="E818" s="3">
        <v>73</v>
      </c>
      <c r="F818" s="3">
        <v>241</v>
      </c>
      <c r="H818" t="str">
        <f t="shared" si="12"/>
        <v>coriacea-27</v>
      </c>
      <c r="I818" s="3">
        <v>550</v>
      </c>
    </row>
    <row r="819" spans="1:9" ht="18.75" customHeight="1" x14ac:dyDescent="0.3">
      <c r="A819" t="s">
        <v>790</v>
      </c>
      <c r="B819" t="s">
        <v>791</v>
      </c>
      <c r="C819" t="s">
        <v>177</v>
      </c>
      <c r="D819" s="3">
        <v>37</v>
      </c>
      <c r="E819" s="3">
        <v>194</v>
      </c>
      <c r="F819" s="3">
        <v>899</v>
      </c>
      <c r="H819" t="str">
        <f t="shared" si="12"/>
        <v>elongata-37</v>
      </c>
      <c r="I819" s="3">
        <v>550</v>
      </c>
    </row>
    <row r="820" spans="1:9" ht="18.75" customHeight="1" x14ac:dyDescent="0.3">
      <c r="A820" t="s">
        <v>239</v>
      </c>
      <c r="B820" t="s">
        <v>245</v>
      </c>
      <c r="C820" t="s">
        <v>273</v>
      </c>
      <c r="D820" s="3">
        <v>17</v>
      </c>
      <c r="E820" s="3">
        <v>185</v>
      </c>
      <c r="F820" s="3">
        <v>840</v>
      </c>
      <c r="H820" t="str">
        <f t="shared" si="12"/>
        <v>ivorensis-17</v>
      </c>
      <c r="I820" s="3">
        <v>560</v>
      </c>
    </row>
    <row r="821" spans="1:9" ht="18.75" customHeight="1" x14ac:dyDescent="0.3">
      <c r="A821" t="s">
        <v>745</v>
      </c>
      <c r="B821" t="s">
        <v>757</v>
      </c>
      <c r="C821" t="s">
        <v>765</v>
      </c>
      <c r="D821" s="3">
        <v>36</v>
      </c>
      <c r="E821" s="3">
        <v>79</v>
      </c>
      <c r="F821" s="3">
        <v>295</v>
      </c>
      <c r="H821" t="str">
        <f t="shared" si="12"/>
        <v>augustifolium-36</v>
      </c>
      <c r="I821" s="3">
        <v>560</v>
      </c>
    </row>
    <row r="822" spans="1:9" ht="18.75" customHeight="1" x14ac:dyDescent="0.3">
      <c r="A822" t="s">
        <v>875</v>
      </c>
      <c r="B822" t="s">
        <v>896</v>
      </c>
      <c r="C822" t="s">
        <v>903</v>
      </c>
      <c r="D822" s="3">
        <v>50</v>
      </c>
      <c r="E822" s="3">
        <v>152</v>
      </c>
      <c r="F822" s="3">
        <v>654</v>
      </c>
      <c r="H822" t="str">
        <f t="shared" si="12"/>
        <v>furcata-50</v>
      </c>
      <c r="I822" s="3">
        <v>560</v>
      </c>
    </row>
    <row r="823" spans="1:9" ht="18.75" customHeight="1" x14ac:dyDescent="0.3">
      <c r="A823" t="s">
        <v>745</v>
      </c>
      <c r="B823" t="s">
        <v>755</v>
      </c>
      <c r="C823" t="s">
        <v>21</v>
      </c>
      <c r="D823" s="3">
        <v>36</v>
      </c>
      <c r="E823" s="3">
        <v>44</v>
      </c>
      <c r="F823" s="3">
        <v>160</v>
      </c>
      <c r="H823" t="str">
        <f t="shared" si="12"/>
        <v>guianensis-36</v>
      </c>
      <c r="I823" s="3">
        <v>570</v>
      </c>
    </row>
    <row r="824" spans="1:9" ht="18.75" customHeight="1" x14ac:dyDescent="0.3">
      <c r="A824" t="s">
        <v>593</v>
      </c>
      <c r="B824" t="s">
        <v>707</v>
      </c>
      <c r="C824" t="s">
        <v>708</v>
      </c>
      <c r="D824" s="3">
        <v>31</v>
      </c>
      <c r="E824" s="3">
        <v>193</v>
      </c>
      <c r="F824" s="3">
        <v>895</v>
      </c>
      <c r="H824" t="str">
        <f t="shared" si="12"/>
        <v>araroba-31</v>
      </c>
      <c r="I824" s="3">
        <v>580</v>
      </c>
    </row>
    <row r="825" spans="1:9" ht="18.75" customHeight="1" x14ac:dyDescent="0.3">
      <c r="A825" t="s">
        <v>875</v>
      </c>
      <c r="B825" t="s">
        <v>884</v>
      </c>
      <c r="C825" t="s">
        <v>885</v>
      </c>
      <c r="D825" s="3">
        <v>50</v>
      </c>
      <c r="E825" s="3">
        <v>81</v>
      </c>
      <c r="F825" s="3">
        <v>324</v>
      </c>
      <c r="H825" t="str">
        <f t="shared" si="12"/>
        <v>anibifolia-50</v>
      </c>
      <c r="I825" s="3">
        <v>580</v>
      </c>
    </row>
    <row r="826" spans="1:9" ht="18.75" customHeight="1" x14ac:dyDescent="0.3">
      <c r="A826" t="s">
        <v>354</v>
      </c>
      <c r="B826" t="s">
        <v>355</v>
      </c>
      <c r="C826" t="s">
        <v>358</v>
      </c>
      <c r="D826" s="3">
        <v>25</v>
      </c>
      <c r="E826" s="3">
        <v>102</v>
      </c>
      <c r="F826" s="3">
        <v>383</v>
      </c>
      <c r="H826" t="str">
        <f t="shared" si="12"/>
        <v>neotropica-25</v>
      </c>
      <c r="I826" s="3">
        <v>590</v>
      </c>
    </row>
    <row r="827" spans="1:9" ht="18.75" customHeight="1" x14ac:dyDescent="0.3">
      <c r="A827" t="s">
        <v>593</v>
      </c>
      <c r="B827" t="s">
        <v>683</v>
      </c>
      <c r="C827" t="s">
        <v>684</v>
      </c>
      <c r="D827" s="3">
        <v>31</v>
      </c>
      <c r="E827" s="3">
        <v>136</v>
      </c>
      <c r="F827" s="3">
        <v>616</v>
      </c>
      <c r="H827" t="str">
        <f t="shared" si="12"/>
        <v>angolensis-31</v>
      </c>
      <c r="I827" s="3">
        <v>590</v>
      </c>
    </row>
    <row r="828" spans="1:9" ht="18.75" customHeight="1" x14ac:dyDescent="0.3">
      <c r="A828" t="s">
        <v>593</v>
      </c>
      <c r="B828" t="s">
        <v>688</v>
      </c>
      <c r="C828" t="s">
        <v>691</v>
      </c>
      <c r="D828" s="3">
        <v>31</v>
      </c>
      <c r="E828" s="3">
        <v>148</v>
      </c>
      <c r="F828" s="3">
        <v>639</v>
      </c>
      <c r="H828" t="str">
        <f t="shared" si="12"/>
        <v>pinnatum-31</v>
      </c>
      <c r="I828" s="3">
        <v>600</v>
      </c>
    </row>
    <row r="829" spans="1:9" ht="18.75" customHeight="1" x14ac:dyDescent="0.3">
      <c r="A829" t="s">
        <v>593</v>
      </c>
      <c r="B829" t="s">
        <v>617</v>
      </c>
      <c r="C829" t="s">
        <v>619</v>
      </c>
      <c r="D829" s="3">
        <v>31</v>
      </c>
      <c r="E829" s="3">
        <v>61</v>
      </c>
      <c r="F829" s="3">
        <v>217</v>
      </c>
      <c r="H829" t="str">
        <f t="shared" si="12"/>
        <v>odorata-31</v>
      </c>
      <c r="I829" s="3">
        <v>610</v>
      </c>
    </row>
    <row r="830" spans="1:9" ht="18.75" customHeight="1" x14ac:dyDescent="0.3">
      <c r="A830" t="s">
        <v>808</v>
      </c>
      <c r="B830" t="s">
        <v>809</v>
      </c>
      <c r="C830" t="s">
        <v>242</v>
      </c>
      <c r="D830" s="3">
        <v>38</v>
      </c>
      <c r="E830" s="3">
        <v>75</v>
      </c>
      <c r="F830" s="3">
        <v>260</v>
      </c>
      <c r="H830" t="str">
        <f t="shared" si="12"/>
        <v>grandis-38</v>
      </c>
      <c r="I830" s="3">
        <v>610</v>
      </c>
    </row>
    <row r="831" spans="1:9" ht="18.75" customHeight="1" x14ac:dyDescent="0.3">
      <c r="A831" t="s">
        <v>808</v>
      </c>
      <c r="B831" t="s">
        <v>810</v>
      </c>
      <c r="C831" t="s">
        <v>60</v>
      </c>
      <c r="D831" s="3">
        <v>38</v>
      </c>
      <c r="E831" s="3">
        <v>76</v>
      </c>
      <c r="F831" s="3">
        <v>280</v>
      </c>
      <c r="H831" t="str">
        <f t="shared" si="12"/>
        <v>sp-38</v>
      </c>
      <c r="I831" s="3">
        <v>620</v>
      </c>
    </row>
    <row r="832" spans="1:9" ht="18.75" customHeight="1" x14ac:dyDescent="0.3">
      <c r="A832" t="s">
        <v>725</v>
      </c>
      <c r="B832" t="s">
        <v>726</v>
      </c>
      <c r="C832" t="s">
        <v>727</v>
      </c>
      <c r="D832" s="3">
        <v>35</v>
      </c>
      <c r="E832" s="3">
        <v>29</v>
      </c>
      <c r="F832" s="3">
        <v>113</v>
      </c>
      <c r="H832" t="str">
        <f t="shared" si="12"/>
        <v>canjerana-35</v>
      </c>
      <c r="I832" s="3">
        <v>630</v>
      </c>
    </row>
    <row r="833" spans="1:9" ht="18.75" customHeight="1" x14ac:dyDescent="0.3">
      <c r="A833" t="s">
        <v>856</v>
      </c>
      <c r="B833" t="s">
        <v>857</v>
      </c>
      <c r="C833" t="s">
        <v>217</v>
      </c>
      <c r="D833" s="3">
        <v>44</v>
      </c>
      <c r="E833" s="3">
        <v>86</v>
      </c>
      <c r="F833" s="3">
        <v>335</v>
      </c>
      <c r="H833" t="str">
        <f t="shared" si="12"/>
        <v>robusta-44</v>
      </c>
      <c r="I833" s="3">
        <v>630</v>
      </c>
    </row>
    <row r="834" spans="1:9" ht="18.75" customHeight="1" x14ac:dyDescent="0.3">
      <c r="A834" t="s">
        <v>239</v>
      </c>
      <c r="B834" t="s">
        <v>245</v>
      </c>
      <c r="C834" t="s">
        <v>303</v>
      </c>
      <c r="D834" s="3">
        <v>17</v>
      </c>
      <c r="E834" s="3">
        <v>185</v>
      </c>
      <c r="F834" s="3">
        <v>873</v>
      </c>
      <c r="H834" t="str">
        <f t="shared" si="12"/>
        <v>superba-17</v>
      </c>
      <c r="I834" s="3">
        <v>640</v>
      </c>
    </row>
    <row r="835" spans="1:9" ht="18.75" customHeight="1" x14ac:dyDescent="0.3">
      <c r="A835" t="s">
        <v>354</v>
      </c>
      <c r="B835" t="s">
        <v>355</v>
      </c>
      <c r="C835" t="s">
        <v>356</v>
      </c>
      <c r="D835" s="3">
        <v>25</v>
      </c>
      <c r="E835" s="3">
        <v>102</v>
      </c>
      <c r="F835" s="3">
        <v>381</v>
      </c>
      <c r="H835" t="str">
        <f t="shared" ref="H835:H898" si="13">_xlfn.CONCAT(C835,"-",D835)</f>
        <v>cinerea-25</v>
      </c>
      <c r="I835" s="3">
        <v>650</v>
      </c>
    </row>
    <row r="836" spans="1:9" ht="18.75" customHeight="1" x14ac:dyDescent="0.3">
      <c r="A836" t="s">
        <v>725</v>
      </c>
      <c r="B836" t="s">
        <v>735</v>
      </c>
      <c r="C836" t="s">
        <v>170</v>
      </c>
      <c r="D836" s="3">
        <v>35</v>
      </c>
      <c r="E836" s="3">
        <v>88</v>
      </c>
      <c r="F836" s="3">
        <v>339</v>
      </c>
      <c r="H836" t="str">
        <f t="shared" si="13"/>
        <v>glabra-35</v>
      </c>
      <c r="I836" s="3">
        <v>650</v>
      </c>
    </row>
    <row r="837" spans="1:9" ht="18.75" customHeight="1" x14ac:dyDescent="0.3">
      <c r="A837" t="s">
        <v>725</v>
      </c>
      <c r="B837" t="s">
        <v>741</v>
      </c>
      <c r="C837" t="s">
        <v>743</v>
      </c>
      <c r="D837" s="3">
        <v>35</v>
      </c>
      <c r="E837" s="3">
        <v>175</v>
      </c>
      <c r="F837" s="3">
        <v>752</v>
      </c>
      <c r="H837" t="str">
        <f t="shared" si="13"/>
        <v>humilis-35</v>
      </c>
      <c r="I837" s="3">
        <v>650</v>
      </c>
    </row>
    <row r="838" spans="1:9" ht="18.75" customHeight="1" x14ac:dyDescent="0.3">
      <c r="A838" t="s">
        <v>725</v>
      </c>
      <c r="B838" t="s">
        <v>741</v>
      </c>
      <c r="C838" t="s">
        <v>744</v>
      </c>
      <c r="D838" s="3">
        <v>35</v>
      </c>
      <c r="E838" s="3">
        <v>175</v>
      </c>
      <c r="F838" s="3">
        <v>754</v>
      </c>
      <c r="H838" t="str">
        <f t="shared" si="13"/>
        <v>mahagoni-35</v>
      </c>
      <c r="I838" s="3">
        <v>650</v>
      </c>
    </row>
    <row r="839" spans="1:9" ht="18.75" customHeight="1" x14ac:dyDescent="0.3">
      <c r="A839" t="s">
        <v>745</v>
      </c>
      <c r="B839" t="s">
        <v>757</v>
      </c>
      <c r="C839" t="s">
        <v>758</v>
      </c>
      <c r="D839" s="3">
        <v>36</v>
      </c>
      <c r="E839" s="3">
        <v>79</v>
      </c>
      <c r="F839" s="3">
        <v>74</v>
      </c>
      <c r="H839" t="str">
        <f t="shared" si="13"/>
        <v>pertusa-36</v>
      </c>
      <c r="I839" s="3">
        <v>650</v>
      </c>
    </row>
    <row r="840" spans="1:9" ht="18.75" customHeight="1" x14ac:dyDescent="0.3">
      <c r="A840" t="s">
        <v>593</v>
      </c>
      <c r="B840" t="s">
        <v>599</v>
      </c>
      <c r="C840" t="s">
        <v>600</v>
      </c>
      <c r="D840" s="3">
        <v>31</v>
      </c>
      <c r="E840" s="3">
        <v>42</v>
      </c>
      <c r="F840" s="3">
        <v>157</v>
      </c>
      <c r="H840" t="str">
        <f t="shared" si="13"/>
        <v>robustum-31</v>
      </c>
      <c r="I840" s="3">
        <v>680</v>
      </c>
    </row>
    <row r="841" spans="1:9" ht="18.75" customHeight="1" x14ac:dyDescent="0.3">
      <c r="A841" t="s">
        <v>790</v>
      </c>
      <c r="B841" t="s">
        <v>791</v>
      </c>
      <c r="C841" t="s">
        <v>799</v>
      </c>
      <c r="D841" s="3">
        <v>37</v>
      </c>
      <c r="E841" s="3">
        <v>194</v>
      </c>
      <c r="F841" s="3">
        <v>904</v>
      </c>
      <c r="H841" t="str">
        <f t="shared" si="13"/>
        <v>koschnyi-37</v>
      </c>
      <c r="I841" s="3">
        <v>700</v>
      </c>
    </row>
    <row r="842" spans="1:9" ht="18.75" customHeight="1" x14ac:dyDescent="0.3">
      <c r="A842" t="s">
        <v>456</v>
      </c>
      <c r="B842" t="s">
        <v>498</v>
      </c>
      <c r="C842" t="s">
        <v>499</v>
      </c>
      <c r="D842" s="3">
        <v>29</v>
      </c>
      <c r="E842" s="3">
        <v>90</v>
      </c>
      <c r="F842" s="3">
        <v>343</v>
      </c>
      <c r="H842" t="str">
        <f t="shared" si="13"/>
        <v>echinata-29</v>
      </c>
      <c r="I842" s="3">
        <v>710</v>
      </c>
    </row>
    <row r="843" spans="1:9" ht="18.75" customHeight="1" x14ac:dyDescent="0.3">
      <c r="A843" t="s">
        <v>75</v>
      </c>
      <c r="B843" t="s">
        <v>82</v>
      </c>
      <c r="C843" t="s">
        <v>108</v>
      </c>
      <c r="D843" s="3">
        <v>7</v>
      </c>
      <c r="E843" s="3">
        <v>178</v>
      </c>
      <c r="F843" s="3">
        <v>785</v>
      </c>
      <c r="H843" t="str">
        <f t="shared" si="13"/>
        <v>ipe-7</v>
      </c>
      <c r="I843" s="3">
        <v>720</v>
      </c>
    </row>
    <row r="844" spans="1:9" ht="18.75" customHeight="1" x14ac:dyDescent="0.3">
      <c r="A844" t="s">
        <v>239</v>
      </c>
      <c r="B844" t="s">
        <v>245</v>
      </c>
      <c r="C844" t="s">
        <v>253</v>
      </c>
      <c r="D844" s="3">
        <v>17</v>
      </c>
      <c r="E844" s="3">
        <v>185</v>
      </c>
      <c r="F844" s="3">
        <v>820</v>
      </c>
      <c r="H844" t="str">
        <f t="shared" si="13"/>
        <v>belerica-17</v>
      </c>
      <c r="I844" s="3">
        <v>720</v>
      </c>
    </row>
    <row r="845" spans="1:9" ht="18.75" customHeight="1" x14ac:dyDescent="0.3">
      <c r="A845" t="s">
        <v>416</v>
      </c>
      <c r="B845" t="s">
        <v>417</v>
      </c>
      <c r="C845" t="s">
        <v>179</v>
      </c>
      <c r="D845" s="3">
        <v>27</v>
      </c>
      <c r="E845" s="3">
        <v>20</v>
      </c>
      <c r="F845" s="3">
        <v>77</v>
      </c>
      <c r="H845" t="str">
        <f t="shared" si="13"/>
        <v>excelsa-27</v>
      </c>
      <c r="I845" s="3">
        <v>720</v>
      </c>
    </row>
    <row r="846" spans="1:9" ht="18.75" customHeight="1" x14ac:dyDescent="0.3">
      <c r="A846" t="s">
        <v>790</v>
      </c>
      <c r="B846" t="s">
        <v>791</v>
      </c>
      <c r="C846" t="s">
        <v>806</v>
      </c>
      <c r="D846" s="3">
        <v>37</v>
      </c>
      <c r="E846" s="3">
        <v>194</v>
      </c>
      <c r="F846" s="3">
        <v>914</v>
      </c>
      <c r="H846" t="str">
        <f t="shared" si="13"/>
        <v>sebifera-37</v>
      </c>
      <c r="I846" s="3">
        <v>720</v>
      </c>
    </row>
    <row r="847" spans="1:9" ht="18.75" customHeight="1" x14ac:dyDescent="0.3">
      <c r="A847" t="s">
        <v>152</v>
      </c>
      <c r="B847" t="s">
        <v>153</v>
      </c>
      <c r="C847" t="s">
        <v>157</v>
      </c>
      <c r="D847" s="3">
        <v>12</v>
      </c>
      <c r="E847" s="3">
        <v>36</v>
      </c>
      <c r="F847" s="3">
        <v>135</v>
      </c>
      <c r="H847" t="str">
        <f t="shared" si="13"/>
        <v>villosum-12</v>
      </c>
      <c r="I847" s="3">
        <v>740</v>
      </c>
    </row>
    <row r="848" spans="1:9" ht="18.75" customHeight="1" x14ac:dyDescent="0.3">
      <c r="A848" t="s">
        <v>171</v>
      </c>
      <c r="B848" t="s">
        <v>188</v>
      </c>
      <c r="C848" t="s">
        <v>204</v>
      </c>
      <c r="D848" s="3">
        <v>15</v>
      </c>
      <c r="E848" s="3">
        <v>107</v>
      </c>
      <c r="F848" s="3">
        <v>428</v>
      </c>
      <c r="H848" t="str">
        <f t="shared" si="13"/>
        <v>macrophylla-15</v>
      </c>
      <c r="I848" s="3">
        <v>740</v>
      </c>
    </row>
    <row r="849" spans="1:9" ht="18.75" customHeight="1" x14ac:dyDescent="0.3">
      <c r="A849" t="s">
        <v>456</v>
      </c>
      <c r="B849" t="s">
        <v>495</v>
      </c>
      <c r="C849" t="s">
        <v>21</v>
      </c>
      <c r="D849" s="3">
        <v>29</v>
      </c>
      <c r="E849" s="3">
        <v>63</v>
      </c>
      <c r="F849" s="3">
        <v>219</v>
      </c>
      <c r="H849" t="str">
        <f t="shared" si="13"/>
        <v>guianensis-29</v>
      </c>
      <c r="I849" s="3">
        <v>740</v>
      </c>
    </row>
    <row r="850" spans="1:9" ht="18.75" customHeight="1" x14ac:dyDescent="0.3">
      <c r="A850" t="s">
        <v>416</v>
      </c>
      <c r="B850" t="s">
        <v>418</v>
      </c>
      <c r="C850" t="s">
        <v>420</v>
      </c>
      <c r="D850" s="3">
        <v>27</v>
      </c>
      <c r="E850" s="3">
        <v>35</v>
      </c>
      <c r="F850" s="3">
        <v>130</v>
      </c>
      <c r="H850" t="str">
        <f t="shared" si="13"/>
        <v>legalis-27</v>
      </c>
      <c r="I850" s="3">
        <v>750</v>
      </c>
    </row>
    <row r="851" spans="1:9" ht="18.75" customHeight="1" x14ac:dyDescent="0.3">
      <c r="A851" t="s">
        <v>536</v>
      </c>
      <c r="B851" t="s">
        <v>547</v>
      </c>
      <c r="C851" t="s">
        <v>548</v>
      </c>
      <c r="D851" s="3">
        <v>30</v>
      </c>
      <c r="E851" s="3">
        <v>40</v>
      </c>
      <c r="F851" s="3">
        <v>155</v>
      </c>
      <c r="H851" t="str">
        <f t="shared" si="13"/>
        <v>catenaeformis-30</v>
      </c>
      <c r="I851" s="3">
        <v>780</v>
      </c>
    </row>
    <row r="852" spans="1:9" ht="18.75" customHeight="1" x14ac:dyDescent="0.3">
      <c r="A852" t="s">
        <v>7</v>
      </c>
      <c r="B852" t="s">
        <v>14</v>
      </c>
      <c r="C852" t="s">
        <v>17</v>
      </c>
      <c r="D852" s="3">
        <v>2</v>
      </c>
      <c r="E852" s="3">
        <v>16</v>
      </c>
      <c r="F852" s="3">
        <v>71</v>
      </c>
      <c r="H852" t="str">
        <f t="shared" si="13"/>
        <v>lecointel-2</v>
      </c>
      <c r="I852" s="3">
        <v>800</v>
      </c>
    </row>
    <row r="853" spans="1:9" ht="18.75" customHeight="1" x14ac:dyDescent="0.3">
      <c r="A853" t="s">
        <v>75</v>
      </c>
      <c r="B853" t="s">
        <v>82</v>
      </c>
      <c r="C853" t="s">
        <v>95</v>
      </c>
      <c r="D853" s="3">
        <v>7</v>
      </c>
      <c r="E853" s="3">
        <v>178</v>
      </c>
      <c r="F853" s="3">
        <v>772</v>
      </c>
      <c r="H853" t="str">
        <f t="shared" si="13"/>
        <v>chrysantha-7</v>
      </c>
      <c r="I853" s="3">
        <v>800</v>
      </c>
    </row>
    <row r="854" spans="1:9" ht="18.75" customHeight="1" x14ac:dyDescent="0.3">
      <c r="A854" t="s">
        <v>171</v>
      </c>
      <c r="B854" t="s">
        <v>188</v>
      </c>
      <c r="C854" t="s">
        <v>60</v>
      </c>
      <c r="D854" s="3">
        <v>15</v>
      </c>
      <c r="E854" s="3">
        <v>107</v>
      </c>
      <c r="F854" s="3">
        <v>446</v>
      </c>
      <c r="H854" t="str">
        <f t="shared" si="13"/>
        <v>sp-15</v>
      </c>
      <c r="I854" s="3">
        <v>800</v>
      </c>
    </row>
    <row r="855" spans="1:9" ht="18.75" customHeight="1" x14ac:dyDescent="0.3">
      <c r="A855" t="s">
        <v>456</v>
      </c>
      <c r="B855" t="s">
        <v>535</v>
      </c>
      <c r="C855" t="s">
        <v>143</v>
      </c>
      <c r="D855" s="3">
        <v>29</v>
      </c>
      <c r="E855" s="3">
        <v>196</v>
      </c>
      <c r="F855" s="3">
        <v>927</v>
      </c>
      <c r="H855" t="str">
        <f t="shared" si="13"/>
        <v>americana-29</v>
      </c>
      <c r="I855" s="3">
        <v>800</v>
      </c>
    </row>
    <row r="856" spans="1:9" ht="18.75" customHeight="1" x14ac:dyDescent="0.3">
      <c r="A856" t="s">
        <v>790</v>
      </c>
      <c r="B856" t="s">
        <v>791</v>
      </c>
      <c r="C856" t="s">
        <v>426</v>
      </c>
      <c r="D856" s="3">
        <v>37</v>
      </c>
      <c r="E856" s="3">
        <v>194</v>
      </c>
      <c r="F856" s="3">
        <v>916</v>
      </c>
      <c r="H856" t="str">
        <f t="shared" si="13"/>
        <v>surinamensis-37</v>
      </c>
      <c r="I856" s="3">
        <v>800</v>
      </c>
    </row>
    <row r="857" spans="1:9" ht="18.75" customHeight="1" x14ac:dyDescent="0.3">
      <c r="A857" t="s">
        <v>28</v>
      </c>
      <c r="B857" t="s">
        <v>37</v>
      </c>
      <c r="C857" t="s">
        <v>44</v>
      </c>
      <c r="D857" s="3">
        <v>4</v>
      </c>
      <c r="E857" s="3">
        <v>15</v>
      </c>
      <c r="F857" s="3">
        <v>49</v>
      </c>
      <c r="H857" t="str">
        <f t="shared" si="13"/>
        <v>desmanthum-4</v>
      </c>
      <c r="I857" s="3">
        <v>820</v>
      </c>
    </row>
    <row r="858" spans="1:9" ht="18.75" customHeight="1" x14ac:dyDescent="0.3">
      <c r="A858" t="s">
        <v>937</v>
      </c>
      <c r="B858" t="s">
        <v>938</v>
      </c>
      <c r="C858" t="s">
        <v>899</v>
      </c>
      <c r="D858" s="3">
        <v>54</v>
      </c>
      <c r="E858" s="3">
        <v>183</v>
      </c>
      <c r="F858" s="3">
        <v>809</v>
      </c>
      <c r="H858" t="str">
        <f t="shared" si="13"/>
        <v>cuspidata-54</v>
      </c>
      <c r="I858" s="3">
        <v>830</v>
      </c>
    </row>
    <row r="859" spans="1:9" ht="18.75" customHeight="1" x14ac:dyDescent="0.3">
      <c r="A859" t="s">
        <v>71</v>
      </c>
      <c r="B859" t="s">
        <v>72</v>
      </c>
      <c r="C859" t="s">
        <v>73</v>
      </c>
      <c r="D859" s="3">
        <v>6</v>
      </c>
      <c r="E859" s="3">
        <v>14</v>
      </c>
      <c r="F859" s="3">
        <v>41</v>
      </c>
      <c r="H859" t="str">
        <f t="shared" si="13"/>
        <v>angustifolia-6</v>
      </c>
      <c r="I859" s="3">
        <v>850</v>
      </c>
    </row>
    <row r="860" spans="1:9" ht="18.75" customHeight="1" x14ac:dyDescent="0.3">
      <c r="A860" t="s">
        <v>745</v>
      </c>
      <c r="B860" t="s">
        <v>748</v>
      </c>
      <c r="C860" t="s">
        <v>753</v>
      </c>
      <c r="D860" s="3">
        <v>36</v>
      </c>
      <c r="E860" s="3">
        <v>24</v>
      </c>
      <c r="F860" s="3">
        <v>89</v>
      </c>
      <c r="H860" t="str">
        <f t="shared" si="13"/>
        <v>potabile-36</v>
      </c>
      <c r="I860" s="3">
        <v>850</v>
      </c>
    </row>
    <row r="861" spans="1:9" ht="18.75" customHeight="1" x14ac:dyDescent="0.3">
      <c r="A861" t="s">
        <v>790</v>
      </c>
      <c r="B861" t="s">
        <v>791</v>
      </c>
      <c r="C861" t="s">
        <v>60</v>
      </c>
      <c r="D861" s="3">
        <v>37</v>
      </c>
      <c r="E861" s="3">
        <v>194</v>
      </c>
      <c r="F861" s="3">
        <v>915</v>
      </c>
      <c r="H861" t="str">
        <f t="shared" si="13"/>
        <v>sp-37</v>
      </c>
      <c r="I861" s="3">
        <v>850</v>
      </c>
    </row>
    <row r="862" spans="1:9" ht="18.75" customHeight="1" x14ac:dyDescent="0.3">
      <c r="A862" t="s">
        <v>222</v>
      </c>
      <c r="B862" t="s">
        <v>229</v>
      </c>
      <c r="C862" t="s">
        <v>107</v>
      </c>
      <c r="D862" s="3">
        <v>16</v>
      </c>
      <c r="E862" s="3">
        <v>147</v>
      </c>
      <c r="F862" s="3">
        <v>636</v>
      </c>
      <c r="H862" t="str">
        <f t="shared" si="13"/>
        <v>insignis-16</v>
      </c>
      <c r="I862" s="3">
        <v>870</v>
      </c>
    </row>
    <row r="863" spans="1:9" ht="18.75" customHeight="1" x14ac:dyDescent="0.3">
      <c r="A863" t="s">
        <v>593</v>
      </c>
      <c r="B863" t="s">
        <v>694</v>
      </c>
      <c r="C863" t="s">
        <v>684</v>
      </c>
      <c r="D863" s="3">
        <v>31</v>
      </c>
      <c r="E863" s="3">
        <v>157</v>
      </c>
      <c r="F863" s="3">
        <v>686</v>
      </c>
      <c r="H863" t="str">
        <f t="shared" si="13"/>
        <v>angolensis-31</v>
      </c>
      <c r="I863" s="3">
        <v>870</v>
      </c>
    </row>
    <row r="864" spans="1:9" ht="18.75" customHeight="1" x14ac:dyDescent="0.3">
      <c r="A864" t="s">
        <v>924</v>
      </c>
      <c r="B864" t="s">
        <v>925</v>
      </c>
      <c r="C864" t="s">
        <v>367</v>
      </c>
      <c r="D864" s="3">
        <v>51</v>
      </c>
      <c r="E864" s="3">
        <v>171</v>
      </c>
      <c r="F864" s="3">
        <v>729</v>
      </c>
      <c r="H864" t="str">
        <f t="shared" si="13"/>
        <v>amara-51</v>
      </c>
      <c r="I864" s="3">
        <v>890</v>
      </c>
    </row>
    <row r="865" spans="1:9" ht="18.75" customHeight="1" x14ac:dyDescent="0.3">
      <c r="A865" t="s">
        <v>134</v>
      </c>
      <c r="B865" t="s">
        <v>142</v>
      </c>
      <c r="C865" t="s">
        <v>143</v>
      </c>
      <c r="D865" s="3">
        <v>10</v>
      </c>
      <c r="E865" s="3">
        <v>132</v>
      </c>
      <c r="F865" s="3">
        <v>611</v>
      </c>
      <c r="H865" t="str">
        <f t="shared" si="13"/>
        <v>americana-10</v>
      </c>
      <c r="I865" s="3">
        <v>910</v>
      </c>
    </row>
    <row r="866" spans="1:9" ht="18.75" customHeight="1" x14ac:dyDescent="0.3">
      <c r="A866" t="s">
        <v>171</v>
      </c>
      <c r="B866" t="s">
        <v>188</v>
      </c>
      <c r="C866" t="s">
        <v>211</v>
      </c>
      <c r="D866" s="3">
        <v>15</v>
      </c>
      <c r="E866" s="3">
        <v>107</v>
      </c>
      <c r="F866" s="3">
        <v>435</v>
      </c>
      <c r="H866" t="str">
        <f t="shared" si="13"/>
        <v>octandra-15</v>
      </c>
      <c r="I866" s="3">
        <v>910</v>
      </c>
    </row>
    <row r="867" spans="1:9" ht="18.75" customHeight="1" x14ac:dyDescent="0.3">
      <c r="A867" t="s">
        <v>363</v>
      </c>
      <c r="B867" t="s">
        <v>390</v>
      </c>
      <c r="C867" t="s">
        <v>407</v>
      </c>
      <c r="D867" s="3">
        <v>26</v>
      </c>
      <c r="E867" s="3">
        <v>126</v>
      </c>
      <c r="F867" s="3">
        <v>588</v>
      </c>
      <c r="H867" t="str">
        <f t="shared" si="13"/>
        <v>rodiaei-26</v>
      </c>
      <c r="I867" s="3">
        <v>950</v>
      </c>
    </row>
    <row r="868" spans="1:9" ht="18.75" customHeight="1" x14ac:dyDescent="0.3">
      <c r="A868" t="s">
        <v>593</v>
      </c>
      <c r="B868" t="s">
        <v>688</v>
      </c>
      <c r="C868" t="s">
        <v>692</v>
      </c>
      <c r="D868" s="3">
        <v>31</v>
      </c>
      <c r="E868" s="3">
        <v>148</v>
      </c>
      <c r="F868" s="3">
        <v>640</v>
      </c>
      <c r="H868" t="str">
        <f t="shared" si="13"/>
        <v>polystachyum-31</v>
      </c>
      <c r="I868" s="3">
        <v>990</v>
      </c>
    </row>
    <row r="869" spans="1:9" ht="18.75" customHeight="1" x14ac:dyDescent="0.3">
      <c r="A869" t="s">
        <v>536</v>
      </c>
      <c r="B869" t="s">
        <v>549</v>
      </c>
      <c r="C869" t="s">
        <v>126</v>
      </c>
      <c r="D869" s="3">
        <v>30</v>
      </c>
      <c r="E869" s="3">
        <v>46</v>
      </c>
      <c r="F869" s="3">
        <v>163</v>
      </c>
      <c r="H869" t="str">
        <f t="shared" si="13"/>
        <v>arborea-30</v>
      </c>
      <c r="I869" s="3">
        <v>1010</v>
      </c>
    </row>
    <row r="870" spans="1:9" ht="18.75" customHeight="1" x14ac:dyDescent="0.3">
      <c r="A870" t="s">
        <v>745</v>
      </c>
      <c r="B870" t="s">
        <v>748</v>
      </c>
      <c r="C870" t="s">
        <v>658</v>
      </c>
      <c r="D870" s="3">
        <v>36</v>
      </c>
      <c r="E870" s="3">
        <v>24</v>
      </c>
      <c r="F870" s="3">
        <v>83</v>
      </c>
      <c r="H870" t="str">
        <f t="shared" si="13"/>
        <v>acutifolium-36</v>
      </c>
      <c r="I870" s="3">
        <v>1020</v>
      </c>
    </row>
    <row r="871" spans="1:9" ht="18.75" customHeight="1" x14ac:dyDescent="0.3">
      <c r="A871" t="s">
        <v>363</v>
      </c>
      <c r="B871" t="s">
        <v>390</v>
      </c>
      <c r="C871" t="s">
        <v>408</v>
      </c>
      <c r="D871" s="3">
        <v>26</v>
      </c>
      <c r="E871" s="3">
        <v>126</v>
      </c>
      <c r="F871" s="3">
        <v>589</v>
      </c>
      <c r="H871" t="str">
        <f t="shared" si="13"/>
        <v>rubra-26</v>
      </c>
      <c r="I871" s="3">
        <v>1090</v>
      </c>
    </row>
    <row r="872" spans="1:9" ht="18.75" customHeight="1" x14ac:dyDescent="0.3">
      <c r="A872" t="s">
        <v>536</v>
      </c>
      <c r="B872" t="s">
        <v>571</v>
      </c>
      <c r="C872" t="s">
        <v>572</v>
      </c>
      <c r="D872" s="3">
        <v>30</v>
      </c>
      <c r="E872" s="3">
        <v>135</v>
      </c>
      <c r="F872" s="3">
        <v>615</v>
      </c>
      <c r="H872" t="str">
        <f t="shared" si="13"/>
        <v>macroloba-30</v>
      </c>
      <c r="I872" s="3">
        <v>1130</v>
      </c>
    </row>
    <row r="873" spans="1:9" ht="18.75" customHeight="1" x14ac:dyDescent="0.3">
      <c r="A873" t="s">
        <v>536</v>
      </c>
      <c r="B873" t="s">
        <v>553</v>
      </c>
      <c r="C873" t="s">
        <v>556</v>
      </c>
      <c r="D873" s="3">
        <v>30</v>
      </c>
      <c r="E873" s="3">
        <v>69</v>
      </c>
      <c r="F873" s="3">
        <v>231</v>
      </c>
      <c r="H873" t="str">
        <f t="shared" si="13"/>
        <v>maximum-30</v>
      </c>
      <c r="I873" s="3">
        <v>1150</v>
      </c>
    </row>
    <row r="874" spans="1:9" ht="18.75" customHeight="1" x14ac:dyDescent="0.3">
      <c r="A874" t="s">
        <v>875</v>
      </c>
      <c r="B874" t="s">
        <v>896</v>
      </c>
      <c r="C874" t="s">
        <v>60</v>
      </c>
      <c r="D874" s="3">
        <v>50</v>
      </c>
      <c r="E874" s="3">
        <v>152</v>
      </c>
      <c r="F874" s="3">
        <v>673</v>
      </c>
      <c r="H874" t="str">
        <f t="shared" si="13"/>
        <v>sp-50</v>
      </c>
      <c r="I874" s="3">
        <v>1150</v>
      </c>
    </row>
    <row r="875" spans="1:9" ht="18.75" customHeight="1" x14ac:dyDescent="0.3">
      <c r="A875" t="s">
        <v>75</v>
      </c>
      <c r="B875" t="s">
        <v>82</v>
      </c>
      <c r="C875" t="s">
        <v>101</v>
      </c>
      <c r="D875" s="3">
        <v>7</v>
      </c>
      <c r="E875" s="3">
        <v>178</v>
      </c>
      <c r="F875" s="3">
        <v>778</v>
      </c>
      <c r="H875" t="str">
        <f t="shared" si="13"/>
        <v>guayacan-7</v>
      </c>
      <c r="I875" s="3">
        <v>1190</v>
      </c>
    </row>
    <row r="876" spans="1:9" ht="18.75" customHeight="1" x14ac:dyDescent="0.3">
      <c r="A876" t="s">
        <v>745</v>
      </c>
      <c r="B876" t="s">
        <v>748</v>
      </c>
      <c r="C876" t="s">
        <v>754</v>
      </c>
      <c r="D876" s="3">
        <v>36</v>
      </c>
      <c r="E876" s="3">
        <v>24</v>
      </c>
      <c r="F876" s="3">
        <v>90</v>
      </c>
      <c r="H876" t="str">
        <f t="shared" si="13"/>
        <v>rubenscens-36</v>
      </c>
      <c r="I876" s="3">
        <v>1190</v>
      </c>
    </row>
    <row r="877" spans="1:9" ht="18.75" customHeight="1" x14ac:dyDescent="0.3">
      <c r="A877" t="s">
        <v>171</v>
      </c>
      <c r="B877" t="s">
        <v>188</v>
      </c>
      <c r="C877" t="s">
        <v>198</v>
      </c>
      <c r="D877" s="3">
        <v>15</v>
      </c>
      <c r="E877" s="3">
        <v>107</v>
      </c>
      <c r="F877" s="3">
        <v>420</v>
      </c>
      <c r="H877" t="str">
        <f t="shared" si="13"/>
        <v>heteromorpha-15</v>
      </c>
      <c r="I877" s="3">
        <v>1210</v>
      </c>
    </row>
    <row r="878" spans="1:9" ht="18.75" customHeight="1" x14ac:dyDescent="0.3">
      <c r="A878" t="s">
        <v>593</v>
      </c>
      <c r="B878" t="s">
        <v>594</v>
      </c>
      <c r="C878" t="s">
        <v>595</v>
      </c>
      <c r="D878" s="3">
        <v>31</v>
      </c>
      <c r="E878" s="3">
        <v>6</v>
      </c>
      <c r="F878" s="3">
        <v>24</v>
      </c>
      <c r="H878" t="str">
        <f t="shared" si="13"/>
        <v>cearensis-31</v>
      </c>
      <c r="I878" s="3">
        <v>1220</v>
      </c>
    </row>
    <row r="879" spans="1:9" ht="18.75" customHeight="1" x14ac:dyDescent="0.3">
      <c r="A879" t="s">
        <v>456</v>
      </c>
      <c r="B879" t="s">
        <v>525</v>
      </c>
      <c r="C879" t="s">
        <v>526</v>
      </c>
      <c r="D879" s="3">
        <v>29</v>
      </c>
      <c r="E879" s="3">
        <v>167</v>
      </c>
      <c r="F879" s="3">
        <v>717</v>
      </c>
      <c r="H879" t="str">
        <f t="shared" si="13"/>
        <v>parahybum-29</v>
      </c>
      <c r="I879" s="3">
        <v>1240</v>
      </c>
    </row>
    <row r="880" spans="1:9" ht="18.75" customHeight="1" x14ac:dyDescent="0.3">
      <c r="A880" t="s">
        <v>28</v>
      </c>
      <c r="B880" t="s">
        <v>29</v>
      </c>
      <c r="C880" t="s">
        <v>36</v>
      </c>
      <c r="D880" s="3">
        <v>4</v>
      </c>
      <c r="E880" s="3">
        <v>5</v>
      </c>
      <c r="F880" s="3">
        <v>23</v>
      </c>
      <c r="H880" t="str">
        <f t="shared" si="13"/>
        <v>scholaris-4</v>
      </c>
      <c r="I880" s="3">
        <v>1280</v>
      </c>
    </row>
    <row r="881" spans="1:9" ht="18.75" customHeight="1" x14ac:dyDescent="0.3">
      <c r="A881" t="s">
        <v>75</v>
      </c>
      <c r="B881" t="s">
        <v>80</v>
      </c>
      <c r="C881" t="s">
        <v>81</v>
      </c>
      <c r="D881" s="3">
        <v>7</v>
      </c>
      <c r="E881" s="3">
        <v>130</v>
      </c>
      <c r="F881" s="3">
        <v>599</v>
      </c>
      <c r="H881" t="str">
        <f t="shared" si="13"/>
        <v>peroba-7</v>
      </c>
      <c r="I881" s="3">
        <v>1300</v>
      </c>
    </row>
    <row r="882" spans="1:9" ht="18.75" customHeight="1" x14ac:dyDescent="0.3">
      <c r="A882" t="s">
        <v>28</v>
      </c>
      <c r="B882" t="s">
        <v>37</v>
      </c>
      <c r="C882" t="s">
        <v>56</v>
      </c>
      <c r="D882" s="3">
        <v>4</v>
      </c>
      <c r="E882" s="3">
        <v>15</v>
      </c>
      <c r="F882" s="3">
        <v>62</v>
      </c>
      <c r="H882" t="str">
        <f t="shared" si="13"/>
        <v>polyneuron-4</v>
      </c>
      <c r="I882" s="3">
        <v>1330</v>
      </c>
    </row>
    <row r="883" spans="1:9" ht="18.75" customHeight="1" x14ac:dyDescent="0.3">
      <c r="A883" t="s">
        <v>134</v>
      </c>
      <c r="B883" t="s">
        <v>135</v>
      </c>
      <c r="C883" t="s">
        <v>141</v>
      </c>
      <c r="D883" s="3">
        <v>10</v>
      </c>
      <c r="E883" s="3">
        <v>48</v>
      </c>
      <c r="F883" s="3">
        <v>176</v>
      </c>
      <c r="H883" t="str">
        <f t="shared" si="13"/>
        <v>trichotoma-10</v>
      </c>
      <c r="I883" s="3">
        <v>1340</v>
      </c>
    </row>
    <row r="884" spans="1:9" ht="18.75" customHeight="1" x14ac:dyDescent="0.3">
      <c r="A884" t="s">
        <v>239</v>
      </c>
      <c r="B884" t="s">
        <v>245</v>
      </c>
      <c r="C884" t="s">
        <v>259</v>
      </c>
      <c r="D884" s="3">
        <v>17</v>
      </c>
      <c r="E884" s="3">
        <v>185</v>
      </c>
      <c r="F884" s="3">
        <v>826</v>
      </c>
      <c r="H884" t="str">
        <f t="shared" si="13"/>
        <v>catappa-17</v>
      </c>
      <c r="I884" s="3">
        <v>1350</v>
      </c>
    </row>
    <row r="885" spans="1:9" ht="18.75" customHeight="1" x14ac:dyDescent="0.3">
      <c r="A885" t="s">
        <v>593</v>
      </c>
      <c r="B885" t="s">
        <v>694</v>
      </c>
      <c r="C885" t="s">
        <v>698</v>
      </c>
      <c r="D885" s="3">
        <v>31</v>
      </c>
      <c r="E885" s="3">
        <v>157</v>
      </c>
      <c r="F885" s="3">
        <v>688</v>
      </c>
      <c r="H885" t="str">
        <f t="shared" si="13"/>
        <v>indicus-31</v>
      </c>
      <c r="I885" s="3">
        <v>1380</v>
      </c>
    </row>
    <row r="886" spans="1:9" ht="18.75" customHeight="1" x14ac:dyDescent="0.3">
      <c r="A886" t="s">
        <v>134</v>
      </c>
      <c r="B886" t="s">
        <v>135</v>
      </c>
      <c r="C886" t="s">
        <v>139</v>
      </c>
      <c r="D886" s="3">
        <v>10</v>
      </c>
      <c r="E886" s="3">
        <v>48</v>
      </c>
      <c r="F886" s="3">
        <v>174</v>
      </c>
      <c r="H886" t="str">
        <f t="shared" si="13"/>
        <v>goeldiana-10</v>
      </c>
      <c r="I886" s="3">
        <v>1410</v>
      </c>
    </row>
    <row r="887" spans="1:9" ht="18.75" customHeight="1" x14ac:dyDescent="0.3">
      <c r="A887" t="s">
        <v>363</v>
      </c>
      <c r="B887" t="s">
        <v>390</v>
      </c>
      <c r="C887" t="s">
        <v>60</v>
      </c>
      <c r="D887" s="3">
        <v>26</v>
      </c>
      <c r="E887" s="3">
        <v>126</v>
      </c>
      <c r="F887" s="3">
        <v>592</v>
      </c>
      <c r="H887" t="str">
        <f t="shared" si="13"/>
        <v>sp-26</v>
      </c>
      <c r="I887" s="3">
        <v>1420</v>
      </c>
    </row>
    <row r="888" spans="1:9" ht="18.75" customHeight="1" x14ac:dyDescent="0.3">
      <c r="A888" t="s">
        <v>363</v>
      </c>
      <c r="B888" t="s">
        <v>411</v>
      </c>
      <c r="C888" t="s">
        <v>412</v>
      </c>
      <c r="D888" s="3">
        <v>26</v>
      </c>
      <c r="E888" s="3">
        <v>137</v>
      </c>
      <c r="F888" s="3">
        <v>620</v>
      </c>
      <c r="H888" t="str">
        <f t="shared" si="13"/>
        <v>porosa-26</v>
      </c>
      <c r="I888" s="3">
        <v>1420</v>
      </c>
    </row>
    <row r="889" spans="1:9" ht="18.75" customHeight="1" x14ac:dyDescent="0.3">
      <c r="A889" t="s">
        <v>239</v>
      </c>
      <c r="B889" t="s">
        <v>240</v>
      </c>
      <c r="C889" t="s">
        <v>89</v>
      </c>
      <c r="D889" s="3">
        <v>17</v>
      </c>
      <c r="E889" s="3">
        <v>25</v>
      </c>
      <c r="F889" s="3">
        <v>91</v>
      </c>
      <c r="H889" t="str">
        <f t="shared" si="13"/>
        <v>capitata-17</v>
      </c>
      <c r="I889" s="3">
        <v>1480</v>
      </c>
    </row>
    <row r="890" spans="1:9" ht="18.75" customHeight="1" x14ac:dyDescent="0.3">
      <c r="A890" t="s">
        <v>957</v>
      </c>
      <c r="B890" t="s">
        <v>962</v>
      </c>
      <c r="C890" t="s">
        <v>643</v>
      </c>
      <c r="D890" s="3">
        <v>59</v>
      </c>
      <c r="E890" s="3">
        <v>195</v>
      </c>
      <c r="F890" s="3">
        <v>923</v>
      </c>
      <c r="H890" t="str">
        <f t="shared" si="13"/>
        <v>hondurensis-59</v>
      </c>
      <c r="I890" s="3">
        <v>1490</v>
      </c>
    </row>
    <row r="891" spans="1:9" ht="18.75" customHeight="1" x14ac:dyDescent="0.3">
      <c r="A891" t="s">
        <v>7</v>
      </c>
      <c r="B891" t="s">
        <v>8</v>
      </c>
      <c r="C891" t="s">
        <v>9</v>
      </c>
      <c r="D891" s="3">
        <v>2</v>
      </c>
      <c r="E891" s="3">
        <v>7</v>
      </c>
      <c r="F891" s="3">
        <v>25</v>
      </c>
      <c r="H891" t="str">
        <f t="shared" si="13"/>
        <v>excelsum-2</v>
      </c>
      <c r="I891" s="3">
        <v>1500</v>
      </c>
    </row>
    <row r="892" spans="1:9" ht="18.75" customHeight="1" x14ac:dyDescent="0.3">
      <c r="A892" t="s">
        <v>745</v>
      </c>
      <c r="B892" t="s">
        <v>756</v>
      </c>
      <c r="C892" t="s">
        <v>386</v>
      </c>
      <c r="D892" s="3">
        <v>36</v>
      </c>
      <c r="E892" s="3">
        <v>45</v>
      </c>
      <c r="F892" s="3">
        <v>162</v>
      </c>
      <c r="H892" t="str">
        <f t="shared" si="13"/>
        <v>nitida-36</v>
      </c>
      <c r="I892" s="3">
        <v>1500</v>
      </c>
    </row>
    <row r="893" spans="1:9" ht="18.75" customHeight="1" x14ac:dyDescent="0.3">
      <c r="A893" t="s">
        <v>957</v>
      </c>
      <c r="B893" t="s">
        <v>962</v>
      </c>
      <c r="C893" t="s">
        <v>482</v>
      </c>
      <c r="D893" s="3">
        <v>59</v>
      </c>
      <c r="E893" s="3">
        <v>195</v>
      </c>
      <c r="F893" s="3">
        <v>919</v>
      </c>
      <c r="H893" t="str">
        <f t="shared" si="13"/>
        <v>ferruginea-59</v>
      </c>
      <c r="I893" s="3">
        <v>1540</v>
      </c>
    </row>
    <row r="894" spans="1:9" ht="18.75" customHeight="1" x14ac:dyDescent="0.3">
      <c r="A894" t="s">
        <v>127</v>
      </c>
      <c r="B894" t="s">
        <v>128</v>
      </c>
      <c r="C894" t="s">
        <v>129</v>
      </c>
      <c r="D894" s="3">
        <v>9</v>
      </c>
      <c r="E894" s="3">
        <v>22</v>
      </c>
      <c r="F894" s="3">
        <v>79</v>
      </c>
      <c r="H894" t="str">
        <f t="shared" si="13"/>
        <v>quinata-9</v>
      </c>
      <c r="I894" s="3">
        <v>1570</v>
      </c>
    </row>
    <row r="895" spans="1:9" ht="18.75" customHeight="1" x14ac:dyDescent="0.3">
      <c r="A895" t="s">
        <v>152</v>
      </c>
      <c r="B895" t="s">
        <v>153</v>
      </c>
      <c r="C895" t="s">
        <v>156</v>
      </c>
      <c r="D895" s="3">
        <v>12</v>
      </c>
      <c r="E895" s="3">
        <v>36</v>
      </c>
      <c r="F895" s="3">
        <v>133</v>
      </c>
      <c r="H895" t="str">
        <f t="shared" si="13"/>
        <v>glabrum-12</v>
      </c>
      <c r="I895" s="3">
        <v>1570</v>
      </c>
    </row>
    <row r="896" spans="1:9" ht="18.75" customHeight="1" x14ac:dyDescent="0.3">
      <c r="A896" t="s">
        <v>28</v>
      </c>
      <c r="B896" t="s">
        <v>37</v>
      </c>
      <c r="C896" t="s">
        <v>50</v>
      </c>
      <c r="D896" s="3">
        <v>4</v>
      </c>
      <c r="E896" s="3">
        <v>15</v>
      </c>
      <c r="F896" s="3">
        <v>55</v>
      </c>
      <c r="H896" t="str">
        <f t="shared" si="13"/>
        <v>megalocarpon-4</v>
      </c>
      <c r="I896" s="3">
        <v>1580</v>
      </c>
    </row>
    <row r="897" spans="1:9" ht="18.75" customHeight="1" x14ac:dyDescent="0.3">
      <c r="A897" t="s">
        <v>536</v>
      </c>
      <c r="B897" t="s">
        <v>583</v>
      </c>
      <c r="C897" t="s">
        <v>584</v>
      </c>
      <c r="D897" s="3">
        <v>30</v>
      </c>
      <c r="E897" s="3">
        <v>165</v>
      </c>
      <c r="F897" s="3">
        <v>715</v>
      </c>
      <c r="H897" t="str">
        <f t="shared" si="13"/>
        <v>saman-30</v>
      </c>
      <c r="I897" s="3">
        <v>1600</v>
      </c>
    </row>
    <row r="898" spans="1:9" ht="18.75" customHeight="1" x14ac:dyDescent="0.3">
      <c r="A898" t="s">
        <v>875</v>
      </c>
      <c r="B898" t="s">
        <v>888</v>
      </c>
      <c r="C898" t="s">
        <v>889</v>
      </c>
      <c r="D898" s="3">
        <v>50</v>
      </c>
      <c r="E898" s="3">
        <v>113</v>
      </c>
      <c r="F898" s="3">
        <v>510</v>
      </c>
      <c r="H898" t="str">
        <f t="shared" si="13"/>
        <v>bidentata-50</v>
      </c>
      <c r="I898" s="3">
        <v>1710</v>
      </c>
    </row>
    <row r="899" spans="1:9" ht="18.75" customHeight="1" x14ac:dyDescent="0.3">
      <c r="A899" t="s">
        <v>75</v>
      </c>
      <c r="B899" t="s">
        <v>76</v>
      </c>
      <c r="C899" t="s">
        <v>77</v>
      </c>
      <c r="D899" s="3">
        <v>7</v>
      </c>
      <c r="E899" s="3">
        <v>53</v>
      </c>
      <c r="F899" s="3">
        <v>186</v>
      </c>
      <c r="H899" t="str">
        <f t="shared" ref="H899:H926" si="14">_xlfn.CONCAT(C899,"-",D899)</f>
        <v>donneii-smithii-7</v>
      </c>
      <c r="I899" s="3">
        <v>1730</v>
      </c>
    </row>
    <row r="900" spans="1:9" ht="18.75" customHeight="1" x14ac:dyDescent="0.3">
      <c r="A900" t="s">
        <v>75</v>
      </c>
      <c r="B900" t="s">
        <v>78</v>
      </c>
      <c r="C900" t="s">
        <v>79</v>
      </c>
      <c r="D900" s="3">
        <v>7</v>
      </c>
      <c r="E900" s="3">
        <v>100</v>
      </c>
      <c r="F900" s="3">
        <v>379</v>
      </c>
      <c r="H900" t="str">
        <f t="shared" si="14"/>
        <v>copaia-7</v>
      </c>
      <c r="I900" s="3">
        <v>1750</v>
      </c>
    </row>
    <row r="901" spans="1:9" ht="18.75" customHeight="1" x14ac:dyDescent="0.3">
      <c r="A901" t="s">
        <v>725</v>
      </c>
      <c r="B901" t="s">
        <v>729</v>
      </c>
      <c r="C901" t="s">
        <v>730</v>
      </c>
      <c r="D901" s="3">
        <v>35</v>
      </c>
      <c r="E901" s="3">
        <v>39</v>
      </c>
      <c r="F901" s="3">
        <v>148</v>
      </c>
      <c r="H901" t="str">
        <f t="shared" si="14"/>
        <v>fissilis-35</v>
      </c>
      <c r="I901" s="3">
        <v>2110</v>
      </c>
    </row>
    <row r="902" spans="1:9" ht="18.75" customHeight="1" x14ac:dyDescent="0.3">
      <c r="A902" t="s">
        <v>168</v>
      </c>
      <c r="B902" t="s">
        <v>169</v>
      </c>
      <c r="C902" t="s">
        <v>170</v>
      </c>
      <c r="D902" s="3">
        <v>14</v>
      </c>
      <c r="E902" s="3">
        <v>85</v>
      </c>
      <c r="F902" s="3">
        <v>334</v>
      </c>
      <c r="H902" t="str">
        <f t="shared" si="14"/>
        <v>glabra-14</v>
      </c>
      <c r="I902" s="3">
        <v>2210</v>
      </c>
    </row>
    <row r="903" spans="1:9" ht="18.75" customHeight="1" x14ac:dyDescent="0.3">
      <c r="A903" t="s">
        <v>75</v>
      </c>
      <c r="B903" t="s">
        <v>82</v>
      </c>
      <c r="C903" t="s">
        <v>118</v>
      </c>
      <c r="D903" s="3">
        <v>7</v>
      </c>
      <c r="E903" s="3">
        <v>178</v>
      </c>
      <c r="F903" s="3">
        <v>795</v>
      </c>
      <c r="H903" t="str">
        <f t="shared" si="14"/>
        <v>rosea-7</v>
      </c>
      <c r="I903" s="3">
        <v>2250</v>
      </c>
    </row>
    <row r="904" spans="1:9" ht="18.75" customHeight="1" x14ac:dyDescent="0.3">
      <c r="A904" t="s">
        <v>875</v>
      </c>
      <c r="B904" t="s">
        <v>888</v>
      </c>
      <c r="C904" t="s">
        <v>892</v>
      </c>
      <c r="D904" s="3">
        <v>50</v>
      </c>
      <c r="E904" s="3">
        <v>113</v>
      </c>
      <c r="F904" s="3">
        <v>514</v>
      </c>
      <c r="H904" t="str">
        <f>_xlfn.CONCAT(C904,"-",D904)</f>
        <v>zapotilla-50</v>
      </c>
      <c r="I904" s="3">
        <v>2290</v>
      </c>
    </row>
    <row r="905" spans="1:9" ht="18.75" customHeight="1" x14ac:dyDescent="0.3">
      <c r="A905" t="s">
        <v>75</v>
      </c>
      <c r="B905" t="s">
        <v>82</v>
      </c>
      <c r="C905" t="s">
        <v>121</v>
      </c>
      <c r="D905" s="3">
        <v>7</v>
      </c>
      <c r="E905" s="3">
        <v>178</v>
      </c>
      <c r="F905" s="3">
        <v>798</v>
      </c>
      <c r="H905" t="str">
        <f t="shared" si="14"/>
        <v>serratifolia-7</v>
      </c>
      <c r="I905" s="3">
        <v>2300</v>
      </c>
    </row>
    <row r="906" spans="1:9" ht="18.75" customHeight="1" x14ac:dyDescent="0.3">
      <c r="A906" t="s">
        <v>456</v>
      </c>
      <c r="B906" t="s">
        <v>467</v>
      </c>
      <c r="C906" t="s">
        <v>468</v>
      </c>
      <c r="D906" s="3">
        <v>29</v>
      </c>
      <c r="E906" s="3">
        <v>11</v>
      </c>
      <c r="F906" s="3">
        <v>36</v>
      </c>
      <c r="H906" t="str">
        <f t="shared" si="14"/>
        <v>leiocarpa-29</v>
      </c>
      <c r="I906" s="3">
        <v>2320</v>
      </c>
    </row>
    <row r="907" spans="1:9" ht="18.75" customHeight="1" x14ac:dyDescent="0.3">
      <c r="A907" t="s">
        <v>144</v>
      </c>
      <c r="B907" t="s">
        <v>145</v>
      </c>
      <c r="C907" t="s">
        <v>147</v>
      </c>
      <c r="D907" s="3">
        <v>11</v>
      </c>
      <c r="E907" s="3">
        <v>27</v>
      </c>
      <c r="F907" s="3">
        <v>101</v>
      </c>
      <c r="H907" t="str">
        <f t="shared" si="14"/>
        <v>simaruba-11</v>
      </c>
      <c r="I907" s="3">
        <v>2380</v>
      </c>
    </row>
    <row r="908" spans="1:9" ht="18.75" customHeight="1" x14ac:dyDescent="0.3">
      <c r="A908" t="s">
        <v>7</v>
      </c>
      <c r="B908" t="s">
        <v>20</v>
      </c>
      <c r="C908" t="s">
        <v>21</v>
      </c>
      <c r="D908" s="3">
        <v>2</v>
      </c>
      <c r="E908" s="3">
        <v>182</v>
      </c>
      <c r="F908" s="3">
        <v>807</v>
      </c>
      <c r="H908" t="str">
        <f t="shared" si="14"/>
        <v>guianensis-2</v>
      </c>
      <c r="I908" s="3">
        <v>2620</v>
      </c>
    </row>
    <row r="909" spans="1:9" ht="18.75" customHeight="1" x14ac:dyDescent="0.3">
      <c r="A909" t="s">
        <v>239</v>
      </c>
      <c r="B909" t="s">
        <v>245</v>
      </c>
      <c r="C909" t="s">
        <v>60</v>
      </c>
      <c r="D909" s="3">
        <v>17</v>
      </c>
      <c r="E909" s="3">
        <v>185</v>
      </c>
      <c r="F909" s="3">
        <v>870</v>
      </c>
      <c r="H909" t="str">
        <f t="shared" si="14"/>
        <v>sp-17</v>
      </c>
      <c r="I909" s="3">
        <v>2820</v>
      </c>
    </row>
    <row r="910" spans="1:9" ht="18.75" customHeight="1" x14ac:dyDescent="0.3">
      <c r="A910" t="s">
        <v>456</v>
      </c>
      <c r="B910" t="s">
        <v>489</v>
      </c>
      <c r="C910" t="s">
        <v>490</v>
      </c>
      <c r="D910" s="3">
        <v>29</v>
      </c>
      <c r="E910" s="3">
        <v>55</v>
      </c>
      <c r="F910" s="3">
        <v>203</v>
      </c>
      <c r="H910" t="str">
        <f t="shared" si="14"/>
        <v>guianense-29</v>
      </c>
      <c r="I910" s="3">
        <v>3200</v>
      </c>
    </row>
    <row r="911" spans="1:9" ht="18.75" customHeight="1" x14ac:dyDescent="0.3">
      <c r="A911" t="s">
        <v>239</v>
      </c>
      <c r="B911" t="s">
        <v>245</v>
      </c>
      <c r="C911" t="s">
        <v>248</v>
      </c>
      <c r="D911" s="3">
        <v>17</v>
      </c>
      <c r="E911" s="3">
        <v>185</v>
      </c>
      <c r="F911" s="3">
        <v>814</v>
      </c>
      <c r="H911" t="str">
        <f t="shared" si="14"/>
        <v>amazonia-17</v>
      </c>
      <c r="I911" s="3">
        <v>3270</v>
      </c>
    </row>
    <row r="912" spans="1:9" ht="18.75" customHeight="1" x14ac:dyDescent="0.3">
      <c r="A912" t="s">
        <v>536</v>
      </c>
      <c r="B912" t="s">
        <v>553</v>
      </c>
      <c r="C912" t="s">
        <v>557</v>
      </c>
      <c r="D912" s="3">
        <v>30</v>
      </c>
      <c r="E912" s="3">
        <v>69</v>
      </c>
      <c r="F912" s="3">
        <v>232</v>
      </c>
      <c r="H912" t="str">
        <f t="shared" si="14"/>
        <v>schomburgkii-30</v>
      </c>
      <c r="I912" s="3">
        <v>3540</v>
      </c>
    </row>
    <row r="913" spans="1:9" ht="18.75" customHeight="1" x14ac:dyDescent="0.3">
      <c r="A913" t="s">
        <v>7</v>
      </c>
      <c r="B913" t="s">
        <v>14</v>
      </c>
      <c r="C913" t="s">
        <v>16</v>
      </c>
      <c r="D913" s="3">
        <v>2</v>
      </c>
      <c r="E913" s="3">
        <v>16</v>
      </c>
      <c r="F913" s="3">
        <v>70</v>
      </c>
      <c r="H913" t="str">
        <f t="shared" si="14"/>
        <v>graveolens-2</v>
      </c>
      <c r="I913" s="3">
        <v>3620</v>
      </c>
    </row>
    <row r="914" spans="1:9" ht="18.75" customHeight="1" x14ac:dyDescent="0.3">
      <c r="A914" t="s">
        <v>725</v>
      </c>
      <c r="B914" t="s">
        <v>737</v>
      </c>
      <c r="C914" t="s">
        <v>273</v>
      </c>
      <c r="D914" s="3">
        <v>35</v>
      </c>
      <c r="E914" s="3">
        <v>103</v>
      </c>
      <c r="F914" s="3">
        <v>387</v>
      </c>
      <c r="H914" t="str">
        <f t="shared" si="14"/>
        <v>ivorensis-35</v>
      </c>
      <c r="I914" s="3">
        <v>3640</v>
      </c>
    </row>
    <row r="915" spans="1:9" ht="18.75" customHeight="1" x14ac:dyDescent="0.3">
      <c r="A915" t="s">
        <v>127</v>
      </c>
      <c r="B915" t="s">
        <v>130</v>
      </c>
      <c r="C915" t="s">
        <v>131</v>
      </c>
      <c r="D915" s="3">
        <v>9</v>
      </c>
      <c r="E915" s="3">
        <v>41</v>
      </c>
      <c r="F915" s="3">
        <v>156</v>
      </c>
      <c r="H915" t="str">
        <f t="shared" si="14"/>
        <v>pentandra-9</v>
      </c>
      <c r="I915" s="3">
        <v>3660</v>
      </c>
    </row>
    <row r="916" spans="1:9" ht="18.75" customHeight="1" x14ac:dyDescent="0.3">
      <c r="A916" t="s">
        <v>331</v>
      </c>
      <c r="B916" t="s">
        <v>338</v>
      </c>
      <c r="C916" t="s">
        <v>339</v>
      </c>
      <c r="D916" s="3">
        <v>22</v>
      </c>
      <c r="E916" s="3">
        <v>96</v>
      </c>
      <c r="F916" s="3">
        <v>365</v>
      </c>
      <c r="H916" t="str">
        <f t="shared" si="14"/>
        <v>alchorneoides-22</v>
      </c>
      <c r="I916" s="3">
        <v>3900</v>
      </c>
    </row>
    <row r="917" spans="1:9" ht="18.75" customHeight="1" x14ac:dyDescent="0.3">
      <c r="A917" t="s">
        <v>456</v>
      </c>
      <c r="B917" t="s">
        <v>500</v>
      </c>
      <c r="C917" t="s">
        <v>502</v>
      </c>
      <c r="D917" s="3">
        <v>29</v>
      </c>
      <c r="E917" s="3">
        <v>97</v>
      </c>
      <c r="F917" s="3">
        <v>367</v>
      </c>
      <c r="H917" t="str">
        <f t="shared" si="14"/>
        <v>courbaril-29</v>
      </c>
      <c r="I917" s="3">
        <v>4010</v>
      </c>
    </row>
    <row r="918" spans="1:9" ht="18.75" customHeight="1" x14ac:dyDescent="0.3">
      <c r="A918" t="s">
        <v>331</v>
      </c>
      <c r="B918" t="s">
        <v>336</v>
      </c>
      <c r="C918" t="s">
        <v>337</v>
      </c>
      <c r="D918" s="3">
        <v>22</v>
      </c>
      <c r="E918" s="3">
        <v>94</v>
      </c>
      <c r="F918" s="3">
        <v>363</v>
      </c>
      <c r="H918" t="str">
        <f t="shared" si="14"/>
        <v>crepitans-22</v>
      </c>
      <c r="I918" s="3">
        <v>4250</v>
      </c>
    </row>
    <row r="919" spans="1:9" ht="18.75" customHeight="1" x14ac:dyDescent="0.3">
      <c r="A919" t="s">
        <v>954</v>
      </c>
      <c r="B919" t="s">
        <v>956</v>
      </c>
      <c r="C919" t="s">
        <v>242</v>
      </c>
      <c r="D919" s="3">
        <v>58</v>
      </c>
      <c r="E919" s="3">
        <v>184</v>
      </c>
      <c r="F919" s="3">
        <v>810</v>
      </c>
      <c r="H919" t="str">
        <f t="shared" si="14"/>
        <v>grandis-58</v>
      </c>
      <c r="I919" s="3">
        <v>4390</v>
      </c>
    </row>
    <row r="920" spans="1:9" ht="18.75" customHeight="1" x14ac:dyDescent="0.3">
      <c r="A920" t="s">
        <v>222</v>
      </c>
      <c r="B920" t="s">
        <v>223</v>
      </c>
      <c r="C920" t="s">
        <v>225</v>
      </c>
      <c r="D920" s="3">
        <v>16</v>
      </c>
      <c r="E920" s="3">
        <v>32</v>
      </c>
      <c r="F920" s="3">
        <v>123</v>
      </c>
      <c r="H920" t="str">
        <f t="shared" si="14"/>
        <v>brasiliense-16</v>
      </c>
      <c r="I920" s="3">
        <v>5020</v>
      </c>
    </row>
    <row r="921" spans="1:9" ht="18.75" customHeight="1" x14ac:dyDescent="0.3">
      <c r="A921" t="s">
        <v>28</v>
      </c>
      <c r="B921" t="s">
        <v>37</v>
      </c>
      <c r="C921" t="s">
        <v>60</v>
      </c>
      <c r="D921" s="3">
        <v>4</v>
      </c>
      <c r="E921" s="3">
        <v>15</v>
      </c>
      <c r="F921" s="3">
        <v>66</v>
      </c>
      <c r="H921" t="str">
        <f t="shared" si="14"/>
        <v>sp-4</v>
      </c>
      <c r="I921" s="3">
        <v>5200</v>
      </c>
    </row>
    <row r="922" spans="1:9" ht="18.75" customHeight="1" x14ac:dyDescent="0.3">
      <c r="A922" t="s">
        <v>725</v>
      </c>
      <c r="B922" t="s">
        <v>729</v>
      </c>
      <c r="C922" t="s">
        <v>619</v>
      </c>
      <c r="D922" s="3">
        <v>35</v>
      </c>
      <c r="E922" s="3">
        <v>39</v>
      </c>
      <c r="F922" s="3">
        <v>152</v>
      </c>
      <c r="H922" t="str">
        <f t="shared" si="14"/>
        <v>odorata-35</v>
      </c>
      <c r="I922" s="3">
        <v>5380</v>
      </c>
    </row>
    <row r="923" spans="1:9" ht="18.75" customHeight="1" x14ac:dyDescent="0.3">
      <c r="A923" t="s">
        <v>725</v>
      </c>
      <c r="B923" t="s">
        <v>728</v>
      </c>
      <c r="C923" t="s">
        <v>21</v>
      </c>
      <c r="D923" s="3">
        <v>35</v>
      </c>
      <c r="E923" s="3">
        <v>34</v>
      </c>
      <c r="F923" s="3">
        <v>127</v>
      </c>
      <c r="H923" t="str">
        <f t="shared" si="14"/>
        <v>guianensis-35</v>
      </c>
      <c r="I923" s="3">
        <v>5600</v>
      </c>
    </row>
    <row r="924" spans="1:9" ht="18.75" customHeight="1" x14ac:dyDescent="0.3">
      <c r="A924" t="s">
        <v>222</v>
      </c>
      <c r="B924" t="s">
        <v>237</v>
      </c>
      <c r="C924" t="s">
        <v>238</v>
      </c>
      <c r="D924" s="3">
        <v>16</v>
      </c>
      <c r="E924" s="3">
        <v>176</v>
      </c>
      <c r="F924" s="3">
        <v>755</v>
      </c>
      <c r="H924" t="str">
        <f t="shared" si="14"/>
        <v>globulifera-16</v>
      </c>
      <c r="I924" s="3">
        <v>6340</v>
      </c>
    </row>
    <row r="925" spans="1:9" ht="18.75" customHeight="1" x14ac:dyDescent="0.3">
      <c r="A925" t="s">
        <v>725</v>
      </c>
      <c r="B925" t="s">
        <v>741</v>
      </c>
      <c r="C925" t="s">
        <v>204</v>
      </c>
      <c r="D925" s="3">
        <v>35</v>
      </c>
      <c r="E925" s="3">
        <v>175</v>
      </c>
      <c r="F925" s="3">
        <v>753</v>
      </c>
      <c r="H925" t="str">
        <f t="shared" si="14"/>
        <v>macrophylla-35</v>
      </c>
      <c r="I925" s="3">
        <v>7330</v>
      </c>
    </row>
    <row r="926" spans="1:9" ht="18.75" customHeight="1" x14ac:dyDescent="0.3">
      <c r="A926" t="s">
        <v>134</v>
      </c>
      <c r="B926" t="s">
        <v>135</v>
      </c>
      <c r="C926" t="s">
        <v>136</v>
      </c>
      <c r="D926" s="3">
        <v>10</v>
      </c>
      <c r="E926" s="3">
        <v>48</v>
      </c>
      <c r="F926" s="3">
        <v>171</v>
      </c>
      <c r="H926" t="str">
        <f t="shared" si="14"/>
        <v>alliodora-10</v>
      </c>
      <c r="I926" s="3">
        <v>11320</v>
      </c>
    </row>
  </sheetData>
  <sortState xmlns:xlrd2="http://schemas.microsoft.com/office/spreadsheetml/2017/richdata2" ref="A2:G926">
    <sortCondition ref="G2:G926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677E0-6ADD-410F-AFBA-3C0FDA0B89B9}">
  <dimension ref="A1:I60"/>
  <sheetViews>
    <sheetView workbookViewId="0">
      <selection activeCell="D2" sqref="D2"/>
    </sheetView>
  </sheetViews>
  <sheetFormatPr defaultRowHeight="14.4" x14ac:dyDescent="0.3"/>
  <cols>
    <col min="1" max="1" width="18.21875" bestFit="1" customWidth="1"/>
    <col min="2" max="2" width="13.88671875" bestFit="1" customWidth="1"/>
    <col min="3" max="3" width="12.77734375" bestFit="1" customWidth="1"/>
    <col min="4" max="4" width="13.88671875" bestFit="1" customWidth="1"/>
    <col min="5" max="5" width="11.109375" bestFit="1" customWidth="1"/>
    <col min="6" max="6" width="12.109375" bestFit="1" customWidth="1"/>
  </cols>
  <sheetData>
    <row r="1" spans="1:9" x14ac:dyDescent="0.3">
      <c r="A1" s="6" t="str" cm="1">
        <f t="array" ref="A1:A60">_xlfn.UNIQUE(Taxonomy!A1:A926)</f>
        <v xml:space="preserve">Family </v>
      </c>
      <c r="B1" s="6" t="str">
        <f>_xlfn.XLOOKUP(A1,Taxonomy!$A$1:$A$926,Taxonomy!$D$1:$D$926)</f>
        <v>Family Number</v>
      </c>
      <c r="C1" s="7" t="s">
        <v>971</v>
      </c>
      <c r="D1" s="6" t="s">
        <v>975</v>
      </c>
      <c r="E1" s="6" t="s">
        <v>972</v>
      </c>
      <c r="F1" s="6" t="s">
        <v>973</v>
      </c>
      <c r="I1" s="6" t="s">
        <v>974</v>
      </c>
    </row>
    <row r="2" spans="1:9" x14ac:dyDescent="0.3">
      <c r="A2" t="str">
        <v>Apocynaceae</v>
      </c>
      <c r="B2" s="6">
        <f>_xlfn.XLOOKUP(A2,Taxonomy!$A$1:$A$926,Taxonomy!$D$1:$D$926)</f>
        <v>4</v>
      </c>
      <c r="C2" cm="1">
        <f t="array" ref="C2">COUNTA(_xlfn.UNIQUE(_xlfn._xlws.FILTER(Taxonomy!$E$2:$E$926, Taxonomy!$D$2:$D$926 = data_info!B2)))</f>
        <v>3</v>
      </c>
      <c r="D2" cm="1">
        <f t="array" ref="D2">COUNTA(_xlfn.UNIQUE(_xlfn._xlws.FILTER(Taxonomy!$F$2:$F$926, Taxonomy!$D$2:$D$926 = data_info!B2)))</f>
        <v>36</v>
      </c>
    </row>
    <row r="3" spans="1:9" x14ac:dyDescent="0.3">
      <c r="A3" t="str">
        <v>Chrysobalanaceae</v>
      </c>
      <c r="B3" s="6">
        <f>_xlfn.XLOOKUP(A3,Taxonomy!$A$1:$A$926,Taxonomy!$D$1:$D$926)</f>
        <v>15</v>
      </c>
      <c r="C3" cm="1">
        <f t="array" ref="C3">COUNTA(_xlfn.UNIQUE(_xlfn._xlws.FILTER(Taxonomy!$E$2:$E$926, Taxonomy!$D$2:$D$926 = data_info!B3)))</f>
        <v>2</v>
      </c>
      <c r="D3" cm="1">
        <f t="array" ref="D3">COUNTA(_xlfn.UNIQUE(_xlfn._xlws.FILTER(Taxonomy!$F$2:$F$926, Taxonomy!$D$2:$D$926 = data_info!B3)))</f>
        <v>55</v>
      </c>
    </row>
    <row r="4" spans="1:9" x14ac:dyDescent="0.3">
      <c r="A4" t="str">
        <v>Leguminosae-Caes</v>
      </c>
      <c r="B4" s="6">
        <f>_xlfn.XLOOKUP(A4,Taxonomy!$A$1:$A$926,Taxonomy!$D$1:$D$926)</f>
        <v>29</v>
      </c>
      <c r="C4" cm="1">
        <f t="array" ref="C4">COUNTA(_xlfn.UNIQUE(_xlfn._xlws.FILTER(Taxonomy!$E$2:$E$926, Taxonomy!$D$2:$D$926 = data_info!B4)))</f>
        <v>23</v>
      </c>
      <c r="D4" cm="1">
        <f t="array" ref="D4">COUNTA(_xlfn.UNIQUE(_xlfn._xlws.FILTER(Taxonomy!$F$2:$F$926, Taxonomy!$D$2:$D$926 = data_info!B4)))</f>
        <v>71</v>
      </c>
    </row>
    <row r="5" spans="1:9" x14ac:dyDescent="0.3">
      <c r="A5" t="str">
        <v>Leguminosae-Mim</v>
      </c>
      <c r="B5" s="6">
        <f>_xlfn.XLOOKUP(A5,Taxonomy!$A$1:$A$926,Taxonomy!$D$1:$D$926)</f>
        <v>30</v>
      </c>
      <c r="C5" cm="1">
        <f t="array" ref="C5">COUNTA(_xlfn.UNIQUE(_xlfn._xlws.FILTER(Taxonomy!$E$2:$E$926, Taxonomy!$D$2:$D$926 = data_info!B5)))</f>
        <v>19</v>
      </c>
      <c r="D5" cm="1">
        <f t="array" ref="D5">COUNTA(_xlfn.UNIQUE(_xlfn._xlws.FILTER(Taxonomy!$F$2:$F$926, Taxonomy!$D$2:$D$926 = data_info!B5)))</f>
        <v>55</v>
      </c>
    </row>
    <row r="6" spans="1:9" x14ac:dyDescent="0.3">
      <c r="A6" t="str">
        <v>Moraceae</v>
      </c>
      <c r="B6" s="6">
        <f>_xlfn.XLOOKUP(A6,Taxonomy!$A$1:$A$926,Taxonomy!$D$1:$D$926)</f>
        <v>36</v>
      </c>
      <c r="C6" cm="1">
        <f t="array" ref="C6">COUNTA(_xlfn.UNIQUE(_xlfn._xlws.FILTER(Taxonomy!$E$2:$E$926, Taxonomy!$D$2:$D$926 = data_info!B6)))</f>
        <v>5</v>
      </c>
      <c r="D6" cm="1">
        <f t="array" ref="D6">COUNTA(_xlfn.UNIQUE(_xlfn._xlws.FILTER(Taxonomy!$F$2:$F$926, Taxonomy!$D$2:$D$926 = data_info!B6)))</f>
        <v>51</v>
      </c>
    </row>
    <row r="7" spans="1:9" x14ac:dyDescent="0.3">
      <c r="A7" t="str">
        <v>Podocarpaceae-Gymn</v>
      </c>
      <c r="B7" s="6">
        <f>_xlfn.XLOOKUP(A7,Taxonomy!$A$1:$A$926,Taxonomy!$D$1:$D$926)</f>
        <v>43</v>
      </c>
      <c r="C7" cm="1">
        <f t="array" ref="C7">COUNTA(_xlfn.UNIQUE(_xlfn._xlws.FILTER(Taxonomy!$E$2:$E$926, Taxonomy!$D$2:$D$926 = data_info!B7)))</f>
        <v>1</v>
      </c>
      <c r="D7" cm="1">
        <f t="array" ref="D7">COUNTA(_xlfn.UNIQUE(_xlfn._xlws.FILTER(Taxonomy!$F$2:$F$926, Taxonomy!$D$2:$D$926 = data_info!B7)))</f>
        <v>2</v>
      </c>
    </row>
    <row r="8" spans="1:9" x14ac:dyDescent="0.3">
      <c r="A8" t="str">
        <v>Anacardiaceae</v>
      </c>
      <c r="B8" s="6">
        <f>_xlfn.XLOOKUP(A8,Taxonomy!$A$1:$A$926,Taxonomy!$D$1:$D$926)</f>
        <v>2</v>
      </c>
      <c r="C8" cm="1">
        <f t="array" ref="C8">COUNTA(_xlfn.UNIQUE(_xlfn._xlws.FILTER(Taxonomy!$E$2:$E$926, Taxonomy!$D$2:$D$926 = data_info!B8)))</f>
        <v>3</v>
      </c>
      <c r="D8" cm="1">
        <f t="array" ref="D8">COUNTA(_xlfn.UNIQUE(_xlfn._xlws.FILTER(Taxonomy!$F$2:$F$926, Taxonomy!$D$2:$D$926 = data_info!B8)))</f>
        <v>12</v>
      </c>
    </row>
    <row r="9" spans="1:9" x14ac:dyDescent="0.3">
      <c r="A9" t="str">
        <v>Bignoniaceae</v>
      </c>
      <c r="B9" s="6">
        <f>_xlfn.XLOOKUP(A9,Taxonomy!$A$1:$A$926,Taxonomy!$D$1:$D$926)</f>
        <v>7</v>
      </c>
      <c r="C9" cm="1">
        <f t="array" ref="C9">COUNTA(_xlfn.UNIQUE(_xlfn._xlws.FILTER(Taxonomy!$E$2:$E$926, Taxonomy!$D$2:$D$926 = data_info!B9)))</f>
        <v>4</v>
      </c>
      <c r="D9" cm="1">
        <f t="array" ref="D9">COUNTA(_xlfn.UNIQUE(_xlfn._xlws.FILTER(Taxonomy!$F$2:$F$926, Taxonomy!$D$2:$D$926 = data_info!B9)))</f>
        <v>44</v>
      </c>
    </row>
    <row r="10" spans="1:9" x14ac:dyDescent="0.3">
      <c r="A10" t="str">
        <v>Burseraceae</v>
      </c>
      <c r="B10" s="6">
        <f>_xlfn.XLOOKUP(A10,Taxonomy!$A$1:$A$926,Taxonomy!$D$1:$D$926)</f>
        <v>11</v>
      </c>
      <c r="C10" cm="1">
        <f t="array" ref="C10">COUNTA(_xlfn.UNIQUE(_xlfn._xlws.FILTER(Taxonomy!$E$2:$E$926, Taxonomy!$D$2:$D$926 = data_info!B10)))</f>
        <v>3</v>
      </c>
      <c r="D10" cm="1">
        <f t="array" ref="D10">COUNTA(_xlfn.UNIQUE(_xlfn._xlws.FILTER(Taxonomy!$F$2:$F$926, Taxonomy!$D$2:$D$926 = data_info!B10)))</f>
        <v>4</v>
      </c>
    </row>
    <row r="11" spans="1:9" x14ac:dyDescent="0.3">
      <c r="A11" t="str">
        <v>Combretaceae</v>
      </c>
      <c r="B11" s="6">
        <f>_xlfn.XLOOKUP(A11,Taxonomy!$A$1:$A$926,Taxonomy!$D$1:$D$926)</f>
        <v>17</v>
      </c>
      <c r="C11" cm="1">
        <f t="array" ref="C11">COUNTA(_xlfn.UNIQUE(_xlfn._xlws.FILTER(Taxonomy!$E$2:$E$926, Taxonomy!$D$2:$D$926 = data_info!B11)))</f>
        <v>2</v>
      </c>
      <c r="D11" cm="1">
        <f t="array" ref="D11">COUNTA(_xlfn.UNIQUE(_xlfn._xlws.FILTER(Taxonomy!$F$2:$F$926, Taxonomy!$D$2:$D$926 = data_info!B11)))</f>
        <v>74</v>
      </c>
    </row>
    <row r="12" spans="1:9" x14ac:dyDescent="0.3">
      <c r="A12" t="str">
        <v>Elaeocarpaceae</v>
      </c>
      <c r="B12" s="6">
        <f>_xlfn.XLOOKUP(A12,Taxonomy!$A$1:$A$926,Taxonomy!$D$1:$D$926)</f>
        <v>21</v>
      </c>
      <c r="C12" cm="1">
        <f t="array" ref="C12">COUNTA(_xlfn.UNIQUE(_xlfn._xlws.FILTER(Taxonomy!$E$2:$E$926, Taxonomy!$D$2:$D$926 = data_info!B12)))</f>
        <v>1</v>
      </c>
      <c r="D12" cm="1">
        <f t="array" ref="D12">COUNTA(_xlfn.UNIQUE(_xlfn._xlws.FILTER(Taxonomy!$F$2:$F$926, Taxonomy!$D$2:$D$926 = data_info!B12)))</f>
        <v>12</v>
      </c>
    </row>
    <row r="13" spans="1:9" x14ac:dyDescent="0.3">
      <c r="A13" t="str">
        <v>Lecythidaceae</v>
      </c>
      <c r="B13" s="6">
        <f>_xlfn.XLOOKUP(A13,Taxonomy!$A$1:$A$926,Taxonomy!$D$1:$D$926)</f>
        <v>27</v>
      </c>
      <c r="C13" cm="1">
        <f t="array" ref="C13">COUNTA(_xlfn.UNIQUE(_xlfn._xlws.FILTER(Taxonomy!$E$2:$E$926, Taxonomy!$D$2:$D$926 = data_info!B13)))</f>
        <v>7</v>
      </c>
      <c r="D13" cm="1">
        <f t="array" ref="D13">COUNTA(_xlfn.UNIQUE(_xlfn._xlws.FILTER(Taxonomy!$F$2:$F$926, Taxonomy!$D$2:$D$926 = data_info!B13)))</f>
        <v>43</v>
      </c>
    </row>
    <row r="14" spans="1:9" x14ac:dyDescent="0.3">
      <c r="A14" t="str">
        <v>Leguminosae</v>
      </c>
      <c r="B14" s="6">
        <f>_xlfn.XLOOKUP(A14,Taxonomy!$A$1:$A$926,Taxonomy!$D$1:$D$926)</f>
        <v>28</v>
      </c>
      <c r="C14" cm="1">
        <f t="array" ref="C14">COUNTA(_xlfn.UNIQUE(_xlfn._xlws.FILTER(Taxonomy!$E$2:$E$926, Taxonomy!$D$2:$D$926 = data_info!B14)))</f>
        <v>1</v>
      </c>
      <c r="D14" cm="1">
        <f t="array" ref="D14">COUNTA(_xlfn.UNIQUE(_xlfn._xlws.FILTER(Taxonomy!$F$2:$F$926, Taxonomy!$D$2:$D$926 = data_info!B14)))</f>
        <v>1</v>
      </c>
    </row>
    <row r="15" spans="1:9" x14ac:dyDescent="0.3">
      <c r="A15" t="str">
        <v>Leguminosae-Papil</v>
      </c>
      <c r="B15" s="6">
        <f>_xlfn.XLOOKUP(A15,Taxonomy!$A$1:$A$926,Taxonomy!$D$1:$D$926)</f>
        <v>31</v>
      </c>
      <c r="C15" cm="1">
        <f t="array" ref="C15">COUNTA(_xlfn.UNIQUE(_xlfn._xlws.FILTER(Taxonomy!$E$2:$E$926, Taxonomy!$D$2:$D$926 = data_info!B15)))</f>
        <v>21</v>
      </c>
      <c r="D15" cm="1">
        <f t="array" ref="D15">COUNTA(_xlfn.UNIQUE(_xlfn._xlws.FILTER(Taxonomy!$F$2:$F$926, Taxonomy!$D$2:$D$926 = data_info!B15)))</f>
        <v>111</v>
      </c>
    </row>
    <row r="16" spans="1:9" x14ac:dyDescent="0.3">
      <c r="A16" t="str">
        <v>Myrtaceae</v>
      </c>
      <c r="B16" s="6">
        <f>_xlfn.XLOOKUP(A16,Taxonomy!$A$1:$A$926,Taxonomy!$D$1:$D$926)</f>
        <v>38</v>
      </c>
      <c r="C16" cm="1">
        <f t="array" ref="C16">COUNTA(_xlfn.UNIQUE(_xlfn._xlws.FILTER(Taxonomy!$E$2:$E$926, Taxonomy!$D$2:$D$926 = data_info!B16)))</f>
        <v>4</v>
      </c>
      <c r="D16" cm="1">
        <f t="array" ref="D16">COUNTA(_xlfn.UNIQUE(_xlfn._xlws.FILTER(Taxonomy!$F$2:$F$926, Taxonomy!$D$2:$D$926 = data_info!B16)))</f>
        <v>25</v>
      </c>
    </row>
    <row r="17" spans="1:4" x14ac:dyDescent="0.3">
      <c r="A17" t="str">
        <v>Nyctaginaceae</v>
      </c>
      <c r="B17" s="6">
        <f>_xlfn.XLOOKUP(A17,Taxonomy!$A$1:$A$926,Taxonomy!$D$1:$D$926)</f>
        <v>39</v>
      </c>
      <c r="C17" cm="1">
        <f t="array" ref="C17">COUNTA(_xlfn.UNIQUE(_xlfn._xlws.FILTER(Taxonomy!$E$2:$E$926, Taxonomy!$D$2:$D$926 = data_info!B17)))</f>
        <v>2</v>
      </c>
      <c r="D17" cm="1">
        <f t="array" ref="D17">COUNTA(_xlfn.UNIQUE(_xlfn._xlws.FILTER(Taxonomy!$F$2:$F$926, Taxonomy!$D$2:$D$926 = data_info!B17)))</f>
        <v>14</v>
      </c>
    </row>
    <row r="18" spans="1:4" x14ac:dyDescent="0.3">
      <c r="A18" t="str">
        <v>Sapotaceae</v>
      </c>
      <c r="B18" s="6">
        <f>_xlfn.XLOOKUP(A18,Taxonomy!$A$1:$A$926,Taxonomy!$D$1:$D$926)</f>
        <v>50</v>
      </c>
      <c r="C18" cm="1">
        <f t="array" ref="C18">COUNTA(_xlfn.UNIQUE(_xlfn._xlws.FILTER(Taxonomy!$E$2:$E$926, Taxonomy!$D$2:$D$926 = data_info!B18)))</f>
        <v>12</v>
      </c>
      <c r="D18" cm="1">
        <f t="array" ref="D18">COUNTA(_xlfn.UNIQUE(_xlfn._xlws.FILTER(Taxonomy!$F$2:$F$926, Taxonomy!$D$2:$D$926 = data_info!B18)))</f>
        <v>65</v>
      </c>
    </row>
    <row r="19" spans="1:4" x14ac:dyDescent="0.3">
      <c r="A19" t="str">
        <v>Cecropiaceae</v>
      </c>
      <c r="B19" s="6">
        <f>_xlfn.XLOOKUP(A19,Taxonomy!$A$1:$A$926,Taxonomy!$D$1:$D$926)</f>
        <v>13</v>
      </c>
      <c r="C19" cm="1">
        <f t="array" ref="C19">COUNTA(_xlfn.UNIQUE(_xlfn._xlws.FILTER(Taxonomy!$E$2:$E$926, Taxonomy!$D$2:$D$926 = data_info!B19)))</f>
        <v>1</v>
      </c>
      <c r="D19" cm="1">
        <f t="array" ref="D19">COUNTA(_xlfn.UNIQUE(_xlfn._xlws.FILTER(Taxonomy!$F$2:$F$926, Taxonomy!$D$2:$D$926 = data_info!B19)))</f>
        <v>10</v>
      </c>
    </row>
    <row r="20" spans="1:4" x14ac:dyDescent="0.3">
      <c r="A20" t="str">
        <v>Clusiaceae-Guttiferae</v>
      </c>
      <c r="B20" s="6">
        <f>_xlfn.XLOOKUP(A20,Taxonomy!$A$1:$A$926,Taxonomy!$D$1:$D$926)</f>
        <v>16</v>
      </c>
      <c r="C20" cm="1">
        <f t="array" ref="C20">COUNTA(_xlfn.UNIQUE(_xlfn._xlws.FILTER(Taxonomy!$E$2:$E$926, Taxonomy!$D$2:$D$926 = data_info!B20)))</f>
        <v>5</v>
      </c>
      <c r="D20" cm="1">
        <f t="array" ref="D20">COUNTA(_xlfn.UNIQUE(_xlfn._xlws.FILTER(Taxonomy!$F$2:$F$926, Taxonomy!$D$2:$D$926 = data_info!B20)))</f>
        <v>13</v>
      </c>
    </row>
    <row r="21" spans="1:4" x14ac:dyDescent="0.3">
      <c r="A21" t="str">
        <v>Lauraceae</v>
      </c>
      <c r="B21" s="6">
        <f>_xlfn.XLOOKUP(A21,Taxonomy!$A$1:$A$926,Taxonomy!$D$1:$D$926)</f>
        <v>26</v>
      </c>
      <c r="C21" cm="1">
        <f t="array" ref="C21">COUNTA(_xlfn.UNIQUE(_xlfn._xlws.FILTER(Taxonomy!$E$2:$E$926, Taxonomy!$D$2:$D$926 = data_info!B21)))</f>
        <v>7</v>
      </c>
      <c r="D21" cm="1">
        <f t="array" ref="D21">COUNTA(_xlfn.UNIQUE(_xlfn._xlws.FILTER(Taxonomy!$F$2:$F$926, Taxonomy!$D$2:$D$926 = data_info!B21)))</f>
        <v>60</v>
      </c>
    </row>
    <row r="22" spans="1:4" x14ac:dyDescent="0.3">
      <c r="A22" t="str">
        <v>Meliaceae</v>
      </c>
      <c r="B22" s="6">
        <f>_xlfn.XLOOKUP(A22,Taxonomy!$A$1:$A$926,Taxonomy!$D$1:$D$926)</f>
        <v>35</v>
      </c>
      <c r="C22" cm="1">
        <f t="array" ref="C22">COUNTA(_xlfn.UNIQUE(_xlfn._xlws.FILTER(Taxonomy!$E$2:$E$926, Taxonomy!$D$2:$D$926 = data_info!B22)))</f>
        <v>6</v>
      </c>
      <c r="D22" cm="1">
        <f t="array" ref="D22">COUNTA(_xlfn.UNIQUE(_xlfn._xlws.FILTER(Taxonomy!$F$2:$F$926, Taxonomy!$D$2:$D$926 = data_info!B22)))</f>
        <v>23</v>
      </c>
    </row>
    <row r="23" spans="1:4" x14ac:dyDescent="0.3">
      <c r="A23" t="str">
        <v>Myristicaceae</v>
      </c>
      <c r="B23" s="6">
        <f>_xlfn.XLOOKUP(A23,Taxonomy!$A$1:$A$926,Taxonomy!$D$1:$D$926)</f>
        <v>37</v>
      </c>
      <c r="C23" cm="1">
        <f t="array" ref="C23">COUNTA(_xlfn.UNIQUE(_xlfn._xlws.FILTER(Taxonomy!$E$2:$E$926, Taxonomy!$D$2:$D$926 = data_info!B23)))</f>
        <v>1</v>
      </c>
      <c r="D23" cm="1">
        <f t="array" ref="D23">COUNTA(_xlfn.UNIQUE(_xlfn._xlws.FILTER(Taxonomy!$F$2:$F$926, Taxonomy!$D$2:$D$926 = data_info!B23)))</f>
        <v>22</v>
      </c>
    </row>
    <row r="24" spans="1:4" x14ac:dyDescent="0.3">
      <c r="A24" t="str">
        <v>Bixaceae</v>
      </c>
      <c r="B24" s="6">
        <f>_xlfn.XLOOKUP(A24,Taxonomy!$A$1:$A$926,Taxonomy!$D$1:$D$926)</f>
        <v>8</v>
      </c>
      <c r="C24" cm="1">
        <f t="array" ref="C24">COUNTA(_xlfn.UNIQUE(_xlfn._xlws.FILTER(Taxonomy!$E$2:$E$926, Taxonomy!$D$2:$D$926 = data_info!B24)))</f>
        <v>1</v>
      </c>
      <c r="D24" cm="1">
        <f t="array" ref="D24">COUNTA(_xlfn.UNIQUE(_xlfn._xlws.FILTER(Taxonomy!$F$2:$F$926, Taxonomy!$D$2:$D$926 = data_info!B24)))</f>
        <v>1</v>
      </c>
    </row>
    <row r="25" spans="1:4" x14ac:dyDescent="0.3">
      <c r="A25" t="str">
        <v>Caryocaraceae</v>
      </c>
      <c r="B25" s="6">
        <f>_xlfn.XLOOKUP(A25,Taxonomy!$A$1:$A$926,Taxonomy!$D$1:$D$926)</f>
        <v>12</v>
      </c>
      <c r="C25" cm="1">
        <f t="array" ref="C25">COUNTA(_xlfn.UNIQUE(_xlfn._xlws.FILTER(Taxonomy!$E$2:$E$926, Taxonomy!$D$2:$D$926 = data_info!B25)))</f>
        <v>1</v>
      </c>
      <c r="D25" cm="1">
        <f t="array" ref="D25">COUNTA(_xlfn.UNIQUE(_xlfn._xlws.FILTER(Taxonomy!$F$2:$F$926, Taxonomy!$D$2:$D$926 = data_info!B25)))</f>
        <v>5</v>
      </c>
    </row>
    <row r="26" spans="1:4" x14ac:dyDescent="0.3">
      <c r="A26" t="str">
        <v>Fagaceae</v>
      </c>
      <c r="B26" s="6">
        <f>_xlfn.XLOOKUP(A26,Taxonomy!$A$1:$A$926,Taxonomy!$D$1:$D$926)</f>
        <v>23</v>
      </c>
      <c r="C26" cm="1">
        <f t="array" ref="C26">COUNTA(_xlfn.UNIQUE(_xlfn._xlws.FILTER(Taxonomy!$E$2:$E$926, Taxonomy!$D$2:$D$926 = data_info!B26)))</f>
        <v>1</v>
      </c>
      <c r="D26" cm="1">
        <f t="array" ref="D26">COUNTA(_xlfn.UNIQUE(_xlfn._xlws.FILTER(Taxonomy!$F$2:$F$926, Taxonomy!$D$2:$D$926 = data_info!B26)))</f>
        <v>1</v>
      </c>
    </row>
    <row r="27" spans="1:4" x14ac:dyDescent="0.3">
      <c r="A27" t="str">
        <v>Malpighiaceae</v>
      </c>
      <c r="B27" s="6">
        <f>_xlfn.XLOOKUP(A27,Taxonomy!$A$1:$A$926,Taxonomy!$D$1:$D$926)</f>
        <v>33</v>
      </c>
      <c r="C27" cm="1">
        <f t="array" ref="C27">COUNTA(_xlfn.UNIQUE(_xlfn._xlws.FILTER(Taxonomy!$E$2:$E$926, Taxonomy!$D$2:$D$926 = data_info!B27)))</f>
        <v>1</v>
      </c>
      <c r="D27" cm="1">
        <f t="array" ref="D27">COUNTA(_xlfn.UNIQUE(_xlfn._xlws.FILTER(Taxonomy!$F$2:$F$926, Taxonomy!$D$2:$D$926 = data_info!B27)))</f>
        <v>11</v>
      </c>
    </row>
    <row r="28" spans="1:4" x14ac:dyDescent="0.3">
      <c r="A28" t="str">
        <v>Olacaceae</v>
      </c>
      <c r="B28" s="6">
        <f>_xlfn.XLOOKUP(A28,Taxonomy!$A$1:$A$926,Taxonomy!$D$1:$D$926)</f>
        <v>40</v>
      </c>
      <c r="C28" cm="1">
        <f t="array" ref="C28">COUNTA(_xlfn.UNIQUE(_xlfn._xlws.FILTER(Taxonomy!$E$2:$E$926, Taxonomy!$D$2:$D$926 = data_info!B28)))</f>
        <v>1</v>
      </c>
      <c r="D28" cm="1">
        <f t="array" ref="D28">COUNTA(_xlfn.UNIQUE(_xlfn._xlws.FILTER(Taxonomy!$F$2:$F$926, Taxonomy!$D$2:$D$926 = data_info!B28)))</f>
        <v>3</v>
      </c>
    </row>
    <row r="29" spans="1:4" x14ac:dyDescent="0.3">
      <c r="A29" t="str">
        <v>Pinaceae-Gymn</v>
      </c>
      <c r="B29" s="6">
        <f>_xlfn.XLOOKUP(A29,Taxonomy!$A$1:$A$926,Taxonomy!$D$1:$D$926)</f>
        <v>42</v>
      </c>
      <c r="C29" cm="1">
        <f t="array" ref="C29">COUNTA(_xlfn.UNIQUE(_xlfn._xlws.FILTER(Taxonomy!$E$2:$E$926, Taxonomy!$D$2:$D$926 = data_info!B29)))</f>
        <v>1</v>
      </c>
      <c r="D29" cm="1">
        <f t="array" ref="D29">COUNTA(_xlfn.UNIQUE(_xlfn._xlws.FILTER(Taxonomy!$F$2:$F$926, Taxonomy!$D$2:$D$926 = data_info!B29)))</f>
        <v>3</v>
      </c>
    </row>
    <row r="30" spans="1:4" x14ac:dyDescent="0.3">
      <c r="A30" t="str">
        <v>Santalaceae</v>
      </c>
      <c r="B30" s="6">
        <f>_xlfn.XLOOKUP(A30,Taxonomy!$A$1:$A$926,Taxonomy!$D$1:$D$926)</f>
        <v>48</v>
      </c>
      <c r="C30" cm="1">
        <f t="array" ref="C30">COUNTA(_xlfn.UNIQUE(_xlfn._xlws.FILTER(Taxonomy!$E$2:$E$926, Taxonomy!$D$2:$D$926 = data_info!B30)))</f>
        <v>1</v>
      </c>
      <c r="D30" cm="1">
        <f t="array" ref="D30">COUNTA(_xlfn.UNIQUE(_xlfn._xlws.FILTER(Taxonomy!$F$2:$F$926, Taxonomy!$D$2:$D$926 = data_info!B30)))</f>
        <v>3</v>
      </c>
    </row>
    <row r="31" spans="1:4" x14ac:dyDescent="0.3">
      <c r="A31" t="str">
        <v>Thymelaeaceae</v>
      </c>
      <c r="B31" s="6">
        <f>_xlfn.XLOOKUP(A31,Taxonomy!$A$1:$A$926,Taxonomy!$D$1:$D$926)</f>
        <v>56</v>
      </c>
      <c r="C31" cm="1">
        <f t="array" ref="C31">COUNTA(_xlfn.UNIQUE(_xlfn._xlws.FILTER(Taxonomy!$E$2:$E$926, Taxonomy!$D$2:$D$926 = data_info!B31)))</f>
        <v>2</v>
      </c>
      <c r="D31" cm="1">
        <f t="array" ref="D31">COUNTA(_xlfn.UNIQUE(_xlfn._xlws.FILTER(Taxonomy!$F$2:$F$926, Taxonomy!$D$2:$D$926 = data_info!B31)))</f>
        <v>7</v>
      </c>
    </row>
    <row r="32" spans="1:4" x14ac:dyDescent="0.3">
      <c r="A32" t="str">
        <v>Euphorbiaceae</v>
      </c>
      <c r="B32" s="6">
        <f>_xlfn.XLOOKUP(A32,Taxonomy!$A$1:$A$926,Taxonomy!$D$1:$D$926)</f>
        <v>22</v>
      </c>
      <c r="C32" cm="1">
        <f t="array" ref="C32">COUNTA(_xlfn.UNIQUE(_xlfn._xlws.FILTER(Taxonomy!$E$2:$E$926, Taxonomy!$D$2:$D$926 = data_info!B32)))</f>
        <v>6</v>
      </c>
      <c r="D32" cm="1">
        <f t="array" ref="D32">COUNTA(_xlfn.UNIQUE(_xlfn._xlws.FILTER(Taxonomy!$F$2:$F$926, Taxonomy!$D$2:$D$926 = data_info!B32)))</f>
        <v>7</v>
      </c>
    </row>
    <row r="33" spans="1:4" x14ac:dyDescent="0.3">
      <c r="A33" t="str">
        <v>Rubiaceae</v>
      </c>
      <c r="B33" s="6">
        <f>_xlfn.XLOOKUP(A33,Taxonomy!$A$1:$A$926,Taxonomy!$D$1:$D$926)</f>
        <v>46</v>
      </c>
      <c r="C33" cm="1">
        <f t="array" ref="C33">COUNTA(_xlfn.UNIQUE(_xlfn._xlws.FILTER(Taxonomy!$E$2:$E$926, Taxonomy!$D$2:$D$926 = data_info!B33)))</f>
        <v>1</v>
      </c>
      <c r="D33" cm="1">
        <f t="array" ref="D33">COUNTA(_xlfn.UNIQUE(_xlfn._xlws.FILTER(Taxonomy!$F$2:$F$926, Taxonomy!$D$2:$D$926 = data_info!B33)))</f>
        <v>3</v>
      </c>
    </row>
    <row r="34" spans="1:4" x14ac:dyDescent="0.3">
      <c r="A34" t="str">
        <v>Sapindaceae</v>
      </c>
      <c r="B34" s="6">
        <f>_xlfn.XLOOKUP(A34,Taxonomy!$A$1:$A$926,Taxonomy!$D$1:$D$926)</f>
        <v>49</v>
      </c>
      <c r="C34" cm="1">
        <f t="array" ref="C34">COUNTA(_xlfn.UNIQUE(_xlfn._xlws.FILTER(Taxonomy!$E$2:$E$926, Taxonomy!$D$2:$D$926 = data_info!B34)))</f>
        <v>1</v>
      </c>
      <c r="D34" cm="1">
        <f t="array" ref="D34">COUNTA(_xlfn.UNIQUE(_xlfn._xlws.FILTER(Taxonomy!$F$2:$F$926, Taxonomy!$D$2:$D$926 = data_info!B34)))</f>
        <v>1</v>
      </c>
    </row>
    <row r="35" spans="1:4" x14ac:dyDescent="0.3">
      <c r="A35" t="str">
        <v>Staphyleaceae</v>
      </c>
      <c r="B35" s="6">
        <f>_xlfn.XLOOKUP(A35,Taxonomy!$A$1:$A$926,Taxonomy!$D$1:$D$926)</f>
        <v>52</v>
      </c>
      <c r="C35" cm="1">
        <f t="array" ref="C35">COUNTA(_xlfn.UNIQUE(_xlfn._xlws.FILTER(Taxonomy!$E$2:$E$926, Taxonomy!$D$2:$D$926 = data_info!B35)))</f>
        <v>1</v>
      </c>
      <c r="D35" cm="1">
        <f t="array" ref="D35">COUNTA(_xlfn.UNIQUE(_xlfn._xlws.FILTER(Taxonomy!$F$2:$F$926, Taxonomy!$D$2:$D$926 = data_info!B35)))</f>
        <v>1</v>
      </c>
    </row>
    <row r="36" spans="1:4" x14ac:dyDescent="0.3">
      <c r="A36" t="str">
        <v>Sterculiaceae</v>
      </c>
      <c r="B36" s="6">
        <f>_xlfn.XLOOKUP(A36,Taxonomy!$A$1:$A$926,Taxonomy!$D$1:$D$926)</f>
        <v>53</v>
      </c>
      <c r="C36" cm="1">
        <f t="array" ref="C36">COUNTA(_xlfn.UNIQUE(_xlfn._xlws.FILTER(Taxonomy!$E$2:$E$926, Taxonomy!$D$2:$D$926 = data_info!B36)))</f>
        <v>1</v>
      </c>
      <c r="D36" cm="1">
        <f t="array" ref="D36">COUNTA(_xlfn.UNIQUE(_xlfn._xlws.FILTER(Taxonomy!$F$2:$F$926, Taxonomy!$D$2:$D$926 = data_info!B36)))</f>
        <v>8</v>
      </c>
    </row>
    <row r="37" spans="1:4" x14ac:dyDescent="0.3">
      <c r="A37" t="str">
        <v>Vochysiaceae</v>
      </c>
      <c r="B37" s="6">
        <f>_xlfn.XLOOKUP(A37,Taxonomy!$A$1:$A$926,Taxonomy!$D$1:$D$926)</f>
        <v>59</v>
      </c>
      <c r="C37" cm="1">
        <f t="array" ref="C37">COUNTA(_xlfn.UNIQUE(_xlfn._xlws.FILTER(Taxonomy!$E$2:$E$926, Taxonomy!$D$2:$D$926 = data_info!B37)))</f>
        <v>3</v>
      </c>
      <c r="D37" cm="1">
        <f t="array" ref="D37">COUNTA(_xlfn.UNIQUE(_xlfn._xlws.FILTER(Taxonomy!$F$2:$F$926, Taxonomy!$D$2:$D$926 = data_info!B37)))</f>
        <v>12</v>
      </c>
    </row>
    <row r="38" spans="1:4" x14ac:dyDescent="0.3">
      <c r="A38" t="str">
        <v>Annonaceae</v>
      </c>
      <c r="B38" s="6">
        <f>_xlfn.XLOOKUP(A38,Taxonomy!$A$1:$A$926,Taxonomy!$D$1:$D$926)</f>
        <v>3</v>
      </c>
      <c r="C38" cm="1">
        <f t="array" ref="C38">COUNTA(_xlfn.UNIQUE(_xlfn._xlws.FILTER(Taxonomy!$E$2:$E$926, Taxonomy!$D$2:$D$926 = data_info!B38)))</f>
        <v>2</v>
      </c>
      <c r="D38" cm="1">
        <f t="array" ref="D38">COUNTA(_xlfn.UNIQUE(_xlfn._xlws.FILTER(Taxonomy!$F$2:$F$926, Taxonomy!$D$2:$D$926 = data_info!B38)))</f>
        <v>2</v>
      </c>
    </row>
    <row r="39" spans="1:4" x14ac:dyDescent="0.3">
      <c r="A39" t="str">
        <v>Ebenaceae</v>
      </c>
      <c r="B39" s="6">
        <f>_xlfn.XLOOKUP(A39,Taxonomy!$A$1:$A$926,Taxonomy!$D$1:$D$926)</f>
        <v>20</v>
      </c>
      <c r="C39" cm="1">
        <f t="array" ref="C39">COUNTA(_xlfn.UNIQUE(_xlfn._xlws.FILTER(Taxonomy!$E$2:$E$926, Taxonomy!$D$2:$D$926 = data_info!B39)))</f>
        <v>1</v>
      </c>
      <c r="D39" cm="1">
        <f t="array" ref="D39">COUNTA(_xlfn.UNIQUE(_xlfn._xlws.FILTER(Taxonomy!$F$2:$F$926, Taxonomy!$D$2:$D$926 = data_info!B39)))</f>
        <v>3</v>
      </c>
    </row>
    <row r="40" spans="1:4" x14ac:dyDescent="0.3">
      <c r="A40" t="str">
        <v>Humiriaceae</v>
      </c>
      <c r="B40" s="6">
        <f>_xlfn.XLOOKUP(A40,Taxonomy!$A$1:$A$926,Taxonomy!$D$1:$D$926)</f>
        <v>24</v>
      </c>
      <c r="C40" cm="1">
        <f t="array" ref="C40">COUNTA(_xlfn.UNIQUE(_xlfn._xlws.FILTER(Taxonomy!$E$2:$E$926, Taxonomy!$D$2:$D$926 = data_info!B40)))</f>
        <v>2</v>
      </c>
      <c r="D40" cm="1">
        <f t="array" ref="D40">COUNTA(_xlfn.UNIQUE(_xlfn._xlws.FILTER(Taxonomy!$F$2:$F$926, Taxonomy!$D$2:$D$926 = data_info!B40)))</f>
        <v>6</v>
      </c>
    </row>
    <row r="41" spans="1:4" x14ac:dyDescent="0.3">
      <c r="A41" t="str">
        <v>Rosaceae</v>
      </c>
      <c r="B41" s="6">
        <f>_xlfn.XLOOKUP(A41,Taxonomy!$A$1:$A$926,Taxonomy!$D$1:$D$926)</f>
        <v>45</v>
      </c>
      <c r="C41" cm="1">
        <f t="array" ref="C41">COUNTA(_xlfn.UNIQUE(_xlfn._xlws.FILTER(Taxonomy!$E$2:$E$926, Taxonomy!$D$2:$D$926 = data_info!B41)))</f>
        <v>1</v>
      </c>
      <c r="D41" cm="1">
        <f t="array" ref="D41">COUNTA(_xlfn.UNIQUE(_xlfn._xlws.FILTER(Taxonomy!$F$2:$F$926, Taxonomy!$D$2:$D$926 = data_info!B41)))</f>
        <v>1</v>
      </c>
    </row>
    <row r="42" spans="1:4" x14ac:dyDescent="0.3">
      <c r="A42" t="str">
        <v>Rutaceae</v>
      </c>
      <c r="B42" s="6">
        <f>_xlfn.XLOOKUP(A42,Taxonomy!$A$1:$A$926,Taxonomy!$D$1:$D$926)</f>
        <v>47</v>
      </c>
      <c r="C42" cm="1">
        <f t="array" ref="C42">COUNTA(_xlfn.UNIQUE(_xlfn._xlws.FILTER(Taxonomy!$E$2:$E$926, Taxonomy!$D$2:$D$926 = data_info!B42)))</f>
        <v>3</v>
      </c>
      <c r="D42" cm="1">
        <f t="array" ref="D42">COUNTA(_xlfn.UNIQUE(_xlfn._xlws.FILTER(Taxonomy!$F$2:$F$926, Taxonomy!$D$2:$D$926 = data_info!B42)))</f>
        <v>3</v>
      </c>
    </row>
    <row r="43" spans="1:4" x14ac:dyDescent="0.3">
      <c r="A43" t="str">
        <v>Simaroubaceae</v>
      </c>
      <c r="B43" s="6">
        <f>_xlfn.XLOOKUP(A43,Taxonomy!$A$1:$A$926,Taxonomy!$D$1:$D$926)</f>
        <v>51</v>
      </c>
      <c r="C43" cm="1">
        <f t="array" ref="C43">COUNTA(_xlfn.UNIQUE(_xlfn._xlws.FILTER(Taxonomy!$E$2:$E$926, Taxonomy!$D$2:$D$926 = data_info!B43)))</f>
        <v>2</v>
      </c>
      <c r="D43" cm="1">
        <f t="array" ref="D43">COUNTA(_xlfn.UNIQUE(_xlfn._xlws.FILTER(Taxonomy!$F$2:$F$926, Taxonomy!$D$2:$D$926 = data_info!B43)))</f>
        <v>3</v>
      </c>
    </row>
    <row r="44" spans="1:4" x14ac:dyDescent="0.3">
      <c r="A44" t="str">
        <v>Magnoliaceae</v>
      </c>
      <c r="B44" s="6">
        <f>_xlfn.XLOOKUP(A44,Taxonomy!$A$1:$A$926,Taxonomy!$D$1:$D$926)</f>
        <v>32</v>
      </c>
      <c r="C44" cm="1">
        <f t="array" ref="C44">COUNTA(_xlfn.UNIQUE(_xlfn._xlws.FILTER(Taxonomy!$E$2:$E$926, Taxonomy!$D$2:$D$926 = data_info!B44)))</f>
        <v>1</v>
      </c>
      <c r="D44" cm="1">
        <f t="array" ref="D44">COUNTA(_xlfn.UNIQUE(_xlfn._xlws.FILTER(Taxonomy!$F$2:$F$926, Taxonomy!$D$2:$D$926 = data_info!B44)))</f>
        <v>1</v>
      </c>
    </row>
    <row r="45" spans="1:4" x14ac:dyDescent="0.3">
      <c r="A45" t="str">
        <v>Tiliaceae</v>
      </c>
      <c r="B45" s="6">
        <f>_xlfn.XLOOKUP(A45,Taxonomy!$A$1:$A$926,Taxonomy!$D$1:$D$926)</f>
        <v>57</v>
      </c>
      <c r="C45" cm="1">
        <f t="array" ref="C45">COUNTA(_xlfn.UNIQUE(_xlfn._xlws.FILTER(Taxonomy!$E$2:$E$926, Taxonomy!$D$2:$D$926 = data_info!B45)))</f>
        <v>2</v>
      </c>
      <c r="D45" cm="1">
        <f t="array" ref="D45">COUNTA(_xlfn.UNIQUE(_xlfn._xlws.FILTER(Taxonomy!$F$2:$F$926, Taxonomy!$D$2:$D$926 = data_info!B45)))</f>
        <v>2</v>
      </c>
    </row>
    <row r="46" spans="1:4" x14ac:dyDescent="0.3">
      <c r="A46" t="str">
        <v>Zygophyllaceae</v>
      </c>
      <c r="B46" s="6">
        <f>_xlfn.XLOOKUP(A46,Taxonomy!$A$1:$A$926,Taxonomy!$D$1:$D$926)</f>
        <v>60</v>
      </c>
      <c r="C46" cm="1">
        <f t="array" ref="C46">COUNTA(_xlfn.UNIQUE(_xlfn._xlws.FILTER(Taxonomy!$E$2:$E$926, Taxonomy!$D$2:$D$926 = data_info!B46)))</f>
        <v>1</v>
      </c>
      <c r="D46" cm="1">
        <f t="array" ref="D46">COUNTA(_xlfn.UNIQUE(_xlfn._xlws.FILTER(Taxonomy!$F$2:$F$926, Taxonomy!$D$2:$D$926 = data_info!B46)))</f>
        <v>3</v>
      </c>
    </row>
    <row r="47" spans="1:4" x14ac:dyDescent="0.3">
      <c r="A47" t="str">
        <v>Tetracentraceae</v>
      </c>
      <c r="B47" s="6">
        <f>_xlfn.XLOOKUP(A47,Taxonomy!$A$1:$A$926,Taxonomy!$D$1:$D$926)</f>
        <v>55</v>
      </c>
      <c r="C47" cm="1">
        <f t="array" ref="C47">COUNTA(_xlfn.UNIQUE(_xlfn._xlws.FILTER(Taxonomy!$E$2:$E$926, Taxonomy!$D$2:$D$926 = data_info!B47)))</f>
        <v>1</v>
      </c>
      <c r="D47" cm="1">
        <f t="array" ref="D47">COUNTA(_xlfn.UNIQUE(_xlfn._xlws.FILTER(Taxonomy!$F$2:$F$926, Taxonomy!$D$2:$D$926 = data_info!B47)))</f>
        <v>1</v>
      </c>
    </row>
    <row r="48" spans="1:4" x14ac:dyDescent="0.3">
      <c r="A48" t="str">
        <v>Bombacaceae</v>
      </c>
      <c r="B48" s="6">
        <f>_xlfn.XLOOKUP(A48,Taxonomy!$A$1:$A$926,Taxonomy!$D$1:$D$926)</f>
        <v>9</v>
      </c>
      <c r="C48" cm="1">
        <f t="array" ref="C48">COUNTA(_xlfn.UNIQUE(_xlfn._xlws.FILTER(Taxonomy!$E$2:$E$926, Taxonomy!$D$2:$D$926 = data_info!B48)))</f>
        <v>3</v>
      </c>
      <c r="D48" cm="1">
        <f t="array" ref="D48">COUNTA(_xlfn.UNIQUE(_xlfn._xlws.FILTER(Taxonomy!$F$2:$F$926, Taxonomy!$D$2:$D$926 = data_info!B48)))</f>
        <v>3</v>
      </c>
    </row>
    <row r="49" spans="1:4" x14ac:dyDescent="0.3">
      <c r="A49" t="str">
        <v>Cupressaceae-Gymn</v>
      </c>
      <c r="B49" s="6">
        <f>_xlfn.XLOOKUP(A49,Taxonomy!$A$1:$A$926,Taxonomy!$D$1:$D$926)</f>
        <v>18</v>
      </c>
      <c r="C49" cm="1">
        <f t="array" ref="C49">COUNTA(_xlfn.UNIQUE(_xlfn._xlws.FILTER(Taxonomy!$E$2:$E$926, Taxonomy!$D$2:$D$926 = data_info!B49)))</f>
        <v>3</v>
      </c>
      <c r="D49" cm="1">
        <f t="array" ref="D49">COUNTA(_xlfn.UNIQUE(_xlfn._xlws.FILTER(Taxonomy!$F$2:$F$926, Taxonomy!$D$2:$D$926 = data_info!B49)))</f>
        <v>3</v>
      </c>
    </row>
    <row r="50" spans="1:4" x14ac:dyDescent="0.3">
      <c r="A50" t="str">
        <v>Juglandaceae</v>
      </c>
      <c r="B50" s="6">
        <f>_xlfn.XLOOKUP(A50,Taxonomy!$A$1:$A$926,Taxonomy!$D$1:$D$926)</f>
        <v>25</v>
      </c>
      <c r="C50" cm="1">
        <f t="array" ref="C50">COUNTA(_xlfn.UNIQUE(_xlfn._xlws.FILTER(Taxonomy!$E$2:$E$926, Taxonomy!$D$2:$D$926 = data_info!B50)))</f>
        <v>2</v>
      </c>
      <c r="D50" cm="1">
        <f t="array" ref="D50">COUNTA(_xlfn.UNIQUE(_xlfn._xlws.FILTER(Taxonomy!$F$2:$F$926, Taxonomy!$D$2:$D$926 = data_info!B50)))</f>
        <v>6</v>
      </c>
    </row>
    <row r="51" spans="1:4" x14ac:dyDescent="0.3">
      <c r="A51" t="str">
        <v>Melastomataceae</v>
      </c>
      <c r="B51" s="6">
        <f>_xlfn.XLOOKUP(A51,Taxonomy!$A$1:$A$926,Taxonomy!$D$1:$D$926)</f>
        <v>34</v>
      </c>
      <c r="C51" cm="1">
        <f t="array" ref="C51">COUNTA(_xlfn.UNIQUE(_xlfn._xlws.FILTER(Taxonomy!$E$2:$E$926, Taxonomy!$D$2:$D$926 = data_info!B51)))</f>
        <v>1</v>
      </c>
      <c r="D51" cm="1">
        <f t="array" ref="D51">COUNTA(_xlfn.UNIQUE(_xlfn._xlws.FILTER(Taxonomy!$F$2:$F$926, Taxonomy!$D$2:$D$926 = data_info!B51)))</f>
        <v>1</v>
      </c>
    </row>
    <row r="52" spans="1:4" x14ac:dyDescent="0.3">
      <c r="A52" t="str">
        <v>Boraginaceae</v>
      </c>
      <c r="B52" s="6">
        <f>_xlfn.XLOOKUP(A52,Taxonomy!$A$1:$A$926,Taxonomy!$D$1:$D$926)</f>
        <v>10</v>
      </c>
      <c r="C52" cm="1">
        <f t="array" ref="C52">COUNTA(_xlfn.UNIQUE(_xlfn._xlws.FILTER(Taxonomy!$E$2:$E$926, Taxonomy!$D$2:$D$926 = data_info!B52)))</f>
        <v>2</v>
      </c>
      <c r="D52" cm="1">
        <f t="array" ref="D52">COUNTA(_xlfn.UNIQUE(_xlfn._xlws.FILTER(Taxonomy!$F$2:$F$926, Taxonomy!$D$2:$D$926 = data_info!B52)))</f>
        <v>7</v>
      </c>
    </row>
    <row r="53" spans="1:4" x14ac:dyDescent="0.3">
      <c r="A53" t="str">
        <v>Phytolaccaceae</v>
      </c>
      <c r="B53" s="6">
        <f>_xlfn.XLOOKUP(A53,Taxonomy!$A$1:$A$926,Taxonomy!$D$1:$D$926)</f>
        <v>41</v>
      </c>
      <c r="C53" cm="1">
        <f t="array" ref="C53">COUNTA(_xlfn.UNIQUE(_xlfn._xlws.FILTER(Taxonomy!$E$2:$E$926, Taxonomy!$D$2:$D$926 = data_info!B53)))</f>
        <v>1</v>
      </c>
      <c r="D53" cm="1">
        <f t="array" ref="D53">COUNTA(_xlfn.UNIQUE(_xlfn._xlws.FILTER(Taxonomy!$F$2:$F$926, Taxonomy!$D$2:$D$926 = data_info!B53)))</f>
        <v>1</v>
      </c>
    </row>
    <row r="54" spans="1:4" x14ac:dyDescent="0.3">
      <c r="A54" t="str">
        <v>Araliaceae</v>
      </c>
      <c r="B54" s="6">
        <f>_xlfn.XLOOKUP(A54,Taxonomy!$A$1:$A$926,Taxonomy!$D$1:$D$926)</f>
        <v>5</v>
      </c>
      <c r="C54" cm="1">
        <f t="array" ref="C54">COUNTA(_xlfn.UNIQUE(_xlfn._xlws.FILTER(Taxonomy!$E$2:$E$926, Taxonomy!$D$2:$D$926 = data_info!B54)))</f>
        <v>2</v>
      </c>
      <c r="D54" cm="1">
        <f t="array" ref="D54">COUNTA(_xlfn.UNIQUE(_xlfn._xlws.FILTER(Taxonomy!$F$2:$F$926, Taxonomy!$D$2:$D$926 = data_info!B54)))</f>
        <v>2</v>
      </c>
    </row>
    <row r="55" spans="1:4" x14ac:dyDescent="0.3">
      <c r="A55" t="str">
        <v>Dilleniaceae</v>
      </c>
      <c r="B55" s="6">
        <f>_xlfn.XLOOKUP(A55,Taxonomy!$A$1:$A$926,Taxonomy!$D$1:$D$926)</f>
        <v>19</v>
      </c>
      <c r="C55" cm="1">
        <f t="array" ref="C55">COUNTA(_xlfn.UNIQUE(_xlfn._xlws.FILTER(Taxonomy!$E$2:$E$926, Taxonomy!$D$2:$D$926 = data_info!B55)))</f>
        <v>1</v>
      </c>
      <c r="D55" cm="1">
        <f t="array" ref="D55">COUNTA(_xlfn.UNIQUE(_xlfn._xlws.FILTER(Taxonomy!$F$2:$F$926, Taxonomy!$D$2:$D$926 = data_info!B55)))</f>
        <v>1</v>
      </c>
    </row>
    <row r="56" spans="1:4" x14ac:dyDescent="0.3">
      <c r="A56" t="str">
        <v>Araucariaceae-Gymn</v>
      </c>
      <c r="B56" s="6">
        <f>_xlfn.XLOOKUP(A56,Taxonomy!$A$1:$A$926,Taxonomy!$D$1:$D$926)</f>
        <v>6</v>
      </c>
      <c r="C56" cm="1">
        <f t="array" ref="C56">COUNTA(_xlfn.UNIQUE(_xlfn._xlws.FILTER(Taxonomy!$E$2:$E$926, Taxonomy!$D$2:$D$926 = data_info!B56)))</f>
        <v>1</v>
      </c>
      <c r="D56" cm="1">
        <f t="array" ref="D56">COUNTA(_xlfn.UNIQUE(_xlfn._xlws.FILTER(Taxonomy!$F$2:$F$926, Taxonomy!$D$2:$D$926 = data_info!B56)))</f>
        <v>2</v>
      </c>
    </row>
    <row r="57" spans="1:4" x14ac:dyDescent="0.3">
      <c r="A57" t="str">
        <v>Verbenaceae</v>
      </c>
      <c r="B57" s="6">
        <f>_xlfn.XLOOKUP(A57,Taxonomy!$A$1:$A$926,Taxonomy!$D$1:$D$926)</f>
        <v>58</v>
      </c>
      <c r="C57" cm="1">
        <f t="array" ref="C57">COUNTA(_xlfn.UNIQUE(_xlfn._xlws.FILTER(Taxonomy!$E$2:$E$926, Taxonomy!$D$2:$D$926 = data_info!B57)))</f>
        <v>2</v>
      </c>
      <c r="D57" cm="1">
        <f t="array" ref="D57">COUNTA(_xlfn.UNIQUE(_xlfn._xlws.FILTER(Taxonomy!$F$2:$F$926, Taxonomy!$D$2:$D$926 = data_info!B57)))</f>
        <v>2</v>
      </c>
    </row>
    <row r="58" spans="1:4" x14ac:dyDescent="0.3">
      <c r="A58" t="str">
        <v>Proteaceae</v>
      </c>
      <c r="B58" s="6">
        <f>_xlfn.XLOOKUP(A58,Taxonomy!$A$1:$A$926,Taxonomy!$D$1:$D$926)</f>
        <v>44</v>
      </c>
      <c r="C58" cm="1">
        <f t="array" ref="C58">COUNTA(_xlfn.UNIQUE(_xlfn._xlws.FILTER(Taxonomy!$E$2:$E$926, Taxonomy!$D$2:$D$926 = data_info!B58)))</f>
        <v>1</v>
      </c>
      <c r="D58" cm="1">
        <f t="array" ref="D58">COUNTA(_xlfn.UNIQUE(_xlfn._xlws.FILTER(Taxonomy!$F$2:$F$926, Taxonomy!$D$2:$D$926 = data_info!B58)))</f>
        <v>1</v>
      </c>
    </row>
    <row r="59" spans="1:4" x14ac:dyDescent="0.3">
      <c r="A59" t="str">
        <v>Taxaceae-Gymn</v>
      </c>
      <c r="B59" s="6">
        <f>_xlfn.XLOOKUP(A59,Taxonomy!$A$1:$A$926,Taxonomy!$D$1:$D$926)</f>
        <v>54</v>
      </c>
      <c r="C59" cm="1">
        <f t="array" ref="C59">COUNTA(_xlfn.UNIQUE(_xlfn._xlws.FILTER(Taxonomy!$E$2:$E$926, Taxonomy!$D$2:$D$926 = data_info!B59)))</f>
        <v>1</v>
      </c>
      <c r="D59" cm="1">
        <f t="array" ref="D59">COUNTA(_xlfn.UNIQUE(_xlfn._xlws.FILTER(Taxonomy!$F$2:$F$926, Taxonomy!$D$2:$D$926 = data_info!B59)))</f>
        <v>1</v>
      </c>
    </row>
    <row r="60" spans="1:4" x14ac:dyDescent="0.3">
      <c r="A60" t="str">
        <v>Celastraceae</v>
      </c>
      <c r="B60" s="6">
        <f>_xlfn.XLOOKUP(A60,Taxonomy!$A$1:$A$926,Taxonomy!$D$1:$D$926)</f>
        <v>14</v>
      </c>
      <c r="C60" cm="1">
        <f t="array" ref="C60">COUNTA(_xlfn.UNIQUE(_xlfn._xlws.FILTER(Taxonomy!$E$2:$E$926, Taxonomy!$D$2:$D$926 = data_info!B60)))</f>
        <v>1</v>
      </c>
      <c r="D60" cm="1">
        <f t="array" ref="D60">COUNTA(_xlfn.UNIQUE(_xlfn._xlws.FILTER(Taxonomy!$F$2:$F$926, Taxonomy!$D$2:$D$926 = data_info!B60)))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1203-A566-45AC-9D09-FE77751BF9A2}">
  <dimension ref="A1:GZ926"/>
  <sheetViews>
    <sheetView showGridLines="0" topLeftCell="K61" zoomScale="70" zoomScaleNormal="70" workbookViewId="0">
      <selection activeCell="AQ96" sqref="AQ96"/>
    </sheetView>
  </sheetViews>
  <sheetFormatPr defaultRowHeight="14.4" x14ac:dyDescent="0.3"/>
  <cols>
    <col min="1" max="5" width="0" hidden="1" customWidth="1"/>
    <col min="6" max="6" width="14.44140625" hidden="1" customWidth="1"/>
    <col min="7" max="10" width="0" hidden="1" customWidth="1"/>
    <col min="11" max="11" width="10.21875" bestFit="1" customWidth="1"/>
    <col min="12" max="12" width="10.5546875" bestFit="1" customWidth="1"/>
    <col min="13" max="14" width="7.109375" bestFit="1" customWidth="1"/>
    <col min="15" max="15" width="7.5546875" bestFit="1" customWidth="1"/>
    <col min="16" max="16" width="16.109375" bestFit="1" customWidth="1"/>
    <col min="17" max="17" width="14.5546875" bestFit="1" customWidth="1"/>
    <col min="19" max="40" width="0" hidden="1" customWidth="1"/>
  </cols>
  <sheetData>
    <row r="1" spans="1:208" hidden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Q1" s="12" t="s">
        <v>1</v>
      </c>
      <c r="R1" s="12" cm="1">
        <f t="array" ref="R1:GZ1">TRANSPOSE(_xlfn._xlws.SORT(_xlfn.UNIQUE($E$2:$E$926),TRUE))</f>
        <v>1</v>
      </c>
      <c r="S1" s="12">
        <v>2</v>
      </c>
      <c r="T1" s="12">
        <v>3</v>
      </c>
      <c r="U1" s="12">
        <v>4</v>
      </c>
      <c r="V1" s="12">
        <v>5</v>
      </c>
      <c r="W1" s="12">
        <v>6</v>
      </c>
      <c r="X1" s="12">
        <v>7</v>
      </c>
      <c r="Y1" s="12">
        <v>8</v>
      </c>
      <c r="Z1" s="12">
        <v>9</v>
      </c>
      <c r="AA1" s="12">
        <v>10</v>
      </c>
      <c r="AB1" s="12">
        <v>11</v>
      </c>
      <c r="AC1" s="12">
        <v>12</v>
      </c>
      <c r="AD1" s="12">
        <v>13</v>
      </c>
      <c r="AE1" s="12">
        <v>14</v>
      </c>
      <c r="AF1" s="12">
        <v>15</v>
      </c>
      <c r="AG1" s="12">
        <v>16</v>
      </c>
      <c r="AH1" s="12">
        <v>17</v>
      </c>
      <c r="AI1" s="12">
        <v>18</v>
      </c>
      <c r="AJ1" s="12">
        <v>19</v>
      </c>
      <c r="AK1" s="12">
        <v>20</v>
      </c>
      <c r="AL1" s="12">
        <v>21</v>
      </c>
      <c r="AM1" s="12">
        <v>22</v>
      </c>
      <c r="AN1" s="12">
        <v>23</v>
      </c>
      <c r="AO1" s="12">
        <v>24</v>
      </c>
      <c r="AP1" s="12">
        <v>25</v>
      </c>
      <c r="AQ1" s="12">
        <v>26</v>
      </c>
      <c r="AR1" s="12">
        <v>27</v>
      </c>
      <c r="AS1" s="12">
        <v>28</v>
      </c>
      <c r="AT1" s="12">
        <v>29</v>
      </c>
      <c r="AU1" s="12">
        <v>31</v>
      </c>
      <c r="AV1" s="12">
        <v>32</v>
      </c>
      <c r="AW1" s="12">
        <v>33</v>
      </c>
      <c r="AX1" s="12">
        <v>34</v>
      </c>
      <c r="AY1" s="12">
        <v>35</v>
      </c>
      <c r="AZ1" s="12">
        <v>36</v>
      </c>
      <c r="BA1" s="12">
        <v>37</v>
      </c>
      <c r="BB1" s="12">
        <v>38</v>
      </c>
      <c r="BC1" s="12">
        <v>39</v>
      </c>
      <c r="BD1" s="12">
        <v>40</v>
      </c>
      <c r="BE1" s="12">
        <v>41</v>
      </c>
      <c r="BF1" s="12">
        <v>42</v>
      </c>
      <c r="BG1" s="12">
        <v>43</v>
      </c>
      <c r="BH1" s="12">
        <v>44</v>
      </c>
      <c r="BI1" s="12">
        <v>45</v>
      </c>
      <c r="BJ1" s="12">
        <v>46</v>
      </c>
      <c r="BK1" s="12">
        <v>47</v>
      </c>
      <c r="BL1" s="12">
        <v>48</v>
      </c>
      <c r="BM1" s="12">
        <v>49</v>
      </c>
      <c r="BN1" s="12">
        <v>50</v>
      </c>
      <c r="BO1" s="12">
        <v>51</v>
      </c>
      <c r="BP1" s="12">
        <v>52</v>
      </c>
      <c r="BQ1" s="12">
        <v>53</v>
      </c>
      <c r="BR1" s="12">
        <v>54</v>
      </c>
      <c r="BS1" s="12">
        <v>55</v>
      </c>
      <c r="BT1" s="12">
        <v>56</v>
      </c>
      <c r="BU1" s="12">
        <v>57</v>
      </c>
      <c r="BV1" s="12">
        <v>58</v>
      </c>
      <c r="BW1" s="12">
        <v>59</v>
      </c>
      <c r="BX1" s="12">
        <v>60</v>
      </c>
      <c r="BY1" s="12">
        <v>61</v>
      </c>
      <c r="BZ1" s="12">
        <v>63</v>
      </c>
      <c r="CA1" s="12">
        <v>64</v>
      </c>
      <c r="CB1" s="12">
        <v>65</v>
      </c>
      <c r="CC1" s="12">
        <v>66</v>
      </c>
      <c r="CD1" s="12">
        <v>67</v>
      </c>
      <c r="CE1" s="12">
        <v>68</v>
      </c>
      <c r="CF1" s="12">
        <v>69</v>
      </c>
      <c r="CG1" s="12">
        <v>71</v>
      </c>
      <c r="CH1" s="12">
        <v>72</v>
      </c>
      <c r="CI1" s="12">
        <v>73</v>
      </c>
      <c r="CJ1" s="12">
        <v>74</v>
      </c>
      <c r="CK1" s="12">
        <v>75</v>
      </c>
      <c r="CL1" s="12">
        <v>76</v>
      </c>
      <c r="CM1" s="12">
        <v>77</v>
      </c>
      <c r="CN1" s="12">
        <v>78</v>
      </c>
      <c r="CO1" s="12">
        <v>79</v>
      </c>
      <c r="CP1" s="12">
        <v>80</v>
      </c>
      <c r="CQ1" s="12">
        <v>81</v>
      </c>
      <c r="CR1" s="12">
        <v>82</v>
      </c>
      <c r="CS1" s="12">
        <v>83</v>
      </c>
      <c r="CT1" s="12">
        <v>84</v>
      </c>
      <c r="CU1" s="12">
        <v>85</v>
      </c>
      <c r="CV1" s="12">
        <v>86</v>
      </c>
      <c r="CW1" s="12">
        <v>87</v>
      </c>
      <c r="CX1" s="12">
        <v>88</v>
      </c>
      <c r="CY1" s="12">
        <v>89</v>
      </c>
      <c r="CZ1" s="12">
        <v>90</v>
      </c>
      <c r="DA1" s="12">
        <v>91</v>
      </c>
      <c r="DB1" s="12">
        <v>92</v>
      </c>
      <c r="DC1" s="12">
        <v>93</v>
      </c>
      <c r="DD1" s="12">
        <v>94</v>
      </c>
      <c r="DE1" s="12">
        <v>95</v>
      </c>
      <c r="DF1" s="12">
        <v>96</v>
      </c>
      <c r="DG1" s="12">
        <v>97</v>
      </c>
      <c r="DH1" s="12">
        <v>98</v>
      </c>
      <c r="DI1" s="12">
        <v>99</v>
      </c>
      <c r="DJ1" s="12">
        <v>100</v>
      </c>
      <c r="DK1" s="12">
        <v>101</v>
      </c>
      <c r="DL1" s="12">
        <v>102</v>
      </c>
      <c r="DM1" s="12">
        <v>103</v>
      </c>
      <c r="DN1" s="12">
        <v>104</v>
      </c>
      <c r="DO1" s="12">
        <v>105</v>
      </c>
      <c r="DP1" s="12">
        <v>106</v>
      </c>
      <c r="DQ1" s="12">
        <v>107</v>
      </c>
      <c r="DR1" s="12">
        <v>108</v>
      </c>
      <c r="DS1" s="12">
        <v>109</v>
      </c>
      <c r="DT1" s="12">
        <v>111</v>
      </c>
      <c r="DU1" s="12">
        <v>112</v>
      </c>
      <c r="DV1" s="12">
        <v>113</v>
      </c>
      <c r="DW1" s="12">
        <v>114</v>
      </c>
      <c r="DX1" s="12">
        <v>115</v>
      </c>
      <c r="DY1" s="12">
        <v>116</v>
      </c>
      <c r="DZ1" s="12">
        <v>117</v>
      </c>
      <c r="EA1" s="12">
        <v>118</v>
      </c>
      <c r="EB1" s="12">
        <v>119</v>
      </c>
      <c r="EC1" s="12">
        <v>120</v>
      </c>
      <c r="ED1" s="12">
        <v>121</v>
      </c>
      <c r="EE1" s="12">
        <v>122</v>
      </c>
      <c r="EF1" s="12">
        <v>123</v>
      </c>
      <c r="EG1" s="12">
        <v>124</v>
      </c>
      <c r="EH1" s="12">
        <v>125</v>
      </c>
      <c r="EI1" s="12">
        <v>126</v>
      </c>
      <c r="EJ1" s="12">
        <v>127</v>
      </c>
      <c r="EK1" s="12">
        <v>128</v>
      </c>
      <c r="EL1" s="12">
        <v>129</v>
      </c>
      <c r="EM1" s="12">
        <v>130</v>
      </c>
      <c r="EN1" s="12">
        <v>131</v>
      </c>
      <c r="EO1" s="12">
        <v>132</v>
      </c>
      <c r="EP1" s="12">
        <v>133</v>
      </c>
      <c r="EQ1" s="12">
        <v>134</v>
      </c>
      <c r="ER1" s="12">
        <v>135</v>
      </c>
      <c r="ES1" s="12">
        <v>136</v>
      </c>
      <c r="ET1" s="12">
        <v>137</v>
      </c>
      <c r="EU1" s="12">
        <v>138</v>
      </c>
      <c r="EV1" s="12">
        <v>139</v>
      </c>
      <c r="EW1" s="12">
        <v>140</v>
      </c>
      <c r="EX1" s="12">
        <v>142</v>
      </c>
      <c r="EY1" s="12">
        <v>143</v>
      </c>
      <c r="EZ1" s="12">
        <v>144</v>
      </c>
      <c r="FA1" s="12">
        <v>145</v>
      </c>
      <c r="FB1" s="12">
        <v>146</v>
      </c>
      <c r="FC1" s="12">
        <v>147</v>
      </c>
      <c r="FD1" s="12">
        <v>148</v>
      </c>
      <c r="FE1" s="12">
        <v>149</v>
      </c>
      <c r="FF1" s="12">
        <v>150</v>
      </c>
      <c r="FG1" s="12">
        <v>151</v>
      </c>
      <c r="FH1" s="12">
        <v>152</v>
      </c>
      <c r="FI1" s="12">
        <v>153</v>
      </c>
      <c r="FJ1" s="12">
        <v>154</v>
      </c>
      <c r="FK1" s="12">
        <v>155</v>
      </c>
      <c r="FL1" s="12">
        <v>156</v>
      </c>
      <c r="FM1" s="12">
        <v>157</v>
      </c>
      <c r="FN1" s="12">
        <v>158</v>
      </c>
      <c r="FO1" s="12">
        <v>159</v>
      </c>
      <c r="FP1" s="12">
        <v>160</v>
      </c>
      <c r="FQ1" s="12">
        <v>161</v>
      </c>
      <c r="FR1" s="12">
        <v>162</v>
      </c>
      <c r="FS1" s="12">
        <v>163</v>
      </c>
      <c r="FT1" s="12">
        <v>164</v>
      </c>
      <c r="FU1" s="12">
        <v>165</v>
      </c>
      <c r="FV1" s="12">
        <v>166</v>
      </c>
      <c r="FW1" s="12">
        <v>167</v>
      </c>
      <c r="FX1" s="12">
        <v>168</v>
      </c>
      <c r="FY1" s="12">
        <v>169</v>
      </c>
      <c r="FZ1" s="12">
        <v>170</v>
      </c>
      <c r="GA1" s="12">
        <v>171</v>
      </c>
      <c r="GB1" s="12">
        <v>172</v>
      </c>
      <c r="GC1" s="12">
        <v>173</v>
      </c>
      <c r="GD1" s="12">
        <v>174</v>
      </c>
      <c r="GE1" s="12">
        <v>175</v>
      </c>
      <c r="GF1" s="12">
        <v>176</v>
      </c>
      <c r="GG1" s="12">
        <v>177</v>
      </c>
      <c r="GH1" s="12">
        <v>178</v>
      </c>
      <c r="GI1" s="12">
        <v>179</v>
      </c>
      <c r="GJ1" s="12">
        <v>180</v>
      </c>
      <c r="GK1" s="12">
        <v>181</v>
      </c>
      <c r="GL1" s="12">
        <v>182</v>
      </c>
      <c r="GM1" s="12">
        <v>183</v>
      </c>
      <c r="GN1" s="12">
        <v>184</v>
      </c>
      <c r="GO1" s="12">
        <v>185</v>
      </c>
      <c r="GP1" s="12">
        <v>186</v>
      </c>
      <c r="GQ1" s="12">
        <v>187</v>
      </c>
      <c r="GR1" s="12">
        <v>188</v>
      </c>
      <c r="GS1" s="12">
        <v>189</v>
      </c>
      <c r="GT1" s="12">
        <v>190</v>
      </c>
      <c r="GU1" s="12">
        <v>191</v>
      </c>
      <c r="GV1" s="12">
        <v>192</v>
      </c>
      <c r="GW1" s="12">
        <v>193</v>
      </c>
      <c r="GX1" s="12">
        <v>194</v>
      </c>
      <c r="GY1" s="12">
        <v>195</v>
      </c>
      <c r="GZ1" s="12">
        <v>196</v>
      </c>
    </row>
    <row r="2" spans="1:208" hidden="1" x14ac:dyDescent="0.3">
      <c r="A2" s="8" t="s">
        <v>536</v>
      </c>
      <c r="B2" s="8" t="s">
        <v>537</v>
      </c>
      <c r="C2" s="8" t="s">
        <v>538</v>
      </c>
      <c r="D2" s="4">
        <v>30</v>
      </c>
      <c r="E2" s="4">
        <v>1</v>
      </c>
      <c r="F2" s="4">
        <v>1</v>
      </c>
      <c r="G2" s="4">
        <v>40</v>
      </c>
      <c r="H2" t="str">
        <f>_xlfn.CONCAT(D2,"-",E2)</f>
        <v>30-1</v>
      </c>
      <c r="I2" t="b">
        <v>1</v>
      </c>
      <c r="P2" s="6" t="s">
        <v>976</v>
      </c>
      <c r="Q2" s="6" cm="1">
        <f t="array" ref="Q2:Q60">_xlfn._xlws.SORT(_xlfn.UNIQUE($D$2:$D$926),TRUE)</f>
        <v>2</v>
      </c>
      <c r="R2" t="b">
        <f t="shared" ref="R2:AA11" si="0">IFERROR(_xlfn.XLOOKUP(_xlfn.CONCAT($Q2,"-",R$1),$H$2:$H$926,$I$2:$I$926),FALSE)</f>
        <v>0</v>
      </c>
      <c r="S2" t="b">
        <f t="shared" si="0"/>
        <v>0</v>
      </c>
      <c r="T2" t="b">
        <f t="shared" si="0"/>
        <v>0</v>
      </c>
      <c r="U2" t="b">
        <f t="shared" si="0"/>
        <v>0</v>
      </c>
      <c r="V2" t="b">
        <f t="shared" si="0"/>
        <v>0</v>
      </c>
      <c r="W2" t="b">
        <f t="shared" si="0"/>
        <v>0</v>
      </c>
      <c r="X2" t="b">
        <f t="shared" si="0"/>
        <v>1</v>
      </c>
      <c r="Y2" t="b">
        <f t="shared" si="0"/>
        <v>0</v>
      </c>
      <c r="Z2" t="b">
        <f t="shared" si="0"/>
        <v>0</v>
      </c>
      <c r="AA2" t="b">
        <f t="shared" si="0"/>
        <v>0</v>
      </c>
      <c r="AB2" t="b">
        <f t="shared" ref="AB2:AK11" si="1">IFERROR(_xlfn.XLOOKUP(_xlfn.CONCAT($Q2,"-",AB$1),$H$2:$H$926,$I$2:$I$926),FALSE)</f>
        <v>0</v>
      </c>
      <c r="AC2" t="b">
        <f t="shared" si="1"/>
        <v>0</v>
      </c>
      <c r="AD2" t="b">
        <f t="shared" si="1"/>
        <v>0</v>
      </c>
      <c r="AE2" t="b">
        <f t="shared" si="1"/>
        <v>0</v>
      </c>
      <c r="AF2" t="b">
        <f t="shared" si="1"/>
        <v>0</v>
      </c>
      <c r="AG2" t="b">
        <f t="shared" si="1"/>
        <v>1</v>
      </c>
      <c r="AH2" t="b">
        <f t="shared" si="1"/>
        <v>0</v>
      </c>
      <c r="AI2" t="b">
        <f t="shared" si="1"/>
        <v>0</v>
      </c>
      <c r="AJ2" t="b">
        <f t="shared" si="1"/>
        <v>0</v>
      </c>
      <c r="AK2" t="b">
        <f t="shared" si="1"/>
        <v>0</v>
      </c>
      <c r="AL2" t="b">
        <f t="shared" ref="AL2:AU11" si="2">IFERROR(_xlfn.XLOOKUP(_xlfn.CONCAT($Q2,"-",AL$1),$H$2:$H$926,$I$2:$I$926),FALSE)</f>
        <v>0</v>
      </c>
      <c r="AM2" t="b">
        <f t="shared" si="2"/>
        <v>0</v>
      </c>
      <c r="AN2" t="b">
        <f t="shared" si="2"/>
        <v>0</v>
      </c>
      <c r="AO2" t="b">
        <f t="shared" si="2"/>
        <v>0</v>
      </c>
      <c r="AP2" t="b">
        <f t="shared" si="2"/>
        <v>0</v>
      </c>
      <c r="AQ2" t="b">
        <f t="shared" si="2"/>
        <v>0</v>
      </c>
      <c r="AR2" t="b">
        <f t="shared" si="2"/>
        <v>0</v>
      </c>
      <c r="AS2" t="b">
        <f t="shared" si="2"/>
        <v>0</v>
      </c>
      <c r="AT2" t="b">
        <f t="shared" si="2"/>
        <v>0</v>
      </c>
      <c r="AU2" t="b">
        <f t="shared" si="2"/>
        <v>0</v>
      </c>
      <c r="AV2" t="b">
        <f t="shared" ref="AV2:BE11" si="3">IFERROR(_xlfn.XLOOKUP(_xlfn.CONCAT($Q2,"-",AV$1),$H$2:$H$926,$I$2:$I$926),FALSE)</f>
        <v>0</v>
      </c>
      <c r="AW2" t="b">
        <f t="shared" si="3"/>
        <v>0</v>
      </c>
      <c r="AX2" t="b">
        <f t="shared" si="3"/>
        <v>0</v>
      </c>
      <c r="AY2" t="b">
        <f t="shared" si="3"/>
        <v>0</v>
      </c>
      <c r="AZ2" t="b">
        <f t="shared" si="3"/>
        <v>0</v>
      </c>
      <c r="BA2" t="b">
        <f t="shared" si="3"/>
        <v>0</v>
      </c>
      <c r="BB2" t="b">
        <f t="shared" si="3"/>
        <v>0</v>
      </c>
      <c r="BC2" t="b">
        <f t="shared" si="3"/>
        <v>0</v>
      </c>
      <c r="BD2" t="b">
        <f t="shared" si="3"/>
        <v>0</v>
      </c>
      <c r="BE2" t="b">
        <f t="shared" si="3"/>
        <v>0</v>
      </c>
      <c r="BF2" t="b">
        <f t="shared" ref="BF2:BO11" si="4">IFERROR(_xlfn.XLOOKUP(_xlfn.CONCAT($Q2,"-",BF$1),$H$2:$H$926,$I$2:$I$926),FALSE)</f>
        <v>0</v>
      </c>
      <c r="BG2" t="b">
        <f t="shared" si="4"/>
        <v>0</v>
      </c>
      <c r="BH2" t="b">
        <f t="shared" si="4"/>
        <v>0</v>
      </c>
      <c r="BI2" t="b">
        <f t="shared" si="4"/>
        <v>0</v>
      </c>
      <c r="BJ2" t="b">
        <f t="shared" si="4"/>
        <v>0</v>
      </c>
      <c r="BK2" t="b">
        <f t="shared" si="4"/>
        <v>0</v>
      </c>
      <c r="BL2" t="b">
        <f t="shared" si="4"/>
        <v>0</v>
      </c>
      <c r="BM2" t="b">
        <f t="shared" si="4"/>
        <v>0</v>
      </c>
      <c r="BN2" t="b">
        <f t="shared" si="4"/>
        <v>0</v>
      </c>
      <c r="BO2" t="b">
        <f t="shared" si="4"/>
        <v>0</v>
      </c>
      <c r="BP2" t="b">
        <f t="shared" ref="BP2:BY11" si="5">IFERROR(_xlfn.XLOOKUP(_xlfn.CONCAT($Q2,"-",BP$1),$H$2:$H$926,$I$2:$I$926),FALSE)</f>
        <v>0</v>
      </c>
      <c r="BQ2" t="b">
        <f t="shared" si="5"/>
        <v>0</v>
      </c>
      <c r="BR2" t="b">
        <f t="shared" si="5"/>
        <v>0</v>
      </c>
      <c r="BS2" t="b">
        <f t="shared" si="5"/>
        <v>0</v>
      </c>
      <c r="BT2" t="b">
        <f t="shared" si="5"/>
        <v>0</v>
      </c>
      <c r="BU2" t="b">
        <f t="shared" si="5"/>
        <v>0</v>
      </c>
      <c r="BV2" t="b">
        <f t="shared" si="5"/>
        <v>0</v>
      </c>
      <c r="BW2" t="b">
        <f t="shared" si="5"/>
        <v>0</v>
      </c>
      <c r="BX2" t="b">
        <f t="shared" si="5"/>
        <v>0</v>
      </c>
      <c r="BY2" t="b">
        <f t="shared" si="5"/>
        <v>0</v>
      </c>
      <c r="BZ2" t="b">
        <f t="shared" ref="BZ2:CI11" si="6">IFERROR(_xlfn.XLOOKUP(_xlfn.CONCAT($Q2,"-",BZ$1),$H$2:$H$926,$I$2:$I$926),FALSE)</f>
        <v>0</v>
      </c>
      <c r="CA2" t="b">
        <f t="shared" si="6"/>
        <v>0</v>
      </c>
      <c r="CB2" t="b">
        <f t="shared" si="6"/>
        <v>0</v>
      </c>
      <c r="CC2" t="b">
        <f t="shared" si="6"/>
        <v>0</v>
      </c>
      <c r="CD2" t="b">
        <f t="shared" si="6"/>
        <v>0</v>
      </c>
      <c r="CE2" t="b">
        <f t="shared" si="6"/>
        <v>0</v>
      </c>
      <c r="CF2" t="b">
        <f t="shared" si="6"/>
        <v>0</v>
      </c>
      <c r="CG2" t="b">
        <f t="shared" si="6"/>
        <v>0</v>
      </c>
      <c r="CH2" t="b">
        <f t="shared" si="6"/>
        <v>0</v>
      </c>
      <c r="CI2" t="b">
        <f t="shared" si="6"/>
        <v>0</v>
      </c>
      <c r="CJ2" t="b">
        <f t="shared" ref="CJ2:CS11" si="7">IFERROR(_xlfn.XLOOKUP(_xlfn.CONCAT($Q2,"-",CJ$1),$H$2:$H$926,$I$2:$I$926),FALSE)</f>
        <v>0</v>
      </c>
      <c r="CK2" t="b">
        <f t="shared" si="7"/>
        <v>0</v>
      </c>
      <c r="CL2" t="b">
        <f t="shared" si="7"/>
        <v>0</v>
      </c>
      <c r="CM2" t="b">
        <f t="shared" si="7"/>
        <v>0</v>
      </c>
      <c r="CN2" t="b">
        <f t="shared" si="7"/>
        <v>0</v>
      </c>
      <c r="CO2" t="b">
        <f t="shared" si="7"/>
        <v>0</v>
      </c>
      <c r="CP2" t="b">
        <f t="shared" si="7"/>
        <v>0</v>
      </c>
      <c r="CQ2" t="b">
        <f t="shared" si="7"/>
        <v>0</v>
      </c>
      <c r="CR2" t="b">
        <f t="shared" si="7"/>
        <v>0</v>
      </c>
      <c r="CS2" t="b">
        <f t="shared" si="7"/>
        <v>0</v>
      </c>
      <c r="CT2" t="b">
        <f t="shared" ref="CT2:DC11" si="8">IFERROR(_xlfn.XLOOKUP(_xlfn.CONCAT($Q2,"-",CT$1),$H$2:$H$926,$I$2:$I$926),FALSE)</f>
        <v>0</v>
      </c>
      <c r="CU2" t="b">
        <f t="shared" si="8"/>
        <v>0</v>
      </c>
      <c r="CV2" t="b">
        <f t="shared" si="8"/>
        <v>0</v>
      </c>
      <c r="CW2" t="b">
        <f t="shared" si="8"/>
        <v>0</v>
      </c>
      <c r="CX2" t="b">
        <f t="shared" si="8"/>
        <v>0</v>
      </c>
      <c r="CY2" t="b">
        <f t="shared" si="8"/>
        <v>0</v>
      </c>
      <c r="CZ2" t="b">
        <f t="shared" si="8"/>
        <v>0</v>
      </c>
      <c r="DA2" t="b">
        <f t="shared" si="8"/>
        <v>0</v>
      </c>
      <c r="DB2" t="b">
        <f t="shared" si="8"/>
        <v>0</v>
      </c>
      <c r="DC2" t="b">
        <f t="shared" si="8"/>
        <v>0</v>
      </c>
      <c r="DD2" t="b">
        <f t="shared" ref="DD2:DM11" si="9">IFERROR(_xlfn.XLOOKUP(_xlfn.CONCAT($Q2,"-",DD$1),$H$2:$H$926,$I$2:$I$926),FALSE)</f>
        <v>0</v>
      </c>
      <c r="DE2" t="b">
        <f t="shared" si="9"/>
        <v>0</v>
      </c>
      <c r="DF2" t="b">
        <f t="shared" si="9"/>
        <v>0</v>
      </c>
      <c r="DG2" t="b">
        <f t="shared" si="9"/>
        <v>0</v>
      </c>
      <c r="DH2" t="b">
        <f t="shared" si="9"/>
        <v>0</v>
      </c>
      <c r="DI2" t="b">
        <f t="shared" si="9"/>
        <v>0</v>
      </c>
      <c r="DJ2" t="b">
        <f t="shared" si="9"/>
        <v>0</v>
      </c>
      <c r="DK2" t="b">
        <f t="shared" si="9"/>
        <v>0</v>
      </c>
      <c r="DL2" t="b">
        <f t="shared" si="9"/>
        <v>0</v>
      </c>
      <c r="DM2" t="b">
        <f t="shared" si="9"/>
        <v>0</v>
      </c>
      <c r="DN2" t="b">
        <f t="shared" ref="DN2:DW11" si="10">IFERROR(_xlfn.XLOOKUP(_xlfn.CONCAT($Q2,"-",DN$1),$H$2:$H$926,$I$2:$I$926),FALSE)</f>
        <v>0</v>
      </c>
      <c r="DO2" t="b">
        <f t="shared" si="10"/>
        <v>0</v>
      </c>
      <c r="DP2" t="b">
        <f t="shared" si="10"/>
        <v>0</v>
      </c>
      <c r="DQ2" t="b">
        <f t="shared" si="10"/>
        <v>0</v>
      </c>
      <c r="DR2" t="b">
        <f t="shared" si="10"/>
        <v>0</v>
      </c>
      <c r="DS2" t="b">
        <f t="shared" si="10"/>
        <v>0</v>
      </c>
      <c r="DT2" t="b">
        <f t="shared" si="10"/>
        <v>0</v>
      </c>
      <c r="DU2" t="b">
        <f t="shared" si="10"/>
        <v>0</v>
      </c>
      <c r="DV2" t="b">
        <f t="shared" si="10"/>
        <v>0</v>
      </c>
      <c r="DW2" t="b">
        <f t="shared" si="10"/>
        <v>0</v>
      </c>
      <c r="DX2" t="b">
        <f t="shared" ref="DX2:EG11" si="11">IFERROR(_xlfn.XLOOKUP(_xlfn.CONCAT($Q2,"-",DX$1),$H$2:$H$926,$I$2:$I$926),FALSE)</f>
        <v>0</v>
      </c>
      <c r="DY2" t="b">
        <f t="shared" si="11"/>
        <v>0</v>
      </c>
      <c r="DZ2" t="b">
        <f t="shared" si="11"/>
        <v>0</v>
      </c>
      <c r="EA2" t="b">
        <f t="shared" si="11"/>
        <v>0</v>
      </c>
      <c r="EB2" t="b">
        <f t="shared" si="11"/>
        <v>0</v>
      </c>
      <c r="EC2" t="b">
        <f t="shared" si="11"/>
        <v>0</v>
      </c>
      <c r="ED2" t="b">
        <f t="shared" si="11"/>
        <v>0</v>
      </c>
      <c r="EE2" t="b">
        <f t="shared" si="11"/>
        <v>0</v>
      </c>
      <c r="EF2" t="b">
        <f t="shared" si="11"/>
        <v>0</v>
      </c>
      <c r="EG2" t="b">
        <f t="shared" si="11"/>
        <v>0</v>
      </c>
      <c r="EH2" t="b">
        <f t="shared" ref="EH2:EQ11" si="12">IFERROR(_xlfn.XLOOKUP(_xlfn.CONCAT($Q2,"-",EH$1),$H$2:$H$926,$I$2:$I$926),FALSE)</f>
        <v>0</v>
      </c>
      <c r="EI2" t="b">
        <f t="shared" si="12"/>
        <v>0</v>
      </c>
      <c r="EJ2" t="b">
        <f t="shared" si="12"/>
        <v>0</v>
      </c>
      <c r="EK2" t="b">
        <f t="shared" si="12"/>
        <v>0</v>
      </c>
      <c r="EL2" t="b">
        <f t="shared" si="12"/>
        <v>0</v>
      </c>
      <c r="EM2" t="b">
        <f t="shared" si="12"/>
        <v>0</v>
      </c>
      <c r="EN2" t="b">
        <f t="shared" si="12"/>
        <v>0</v>
      </c>
      <c r="EO2" t="b">
        <f t="shared" si="12"/>
        <v>0</v>
      </c>
      <c r="EP2" t="b">
        <f t="shared" si="12"/>
        <v>0</v>
      </c>
      <c r="EQ2" t="b">
        <f t="shared" si="12"/>
        <v>0</v>
      </c>
      <c r="ER2" t="b">
        <f t="shared" ref="ER2:FA11" si="13">IFERROR(_xlfn.XLOOKUP(_xlfn.CONCAT($Q2,"-",ER$1),$H$2:$H$926,$I$2:$I$926),FALSE)</f>
        <v>0</v>
      </c>
      <c r="ES2" t="b">
        <f t="shared" si="13"/>
        <v>0</v>
      </c>
      <c r="ET2" t="b">
        <f t="shared" si="13"/>
        <v>0</v>
      </c>
      <c r="EU2" t="b">
        <f t="shared" si="13"/>
        <v>0</v>
      </c>
      <c r="EV2" t="b">
        <f t="shared" si="13"/>
        <v>0</v>
      </c>
      <c r="EW2" t="b">
        <f t="shared" si="13"/>
        <v>0</v>
      </c>
      <c r="EX2" t="b">
        <f t="shared" si="13"/>
        <v>0</v>
      </c>
      <c r="EY2" t="b">
        <f t="shared" si="13"/>
        <v>0</v>
      </c>
      <c r="EZ2" t="b">
        <f t="shared" si="13"/>
        <v>0</v>
      </c>
      <c r="FA2" t="b">
        <f t="shared" si="13"/>
        <v>0</v>
      </c>
      <c r="FB2" t="b">
        <f t="shared" ref="FB2:FK11" si="14">IFERROR(_xlfn.XLOOKUP(_xlfn.CONCAT($Q2,"-",FB$1),$H$2:$H$926,$I$2:$I$926),FALSE)</f>
        <v>0</v>
      </c>
      <c r="FC2" t="b">
        <f t="shared" si="14"/>
        <v>0</v>
      </c>
      <c r="FD2" t="b">
        <f t="shared" si="14"/>
        <v>0</v>
      </c>
      <c r="FE2" t="b">
        <f t="shared" si="14"/>
        <v>0</v>
      </c>
      <c r="FF2" t="b">
        <f t="shared" si="14"/>
        <v>0</v>
      </c>
      <c r="FG2" t="b">
        <f t="shared" si="14"/>
        <v>0</v>
      </c>
      <c r="FH2" t="b">
        <f t="shared" si="14"/>
        <v>0</v>
      </c>
      <c r="FI2" t="b">
        <f t="shared" si="14"/>
        <v>0</v>
      </c>
      <c r="FJ2" t="b">
        <f t="shared" si="14"/>
        <v>0</v>
      </c>
      <c r="FK2" t="b">
        <f t="shared" si="14"/>
        <v>0</v>
      </c>
      <c r="FL2" t="b">
        <f t="shared" ref="FL2:FU11" si="15">IFERROR(_xlfn.XLOOKUP(_xlfn.CONCAT($Q2,"-",FL$1),$H$2:$H$926,$I$2:$I$926),FALSE)</f>
        <v>0</v>
      </c>
      <c r="FM2" t="b">
        <f t="shared" si="15"/>
        <v>0</v>
      </c>
      <c r="FN2" t="b">
        <f t="shared" si="15"/>
        <v>0</v>
      </c>
      <c r="FO2" t="b">
        <f t="shared" si="15"/>
        <v>0</v>
      </c>
      <c r="FP2" t="b">
        <f t="shared" si="15"/>
        <v>0</v>
      </c>
      <c r="FQ2" t="b">
        <f t="shared" si="15"/>
        <v>0</v>
      </c>
      <c r="FR2" t="b">
        <f t="shared" si="15"/>
        <v>0</v>
      </c>
      <c r="FS2" t="b">
        <f t="shared" si="15"/>
        <v>0</v>
      </c>
      <c r="FT2" t="b">
        <f t="shared" si="15"/>
        <v>0</v>
      </c>
      <c r="FU2" t="b">
        <f t="shared" si="15"/>
        <v>0</v>
      </c>
      <c r="FV2" t="b">
        <f t="shared" ref="FV2:GE11" si="16">IFERROR(_xlfn.XLOOKUP(_xlfn.CONCAT($Q2,"-",FV$1),$H$2:$H$926,$I$2:$I$926),FALSE)</f>
        <v>0</v>
      </c>
      <c r="FW2" t="b">
        <f t="shared" si="16"/>
        <v>0</v>
      </c>
      <c r="FX2" t="b">
        <f t="shared" si="16"/>
        <v>0</v>
      </c>
      <c r="FY2" t="b">
        <f t="shared" si="16"/>
        <v>0</v>
      </c>
      <c r="FZ2" t="b">
        <f t="shared" si="16"/>
        <v>0</v>
      </c>
      <c r="GA2" t="b">
        <f t="shared" si="16"/>
        <v>0</v>
      </c>
      <c r="GB2" t="b">
        <f t="shared" si="16"/>
        <v>0</v>
      </c>
      <c r="GC2" t="b">
        <f t="shared" si="16"/>
        <v>0</v>
      </c>
      <c r="GD2" t="b">
        <f t="shared" si="16"/>
        <v>0</v>
      </c>
      <c r="GE2" t="b">
        <f t="shared" si="16"/>
        <v>0</v>
      </c>
      <c r="GF2" t="b">
        <f t="shared" ref="GF2:GO11" si="17">IFERROR(_xlfn.XLOOKUP(_xlfn.CONCAT($Q2,"-",GF$1),$H$2:$H$926,$I$2:$I$926),FALSE)</f>
        <v>0</v>
      </c>
      <c r="GG2" t="b">
        <f t="shared" si="17"/>
        <v>0</v>
      </c>
      <c r="GH2" t="b">
        <f t="shared" si="17"/>
        <v>0</v>
      </c>
      <c r="GI2" t="b">
        <f t="shared" si="17"/>
        <v>0</v>
      </c>
      <c r="GJ2" t="b">
        <f t="shared" si="17"/>
        <v>0</v>
      </c>
      <c r="GK2" t="b">
        <f t="shared" si="17"/>
        <v>0</v>
      </c>
      <c r="GL2" t="b">
        <f t="shared" si="17"/>
        <v>1</v>
      </c>
      <c r="GM2" t="b">
        <f t="shared" si="17"/>
        <v>0</v>
      </c>
      <c r="GN2" t="b">
        <f t="shared" si="17"/>
        <v>0</v>
      </c>
      <c r="GO2" t="b">
        <f t="shared" si="17"/>
        <v>0</v>
      </c>
      <c r="GP2" t="b">
        <f t="shared" ref="GP2:GZ11" si="18">IFERROR(_xlfn.XLOOKUP(_xlfn.CONCAT($Q2,"-",GP$1),$H$2:$H$926,$I$2:$I$926),FALSE)</f>
        <v>0</v>
      </c>
      <c r="GQ2" t="b">
        <f t="shared" si="18"/>
        <v>0</v>
      </c>
      <c r="GR2" t="b">
        <f t="shared" si="18"/>
        <v>0</v>
      </c>
      <c r="GS2" t="b">
        <f t="shared" si="18"/>
        <v>0</v>
      </c>
      <c r="GT2" t="b">
        <f t="shared" si="18"/>
        <v>0</v>
      </c>
      <c r="GU2" t="b">
        <f t="shared" si="18"/>
        <v>0</v>
      </c>
      <c r="GV2" t="b">
        <f t="shared" si="18"/>
        <v>0</v>
      </c>
      <c r="GW2" t="b">
        <f t="shared" si="18"/>
        <v>0</v>
      </c>
      <c r="GX2" t="b">
        <f t="shared" si="18"/>
        <v>0</v>
      </c>
      <c r="GY2" t="b">
        <f t="shared" si="18"/>
        <v>0</v>
      </c>
      <c r="GZ2" t="b">
        <f t="shared" si="18"/>
        <v>0</v>
      </c>
    </row>
    <row r="3" spans="1:208" hidden="1" x14ac:dyDescent="0.3">
      <c r="A3" s="8" t="s">
        <v>536</v>
      </c>
      <c r="B3" s="8" t="s">
        <v>537</v>
      </c>
      <c r="C3" s="8" t="s">
        <v>539</v>
      </c>
      <c r="D3" s="4">
        <v>30</v>
      </c>
      <c r="E3" s="4">
        <v>1</v>
      </c>
      <c r="F3" s="4">
        <v>2</v>
      </c>
      <c r="G3" s="4">
        <v>50</v>
      </c>
      <c r="H3" t="str">
        <f t="shared" ref="H3:H66" si="19">_xlfn.CONCAT(D3,"-",E3)</f>
        <v>30-1</v>
      </c>
      <c r="I3" t="b">
        <v>1</v>
      </c>
      <c r="Q3" s="6">
        <v>3</v>
      </c>
      <c r="R3" t="b">
        <f t="shared" si="0"/>
        <v>0</v>
      </c>
      <c r="S3" t="b">
        <f t="shared" si="0"/>
        <v>0</v>
      </c>
      <c r="T3" t="b">
        <f t="shared" si="0"/>
        <v>0</v>
      </c>
      <c r="U3" t="b">
        <f t="shared" si="0"/>
        <v>0</v>
      </c>
      <c r="V3" t="b">
        <f t="shared" si="0"/>
        <v>0</v>
      </c>
      <c r="W3" t="b">
        <f t="shared" si="0"/>
        <v>0</v>
      </c>
      <c r="X3" t="b">
        <f t="shared" si="0"/>
        <v>0</v>
      </c>
      <c r="Y3" t="b">
        <f t="shared" si="0"/>
        <v>0</v>
      </c>
      <c r="Z3" t="b">
        <f t="shared" si="0"/>
        <v>0</v>
      </c>
      <c r="AA3" t="b">
        <f t="shared" si="0"/>
        <v>0</v>
      </c>
      <c r="AB3" t="b">
        <f t="shared" si="1"/>
        <v>0</v>
      </c>
      <c r="AC3" t="b">
        <f t="shared" si="1"/>
        <v>0</v>
      </c>
      <c r="AD3" t="b">
        <f t="shared" si="1"/>
        <v>0</v>
      </c>
      <c r="AE3" t="b">
        <f t="shared" si="1"/>
        <v>0</v>
      </c>
      <c r="AF3" t="b">
        <f t="shared" si="1"/>
        <v>0</v>
      </c>
      <c r="AG3" t="b">
        <f t="shared" si="1"/>
        <v>0</v>
      </c>
      <c r="AH3" t="b">
        <f t="shared" si="1"/>
        <v>0</v>
      </c>
      <c r="AI3" t="b">
        <f t="shared" si="1"/>
        <v>0</v>
      </c>
      <c r="AJ3" t="b">
        <f t="shared" si="1"/>
        <v>0</v>
      </c>
      <c r="AK3" t="b">
        <f t="shared" si="1"/>
        <v>0</v>
      </c>
      <c r="AL3" t="b">
        <f t="shared" si="2"/>
        <v>0</v>
      </c>
      <c r="AM3" t="b">
        <f t="shared" si="2"/>
        <v>0</v>
      </c>
      <c r="AN3" t="b">
        <f t="shared" si="2"/>
        <v>0</v>
      </c>
      <c r="AO3" t="b">
        <f t="shared" si="2"/>
        <v>0</v>
      </c>
      <c r="AP3" t="b">
        <f t="shared" si="2"/>
        <v>0</v>
      </c>
      <c r="AQ3" t="b">
        <f t="shared" si="2"/>
        <v>0</v>
      </c>
      <c r="AR3" t="b">
        <f t="shared" si="2"/>
        <v>0</v>
      </c>
      <c r="AS3" t="b">
        <f t="shared" si="2"/>
        <v>0</v>
      </c>
      <c r="AT3" t="b">
        <f t="shared" si="2"/>
        <v>0</v>
      </c>
      <c r="AU3" t="b">
        <f t="shared" si="2"/>
        <v>0</v>
      </c>
      <c r="AV3" t="b">
        <f t="shared" si="3"/>
        <v>0</v>
      </c>
      <c r="AW3" t="b">
        <f t="shared" si="3"/>
        <v>0</v>
      </c>
      <c r="AX3" t="b">
        <f t="shared" si="3"/>
        <v>0</v>
      </c>
      <c r="AY3" t="b">
        <f t="shared" si="3"/>
        <v>0</v>
      </c>
      <c r="AZ3" t="b">
        <f t="shared" si="3"/>
        <v>0</v>
      </c>
      <c r="BA3" t="b">
        <f t="shared" si="3"/>
        <v>0</v>
      </c>
      <c r="BB3" t="b">
        <f t="shared" si="3"/>
        <v>0</v>
      </c>
      <c r="BC3" t="b">
        <f t="shared" si="3"/>
        <v>0</v>
      </c>
      <c r="BD3" t="b">
        <f t="shared" si="3"/>
        <v>0</v>
      </c>
      <c r="BE3" t="b">
        <f t="shared" si="3"/>
        <v>0</v>
      </c>
      <c r="BF3" t="b">
        <f t="shared" si="4"/>
        <v>0</v>
      </c>
      <c r="BG3" t="b">
        <f t="shared" si="4"/>
        <v>0</v>
      </c>
      <c r="BH3" t="b">
        <f t="shared" si="4"/>
        <v>0</v>
      </c>
      <c r="BI3" t="b">
        <f t="shared" si="4"/>
        <v>0</v>
      </c>
      <c r="BJ3" t="b">
        <f t="shared" si="4"/>
        <v>0</v>
      </c>
      <c r="BK3" t="b">
        <f t="shared" si="4"/>
        <v>0</v>
      </c>
      <c r="BL3" t="b">
        <f t="shared" si="4"/>
        <v>0</v>
      </c>
      <c r="BM3" t="b">
        <f t="shared" si="4"/>
        <v>0</v>
      </c>
      <c r="BN3" t="b">
        <f t="shared" si="4"/>
        <v>0</v>
      </c>
      <c r="BO3" t="b">
        <f t="shared" si="4"/>
        <v>0</v>
      </c>
      <c r="BP3" t="b">
        <f t="shared" si="5"/>
        <v>0</v>
      </c>
      <c r="BQ3" t="b">
        <f t="shared" si="5"/>
        <v>0</v>
      </c>
      <c r="BR3" t="b">
        <f t="shared" si="5"/>
        <v>0</v>
      </c>
      <c r="BS3" t="b">
        <f t="shared" si="5"/>
        <v>0</v>
      </c>
      <c r="BT3" t="b">
        <f t="shared" si="5"/>
        <v>1</v>
      </c>
      <c r="BU3" t="b">
        <f t="shared" si="5"/>
        <v>0</v>
      </c>
      <c r="BV3" t="b">
        <f t="shared" si="5"/>
        <v>0</v>
      </c>
      <c r="BW3" t="b">
        <f t="shared" si="5"/>
        <v>0</v>
      </c>
      <c r="BX3" t="b">
        <f t="shared" si="5"/>
        <v>0</v>
      </c>
      <c r="BY3" t="b">
        <f t="shared" si="5"/>
        <v>0</v>
      </c>
      <c r="BZ3" t="b">
        <f t="shared" si="6"/>
        <v>0</v>
      </c>
      <c r="CA3" t="b">
        <f t="shared" si="6"/>
        <v>1</v>
      </c>
      <c r="CB3" t="b">
        <f t="shared" si="6"/>
        <v>0</v>
      </c>
      <c r="CC3" t="b">
        <f t="shared" si="6"/>
        <v>0</v>
      </c>
      <c r="CD3" t="b">
        <f t="shared" si="6"/>
        <v>0</v>
      </c>
      <c r="CE3" t="b">
        <f t="shared" si="6"/>
        <v>0</v>
      </c>
      <c r="CF3" t="b">
        <f t="shared" si="6"/>
        <v>0</v>
      </c>
      <c r="CG3" t="b">
        <f t="shared" si="6"/>
        <v>0</v>
      </c>
      <c r="CH3" t="b">
        <f t="shared" si="6"/>
        <v>0</v>
      </c>
      <c r="CI3" t="b">
        <f t="shared" si="6"/>
        <v>0</v>
      </c>
      <c r="CJ3" t="b">
        <f t="shared" si="7"/>
        <v>0</v>
      </c>
      <c r="CK3" t="b">
        <f t="shared" si="7"/>
        <v>0</v>
      </c>
      <c r="CL3" t="b">
        <f t="shared" si="7"/>
        <v>0</v>
      </c>
      <c r="CM3" t="b">
        <f t="shared" si="7"/>
        <v>0</v>
      </c>
      <c r="CN3" t="b">
        <f t="shared" si="7"/>
        <v>0</v>
      </c>
      <c r="CO3" t="b">
        <f t="shared" si="7"/>
        <v>0</v>
      </c>
      <c r="CP3" t="b">
        <f t="shared" si="7"/>
        <v>0</v>
      </c>
      <c r="CQ3" t="b">
        <f t="shared" si="7"/>
        <v>0</v>
      </c>
      <c r="CR3" t="b">
        <f t="shared" si="7"/>
        <v>0</v>
      </c>
      <c r="CS3" t="b">
        <f t="shared" si="7"/>
        <v>0</v>
      </c>
      <c r="CT3" t="b">
        <f t="shared" si="8"/>
        <v>0</v>
      </c>
      <c r="CU3" t="b">
        <f t="shared" si="8"/>
        <v>0</v>
      </c>
      <c r="CV3" t="b">
        <f t="shared" si="8"/>
        <v>0</v>
      </c>
      <c r="CW3" t="b">
        <f t="shared" si="8"/>
        <v>0</v>
      </c>
      <c r="CX3" t="b">
        <f t="shared" si="8"/>
        <v>0</v>
      </c>
      <c r="CY3" t="b">
        <f t="shared" si="8"/>
        <v>0</v>
      </c>
      <c r="CZ3" t="b">
        <f t="shared" si="8"/>
        <v>0</v>
      </c>
      <c r="DA3" t="b">
        <f t="shared" si="8"/>
        <v>0</v>
      </c>
      <c r="DB3" t="b">
        <f t="shared" si="8"/>
        <v>0</v>
      </c>
      <c r="DC3" t="b">
        <f t="shared" si="8"/>
        <v>0</v>
      </c>
      <c r="DD3" t="b">
        <f t="shared" si="9"/>
        <v>0</v>
      </c>
      <c r="DE3" t="b">
        <f t="shared" si="9"/>
        <v>0</v>
      </c>
      <c r="DF3" t="b">
        <f t="shared" si="9"/>
        <v>0</v>
      </c>
      <c r="DG3" t="b">
        <f t="shared" si="9"/>
        <v>0</v>
      </c>
      <c r="DH3" t="b">
        <f t="shared" si="9"/>
        <v>0</v>
      </c>
      <c r="DI3" t="b">
        <f t="shared" si="9"/>
        <v>0</v>
      </c>
      <c r="DJ3" t="b">
        <f t="shared" si="9"/>
        <v>0</v>
      </c>
      <c r="DK3" t="b">
        <f t="shared" si="9"/>
        <v>0</v>
      </c>
      <c r="DL3" t="b">
        <f t="shared" si="9"/>
        <v>0</v>
      </c>
      <c r="DM3" t="b">
        <f t="shared" si="9"/>
        <v>0</v>
      </c>
      <c r="DN3" t="b">
        <f t="shared" si="10"/>
        <v>0</v>
      </c>
      <c r="DO3" t="b">
        <f t="shared" si="10"/>
        <v>0</v>
      </c>
      <c r="DP3" t="b">
        <f t="shared" si="10"/>
        <v>0</v>
      </c>
      <c r="DQ3" t="b">
        <f t="shared" si="10"/>
        <v>0</v>
      </c>
      <c r="DR3" t="b">
        <f t="shared" si="10"/>
        <v>0</v>
      </c>
      <c r="DS3" t="b">
        <f t="shared" si="10"/>
        <v>0</v>
      </c>
      <c r="DT3" t="b">
        <f t="shared" si="10"/>
        <v>0</v>
      </c>
      <c r="DU3" t="b">
        <f t="shared" si="10"/>
        <v>0</v>
      </c>
      <c r="DV3" t="b">
        <f t="shared" si="10"/>
        <v>0</v>
      </c>
      <c r="DW3" t="b">
        <f t="shared" si="10"/>
        <v>0</v>
      </c>
      <c r="DX3" t="b">
        <f t="shared" si="11"/>
        <v>0</v>
      </c>
      <c r="DY3" t="b">
        <f t="shared" si="11"/>
        <v>0</v>
      </c>
      <c r="DZ3" t="b">
        <f t="shared" si="11"/>
        <v>0</v>
      </c>
      <c r="EA3" t="b">
        <f t="shared" si="11"/>
        <v>0</v>
      </c>
      <c r="EB3" t="b">
        <f t="shared" si="11"/>
        <v>0</v>
      </c>
      <c r="EC3" t="b">
        <f t="shared" si="11"/>
        <v>0</v>
      </c>
      <c r="ED3" t="b">
        <f t="shared" si="11"/>
        <v>0</v>
      </c>
      <c r="EE3" t="b">
        <f t="shared" si="11"/>
        <v>0</v>
      </c>
      <c r="EF3" t="b">
        <f t="shared" si="11"/>
        <v>0</v>
      </c>
      <c r="EG3" t="b">
        <f t="shared" si="11"/>
        <v>0</v>
      </c>
      <c r="EH3" t="b">
        <f t="shared" si="12"/>
        <v>0</v>
      </c>
      <c r="EI3" t="b">
        <f t="shared" si="12"/>
        <v>0</v>
      </c>
      <c r="EJ3" t="b">
        <f t="shared" si="12"/>
        <v>0</v>
      </c>
      <c r="EK3" t="b">
        <f t="shared" si="12"/>
        <v>0</v>
      </c>
      <c r="EL3" t="b">
        <f t="shared" si="12"/>
        <v>0</v>
      </c>
      <c r="EM3" t="b">
        <f t="shared" si="12"/>
        <v>0</v>
      </c>
      <c r="EN3" t="b">
        <f t="shared" si="12"/>
        <v>0</v>
      </c>
      <c r="EO3" t="b">
        <f t="shared" si="12"/>
        <v>0</v>
      </c>
      <c r="EP3" t="b">
        <f t="shared" si="12"/>
        <v>0</v>
      </c>
      <c r="EQ3" t="b">
        <f t="shared" si="12"/>
        <v>0</v>
      </c>
      <c r="ER3" t="b">
        <f t="shared" si="13"/>
        <v>0</v>
      </c>
      <c r="ES3" t="b">
        <f t="shared" si="13"/>
        <v>0</v>
      </c>
      <c r="ET3" t="b">
        <f t="shared" si="13"/>
        <v>0</v>
      </c>
      <c r="EU3" t="b">
        <f t="shared" si="13"/>
        <v>0</v>
      </c>
      <c r="EV3" t="b">
        <f t="shared" si="13"/>
        <v>0</v>
      </c>
      <c r="EW3" t="b">
        <f t="shared" si="13"/>
        <v>0</v>
      </c>
      <c r="EX3" t="b">
        <f t="shared" si="13"/>
        <v>0</v>
      </c>
      <c r="EY3" t="b">
        <f t="shared" si="13"/>
        <v>0</v>
      </c>
      <c r="EZ3" t="b">
        <f t="shared" si="13"/>
        <v>0</v>
      </c>
      <c r="FA3" t="b">
        <f t="shared" si="13"/>
        <v>0</v>
      </c>
      <c r="FB3" t="b">
        <f t="shared" si="14"/>
        <v>0</v>
      </c>
      <c r="FC3" t="b">
        <f t="shared" si="14"/>
        <v>0</v>
      </c>
      <c r="FD3" t="b">
        <f t="shared" si="14"/>
        <v>0</v>
      </c>
      <c r="FE3" t="b">
        <f t="shared" si="14"/>
        <v>0</v>
      </c>
      <c r="FF3" t="b">
        <f t="shared" si="14"/>
        <v>0</v>
      </c>
      <c r="FG3" t="b">
        <f t="shared" si="14"/>
        <v>0</v>
      </c>
      <c r="FH3" t="b">
        <f t="shared" si="14"/>
        <v>0</v>
      </c>
      <c r="FI3" t="b">
        <f t="shared" si="14"/>
        <v>0</v>
      </c>
      <c r="FJ3" t="b">
        <f t="shared" si="14"/>
        <v>0</v>
      </c>
      <c r="FK3" t="b">
        <f t="shared" si="14"/>
        <v>0</v>
      </c>
      <c r="FL3" t="b">
        <f t="shared" si="15"/>
        <v>0</v>
      </c>
      <c r="FM3" t="b">
        <f t="shared" si="15"/>
        <v>0</v>
      </c>
      <c r="FN3" t="b">
        <f t="shared" si="15"/>
        <v>0</v>
      </c>
      <c r="FO3" t="b">
        <f t="shared" si="15"/>
        <v>0</v>
      </c>
      <c r="FP3" t="b">
        <f t="shared" si="15"/>
        <v>0</v>
      </c>
      <c r="FQ3" t="b">
        <f t="shared" si="15"/>
        <v>0</v>
      </c>
      <c r="FR3" t="b">
        <f t="shared" si="15"/>
        <v>0</v>
      </c>
      <c r="FS3" t="b">
        <f t="shared" si="15"/>
        <v>0</v>
      </c>
      <c r="FT3" t="b">
        <f t="shared" si="15"/>
        <v>0</v>
      </c>
      <c r="FU3" t="b">
        <f t="shared" si="15"/>
        <v>0</v>
      </c>
      <c r="FV3" t="b">
        <f t="shared" si="16"/>
        <v>0</v>
      </c>
      <c r="FW3" t="b">
        <f t="shared" si="16"/>
        <v>0</v>
      </c>
      <c r="FX3" t="b">
        <f t="shared" si="16"/>
        <v>0</v>
      </c>
      <c r="FY3" t="b">
        <f t="shared" si="16"/>
        <v>0</v>
      </c>
      <c r="FZ3" t="b">
        <f t="shared" si="16"/>
        <v>0</v>
      </c>
      <c r="GA3" t="b">
        <f t="shared" si="16"/>
        <v>0</v>
      </c>
      <c r="GB3" t="b">
        <f t="shared" si="16"/>
        <v>0</v>
      </c>
      <c r="GC3" t="b">
        <f t="shared" si="16"/>
        <v>0</v>
      </c>
      <c r="GD3" t="b">
        <f t="shared" si="16"/>
        <v>0</v>
      </c>
      <c r="GE3" t="b">
        <f t="shared" si="16"/>
        <v>0</v>
      </c>
      <c r="GF3" t="b">
        <f t="shared" si="17"/>
        <v>0</v>
      </c>
      <c r="GG3" t="b">
        <f t="shared" si="17"/>
        <v>0</v>
      </c>
      <c r="GH3" t="b">
        <f t="shared" si="17"/>
        <v>0</v>
      </c>
      <c r="GI3" t="b">
        <f t="shared" si="17"/>
        <v>0</v>
      </c>
      <c r="GJ3" t="b">
        <f t="shared" si="17"/>
        <v>0</v>
      </c>
      <c r="GK3" t="b">
        <f t="shared" si="17"/>
        <v>0</v>
      </c>
      <c r="GL3" t="b">
        <f t="shared" si="17"/>
        <v>0</v>
      </c>
      <c r="GM3" t="b">
        <f t="shared" si="17"/>
        <v>0</v>
      </c>
      <c r="GN3" t="b">
        <f t="shared" si="17"/>
        <v>0</v>
      </c>
      <c r="GO3" t="b">
        <f t="shared" si="17"/>
        <v>0</v>
      </c>
      <c r="GP3" t="b">
        <f t="shared" si="18"/>
        <v>0</v>
      </c>
      <c r="GQ3" t="b">
        <f t="shared" si="18"/>
        <v>0</v>
      </c>
      <c r="GR3" t="b">
        <f t="shared" si="18"/>
        <v>0</v>
      </c>
      <c r="GS3" t="b">
        <f t="shared" si="18"/>
        <v>0</v>
      </c>
      <c r="GT3" t="b">
        <f t="shared" si="18"/>
        <v>0</v>
      </c>
      <c r="GU3" t="b">
        <f t="shared" si="18"/>
        <v>0</v>
      </c>
      <c r="GV3" t="b">
        <f t="shared" si="18"/>
        <v>0</v>
      </c>
      <c r="GW3" t="b">
        <f t="shared" si="18"/>
        <v>0</v>
      </c>
      <c r="GX3" t="b">
        <f t="shared" si="18"/>
        <v>0</v>
      </c>
      <c r="GY3" t="b">
        <f t="shared" si="18"/>
        <v>0</v>
      </c>
      <c r="GZ3" t="b">
        <f t="shared" si="18"/>
        <v>0</v>
      </c>
    </row>
    <row r="4" spans="1:208" hidden="1" x14ac:dyDescent="0.3">
      <c r="A4" t="s">
        <v>536</v>
      </c>
      <c r="B4" t="s">
        <v>537</v>
      </c>
      <c r="C4" t="s">
        <v>540</v>
      </c>
      <c r="D4" s="3">
        <v>30</v>
      </c>
      <c r="E4" s="3">
        <v>1</v>
      </c>
      <c r="F4" s="3">
        <v>3</v>
      </c>
      <c r="G4" s="3">
        <v>350</v>
      </c>
      <c r="H4" t="str">
        <f t="shared" si="19"/>
        <v>30-1</v>
      </c>
      <c r="I4" t="b">
        <v>1</v>
      </c>
      <c r="Q4" s="6">
        <v>4</v>
      </c>
      <c r="R4" t="b">
        <f t="shared" si="0"/>
        <v>0</v>
      </c>
      <c r="S4" t="b">
        <f t="shared" si="0"/>
        <v>0</v>
      </c>
      <c r="T4" t="b">
        <f t="shared" si="0"/>
        <v>0</v>
      </c>
      <c r="U4" t="b">
        <f t="shared" si="0"/>
        <v>0</v>
      </c>
      <c r="V4" t="b">
        <f t="shared" si="0"/>
        <v>1</v>
      </c>
      <c r="W4" t="b">
        <f t="shared" si="0"/>
        <v>0</v>
      </c>
      <c r="X4" t="b">
        <f t="shared" si="0"/>
        <v>0</v>
      </c>
      <c r="Y4" t="b">
        <f t="shared" si="0"/>
        <v>0</v>
      </c>
      <c r="Z4" t="b">
        <f t="shared" si="0"/>
        <v>0</v>
      </c>
      <c r="AA4" t="b">
        <f t="shared" si="0"/>
        <v>0</v>
      </c>
      <c r="AB4" t="b">
        <f t="shared" si="1"/>
        <v>0</v>
      </c>
      <c r="AC4" t="b">
        <f t="shared" si="1"/>
        <v>0</v>
      </c>
      <c r="AD4" t="b">
        <f t="shared" si="1"/>
        <v>0</v>
      </c>
      <c r="AE4" t="b">
        <f t="shared" si="1"/>
        <v>0</v>
      </c>
      <c r="AF4" t="b">
        <f t="shared" si="1"/>
        <v>1</v>
      </c>
      <c r="AG4" t="b">
        <f t="shared" si="1"/>
        <v>0</v>
      </c>
      <c r="AH4" t="b">
        <f t="shared" si="1"/>
        <v>0</v>
      </c>
      <c r="AI4" t="b">
        <f t="shared" si="1"/>
        <v>0</v>
      </c>
      <c r="AJ4" t="b">
        <f t="shared" si="1"/>
        <v>0</v>
      </c>
      <c r="AK4" t="b">
        <f t="shared" si="1"/>
        <v>0</v>
      </c>
      <c r="AL4" t="b">
        <f t="shared" si="2"/>
        <v>0</v>
      </c>
      <c r="AM4" t="b">
        <f t="shared" si="2"/>
        <v>0</v>
      </c>
      <c r="AN4" t="b">
        <f t="shared" si="2"/>
        <v>0</v>
      </c>
      <c r="AO4" t="b">
        <f t="shared" si="2"/>
        <v>0</v>
      </c>
      <c r="AP4" t="b">
        <f t="shared" si="2"/>
        <v>0</v>
      </c>
      <c r="AQ4" t="b">
        <f t="shared" si="2"/>
        <v>0</v>
      </c>
      <c r="AR4" t="b">
        <f t="shared" si="2"/>
        <v>0</v>
      </c>
      <c r="AS4" t="b">
        <f t="shared" si="2"/>
        <v>0</v>
      </c>
      <c r="AT4" t="b">
        <f t="shared" si="2"/>
        <v>0</v>
      </c>
      <c r="AU4" t="b">
        <f t="shared" si="2"/>
        <v>0</v>
      </c>
      <c r="AV4" t="b">
        <f t="shared" si="3"/>
        <v>0</v>
      </c>
      <c r="AW4" t="b">
        <f t="shared" si="3"/>
        <v>0</v>
      </c>
      <c r="AX4" t="b">
        <f t="shared" si="3"/>
        <v>0</v>
      </c>
      <c r="AY4" t="b">
        <f t="shared" si="3"/>
        <v>0</v>
      </c>
      <c r="AZ4" t="b">
        <f t="shared" si="3"/>
        <v>0</v>
      </c>
      <c r="BA4" t="b">
        <f t="shared" si="3"/>
        <v>0</v>
      </c>
      <c r="BB4" t="b">
        <f t="shared" si="3"/>
        <v>0</v>
      </c>
      <c r="BC4" t="b">
        <f t="shared" si="3"/>
        <v>0</v>
      </c>
      <c r="BD4" t="b">
        <f t="shared" si="3"/>
        <v>0</v>
      </c>
      <c r="BE4" t="b">
        <f t="shared" si="3"/>
        <v>0</v>
      </c>
      <c r="BF4" t="b">
        <f t="shared" si="4"/>
        <v>0</v>
      </c>
      <c r="BG4" t="b">
        <f t="shared" si="4"/>
        <v>0</v>
      </c>
      <c r="BH4" t="b">
        <f t="shared" si="4"/>
        <v>0</v>
      </c>
      <c r="BI4" t="b">
        <f t="shared" si="4"/>
        <v>0</v>
      </c>
      <c r="BJ4" t="b">
        <f t="shared" si="4"/>
        <v>0</v>
      </c>
      <c r="BK4" t="b">
        <f t="shared" si="4"/>
        <v>0</v>
      </c>
      <c r="BL4" t="b">
        <f t="shared" si="4"/>
        <v>0</v>
      </c>
      <c r="BM4" t="b">
        <f t="shared" si="4"/>
        <v>0</v>
      </c>
      <c r="BN4" t="b">
        <f t="shared" si="4"/>
        <v>0</v>
      </c>
      <c r="BO4" t="b">
        <f t="shared" si="4"/>
        <v>0</v>
      </c>
      <c r="BP4" t="b">
        <f t="shared" si="5"/>
        <v>0</v>
      </c>
      <c r="BQ4" t="b">
        <f t="shared" si="5"/>
        <v>0</v>
      </c>
      <c r="BR4" t="b">
        <f t="shared" si="5"/>
        <v>0</v>
      </c>
      <c r="BS4" t="b">
        <f t="shared" si="5"/>
        <v>0</v>
      </c>
      <c r="BT4" t="b">
        <f t="shared" si="5"/>
        <v>0</v>
      </c>
      <c r="BU4" t="b">
        <f t="shared" si="5"/>
        <v>0</v>
      </c>
      <c r="BV4" t="b">
        <f t="shared" si="5"/>
        <v>0</v>
      </c>
      <c r="BW4" t="b">
        <f t="shared" si="5"/>
        <v>0</v>
      </c>
      <c r="BX4" t="b">
        <f t="shared" si="5"/>
        <v>0</v>
      </c>
      <c r="BY4" t="b">
        <f t="shared" si="5"/>
        <v>0</v>
      </c>
      <c r="BZ4" t="b">
        <f t="shared" si="6"/>
        <v>0</v>
      </c>
      <c r="CA4" t="b">
        <f t="shared" si="6"/>
        <v>0</v>
      </c>
      <c r="CB4" t="b">
        <f t="shared" si="6"/>
        <v>1</v>
      </c>
      <c r="CC4" t="b">
        <f t="shared" si="6"/>
        <v>0</v>
      </c>
      <c r="CD4" t="b">
        <f t="shared" si="6"/>
        <v>0</v>
      </c>
      <c r="CE4" t="b">
        <f t="shared" si="6"/>
        <v>0</v>
      </c>
      <c r="CF4" t="b">
        <f t="shared" si="6"/>
        <v>0</v>
      </c>
      <c r="CG4" t="b">
        <f t="shared" si="6"/>
        <v>0</v>
      </c>
      <c r="CH4" t="b">
        <f t="shared" si="6"/>
        <v>0</v>
      </c>
      <c r="CI4" t="b">
        <f t="shared" si="6"/>
        <v>0</v>
      </c>
      <c r="CJ4" t="b">
        <f t="shared" si="7"/>
        <v>0</v>
      </c>
      <c r="CK4" t="b">
        <f t="shared" si="7"/>
        <v>0</v>
      </c>
      <c r="CL4" t="b">
        <f t="shared" si="7"/>
        <v>0</v>
      </c>
      <c r="CM4" t="b">
        <f t="shared" si="7"/>
        <v>0</v>
      </c>
      <c r="CN4" t="b">
        <f t="shared" si="7"/>
        <v>0</v>
      </c>
      <c r="CO4" t="b">
        <f t="shared" si="7"/>
        <v>0</v>
      </c>
      <c r="CP4" t="b">
        <f t="shared" si="7"/>
        <v>0</v>
      </c>
      <c r="CQ4" t="b">
        <f t="shared" si="7"/>
        <v>0</v>
      </c>
      <c r="CR4" t="b">
        <f t="shared" si="7"/>
        <v>0</v>
      </c>
      <c r="CS4" t="b">
        <f t="shared" si="7"/>
        <v>0</v>
      </c>
      <c r="CT4" t="b">
        <f t="shared" si="8"/>
        <v>0</v>
      </c>
      <c r="CU4" t="b">
        <f t="shared" si="8"/>
        <v>0</v>
      </c>
      <c r="CV4" t="b">
        <f t="shared" si="8"/>
        <v>0</v>
      </c>
      <c r="CW4" t="b">
        <f t="shared" si="8"/>
        <v>0</v>
      </c>
      <c r="CX4" t="b">
        <f t="shared" si="8"/>
        <v>0</v>
      </c>
      <c r="CY4" t="b">
        <f t="shared" si="8"/>
        <v>0</v>
      </c>
      <c r="CZ4" t="b">
        <f t="shared" si="8"/>
        <v>0</v>
      </c>
      <c r="DA4" t="b">
        <f t="shared" si="8"/>
        <v>0</v>
      </c>
      <c r="DB4" t="b">
        <f t="shared" si="8"/>
        <v>0</v>
      </c>
      <c r="DC4" t="b">
        <f t="shared" si="8"/>
        <v>0</v>
      </c>
      <c r="DD4" t="b">
        <f t="shared" si="9"/>
        <v>0</v>
      </c>
      <c r="DE4" t="b">
        <f t="shared" si="9"/>
        <v>0</v>
      </c>
      <c r="DF4" t="b">
        <f t="shared" si="9"/>
        <v>0</v>
      </c>
      <c r="DG4" t="b">
        <f t="shared" si="9"/>
        <v>0</v>
      </c>
      <c r="DH4" t="b">
        <f t="shared" si="9"/>
        <v>0</v>
      </c>
      <c r="DI4" t="b">
        <f t="shared" si="9"/>
        <v>0</v>
      </c>
      <c r="DJ4" t="b">
        <f t="shared" si="9"/>
        <v>0</v>
      </c>
      <c r="DK4" t="b">
        <f t="shared" si="9"/>
        <v>0</v>
      </c>
      <c r="DL4" t="b">
        <f t="shared" si="9"/>
        <v>0</v>
      </c>
      <c r="DM4" t="b">
        <f t="shared" si="9"/>
        <v>0</v>
      </c>
      <c r="DN4" t="b">
        <f t="shared" si="10"/>
        <v>0</v>
      </c>
      <c r="DO4" t="b">
        <f t="shared" si="10"/>
        <v>0</v>
      </c>
      <c r="DP4" t="b">
        <f t="shared" si="10"/>
        <v>0</v>
      </c>
      <c r="DQ4" t="b">
        <f t="shared" si="10"/>
        <v>0</v>
      </c>
      <c r="DR4" t="b">
        <f t="shared" si="10"/>
        <v>0</v>
      </c>
      <c r="DS4" t="b">
        <f t="shared" si="10"/>
        <v>0</v>
      </c>
      <c r="DT4" t="b">
        <f t="shared" si="10"/>
        <v>0</v>
      </c>
      <c r="DU4" t="b">
        <f t="shared" si="10"/>
        <v>0</v>
      </c>
      <c r="DV4" t="b">
        <f t="shared" si="10"/>
        <v>0</v>
      </c>
      <c r="DW4" t="b">
        <f t="shared" si="10"/>
        <v>0</v>
      </c>
      <c r="DX4" t="b">
        <f t="shared" si="11"/>
        <v>0</v>
      </c>
      <c r="DY4" t="b">
        <f t="shared" si="11"/>
        <v>0</v>
      </c>
      <c r="DZ4" t="b">
        <f t="shared" si="11"/>
        <v>0</v>
      </c>
      <c r="EA4" t="b">
        <f t="shared" si="11"/>
        <v>0</v>
      </c>
      <c r="EB4" t="b">
        <f t="shared" si="11"/>
        <v>0</v>
      </c>
      <c r="EC4" t="b">
        <f t="shared" si="11"/>
        <v>0</v>
      </c>
      <c r="ED4" t="b">
        <f t="shared" si="11"/>
        <v>0</v>
      </c>
      <c r="EE4" t="b">
        <f t="shared" si="11"/>
        <v>0</v>
      </c>
      <c r="EF4" t="b">
        <f t="shared" si="11"/>
        <v>0</v>
      </c>
      <c r="EG4" t="b">
        <f t="shared" si="11"/>
        <v>0</v>
      </c>
      <c r="EH4" t="b">
        <f t="shared" si="12"/>
        <v>0</v>
      </c>
      <c r="EI4" t="b">
        <f t="shared" si="12"/>
        <v>0</v>
      </c>
      <c r="EJ4" t="b">
        <f t="shared" si="12"/>
        <v>0</v>
      </c>
      <c r="EK4" t="b">
        <f t="shared" si="12"/>
        <v>0</v>
      </c>
      <c r="EL4" t="b">
        <f t="shared" si="12"/>
        <v>0</v>
      </c>
      <c r="EM4" t="b">
        <f t="shared" si="12"/>
        <v>0</v>
      </c>
      <c r="EN4" t="b">
        <f t="shared" si="12"/>
        <v>0</v>
      </c>
      <c r="EO4" t="b">
        <f t="shared" si="12"/>
        <v>0</v>
      </c>
      <c r="EP4" t="b">
        <f t="shared" si="12"/>
        <v>0</v>
      </c>
      <c r="EQ4" t="b">
        <f t="shared" si="12"/>
        <v>0</v>
      </c>
      <c r="ER4" t="b">
        <f t="shared" si="13"/>
        <v>0</v>
      </c>
      <c r="ES4" t="b">
        <f t="shared" si="13"/>
        <v>0</v>
      </c>
      <c r="ET4" t="b">
        <f t="shared" si="13"/>
        <v>0</v>
      </c>
      <c r="EU4" t="b">
        <f t="shared" si="13"/>
        <v>0</v>
      </c>
      <c r="EV4" t="b">
        <f t="shared" si="13"/>
        <v>0</v>
      </c>
      <c r="EW4" t="b">
        <f t="shared" si="13"/>
        <v>0</v>
      </c>
      <c r="EX4" t="b">
        <f t="shared" si="13"/>
        <v>0</v>
      </c>
      <c r="EY4" t="b">
        <f t="shared" si="13"/>
        <v>0</v>
      </c>
      <c r="EZ4" t="b">
        <f t="shared" si="13"/>
        <v>0</v>
      </c>
      <c r="FA4" t="b">
        <f t="shared" si="13"/>
        <v>0</v>
      </c>
      <c r="FB4" t="b">
        <f t="shared" si="14"/>
        <v>0</v>
      </c>
      <c r="FC4" t="b">
        <f t="shared" si="14"/>
        <v>0</v>
      </c>
      <c r="FD4" t="b">
        <f t="shared" si="14"/>
        <v>0</v>
      </c>
      <c r="FE4" t="b">
        <f t="shared" si="14"/>
        <v>0</v>
      </c>
      <c r="FF4" t="b">
        <f t="shared" si="14"/>
        <v>0</v>
      </c>
      <c r="FG4" t="b">
        <f t="shared" si="14"/>
        <v>0</v>
      </c>
      <c r="FH4" t="b">
        <f t="shared" si="14"/>
        <v>0</v>
      </c>
      <c r="FI4" t="b">
        <f t="shared" si="14"/>
        <v>0</v>
      </c>
      <c r="FJ4" t="b">
        <f t="shared" si="14"/>
        <v>0</v>
      </c>
      <c r="FK4" t="b">
        <f t="shared" si="14"/>
        <v>0</v>
      </c>
      <c r="FL4" t="b">
        <f t="shared" si="15"/>
        <v>0</v>
      </c>
      <c r="FM4" t="b">
        <f t="shared" si="15"/>
        <v>0</v>
      </c>
      <c r="FN4" t="b">
        <f t="shared" si="15"/>
        <v>0</v>
      </c>
      <c r="FO4" t="b">
        <f t="shared" si="15"/>
        <v>0</v>
      </c>
      <c r="FP4" t="b">
        <f t="shared" si="15"/>
        <v>0</v>
      </c>
      <c r="FQ4" t="b">
        <f t="shared" si="15"/>
        <v>0</v>
      </c>
      <c r="FR4" t="b">
        <f t="shared" si="15"/>
        <v>0</v>
      </c>
      <c r="FS4" t="b">
        <f t="shared" si="15"/>
        <v>0</v>
      </c>
      <c r="FT4" t="b">
        <f t="shared" si="15"/>
        <v>0</v>
      </c>
      <c r="FU4" t="b">
        <f t="shared" si="15"/>
        <v>0</v>
      </c>
      <c r="FV4" t="b">
        <f t="shared" si="16"/>
        <v>0</v>
      </c>
      <c r="FW4" t="b">
        <f t="shared" si="16"/>
        <v>0</v>
      </c>
      <c r="FX4" t="b">
        <f t="shared" si="16"/>
        <v>0</v>
      </c>
      <c r="FY4" t="b">
        <f t="shared" si="16"/>
        <v>0</v>
      </c>
      <c r="FZ4" t="b">
        <f t="shared" si="16"/>
        <v>0</v>
      </c>
      <c r="GA4" t="b">
        <f t="shared" si="16"/>
        <v>0</v>
      </c>
      <c r="GB4" t="b">
        <f t="shared" si="16"/>
        <v>0</v>
      </c>
      <c r="GC4" t="b">
        <f t="shared" si="16"/>
        <v>0</v>
      </c>
      <c r="GD4" t="b">
        <f t="shared" si="16"/>
        <v>0</v>
      </c>
      <c r="GE4" t="b">
        <f t="shared" si="16"/>
        <v>0</v>
      </c>
      <c r="GF4" t="b">
        <f t="shared" si="17"/>
        <v>0</v>
      </c>
      <c r="GG4" t="b">
        <f t="shared" si="17"/>
        <v>0</v>
      </c>
      <c r="GH4" t="b">
        <f t="shared" si="17"/>
        <v>0</v>
      </c>
      <c r="GI4" t="b">
        <f t="shared" si="17"/>
        <v>0</v>
      </c>
      <c r="GJ4" t="b">
        <f t="shared" si="17"/>
        <v>0</v>
      </c>
      <c r="GK4" t="b">
        <f t="shared" si="17"/>
        <v>0</v>
      </c>
      <c r="GL4" t="b">
        <f t="shared" si="17"/>
        <v>0</v>
      </c>
      <c r="GM4" t="b">
        <f t="shared" si="17"/>
        <v>0</v>
      </c>
      <c r="GN4" t="b">
        <f t="shared" si="17"/>
        <v>0</v>
      </c>
      <c r="GO4" t="b">
        <f t="shared" si="17"/>
        <v>0</v>
      </c>
      <c r="GP4" t="b">
        <f t="shared" si="18"/>
        <v>0</v>
      </c>
      <c r="GQ4" t="b">
        <f t="shared" si="18"/>
        <v>0</v>
      </c>
      <c r="GR4" t="b">
        <f t="shared" si="18"/>
        <v>0</v>
      </c>
      <c r="GS4" t="b">
        <f t="shared" si="18"/>
        <v>0</v>
      </c>
      <c r="GT4" t="b">
        <f t="shared" si="18"/>
        <v>0</v>
      </c>
      <c r="GU4" t="b">
        <f t="shared" si="18"/>
        <v>0</v>
      </c>
      <c r="GV4" t="b">
        <f t="shared" si="18"/>
        <v>0</v>
      </c>
      <c r="GW4" t="b">
        <f t="shared" si="18"/>
        <v>0</v>
      </c>
      <c r="GX4" t="b">
        <f t="shared" si="18"/>
        <v>0</v>
      </c>
      <c r="GY4" t="b">
        <f t="shared" si="18"/>
        <v>0</v>
      </c>
      <c r="GZ4" t="b">
        <f t="shared" si="18"/>
        <v>0</v>
      </c>
    </row>
    <row r="5" spans="1:208" hidden="1" x14ac:dyDescent="0.3">
      <c r="A5" t="s">
        <v>536</v>
      </c>
      <c r="B5" t="s">
        <v>537</v>
      </c>
      <c r="C5" t="s">
        <v>541</v>
      </c>
      <c r="D5" s="3">
        <v>30</v>
      </c>
      <c r="E5" s="3">
        <v>1</v>
      </c>
      <c r="F5" s="3">
        <v>4</v>
      </c>
      <c r="G5" s="3">
        <v>30</v>
      </c>
      <c r="H5" t="str">
        <f t="shared" si="19"/>
        <v>30-1</v>
      </c>
      <c r="I5" t="b">
        <v>1</v>
      </c>
      <c r="Q5" s="6">
        <v>5</v>
      </c>
      <c r="R5" t="b">
        <f t="shared" si="0"/>
        <v>0</v>
      </c>
      <c r="S5" t="b">
        <f t="shared" si="0"/>
        <v>0</v>
      </c>
      <c r="T5" t="b">
        <f t="shared" si="0"/>
        <v>0</v>
      </c>
      <c r="U5" t="b">
        <f t="shared" si="0"/>
        <v>0</v>
      </c>
      <c r="V5" t="b">
        <f t="shared" si="0"/>
        <v>0</v>
      </c>
      <c r="W5" t="b">
        <f t="shared" si="0"/>
        <v>0</v>
      </c>
      <c r="X5" t="b">
        <f t="shared" si="0"/>
        <v>0</v>
      </c>
      <c r="Y5" t="b">
        <f t="shared" si="0"/>
        <v>0</v>
      </c>
      <c r="Z5" t="b">
        <f t="shared" si="0"/>
        <v>0</v>
      </c>
      <c r="AA5" t="b">
        <f t="shared" si="0"/>
        <v>0</v>
      </c>
      <c r="AB5" t="b">
        <f t="shared" si="1"/>
        <v>0</v>
      </c>
      <c r="AC5" t="b">
        <f t="shared" si="1"/>
        <v>0</v>
      </c>
      <c r="AD5" t="b">
        <f t="shared" si="1"/>
        <v>0</v>
      </c>
      <c r="AE5" t="b">
        <f t="shared" si="1"/>
        <v>0</v>
      </c>
      <c r="AF5" t="b">
        <f t="shared" si="1"/>
        <v>0</v>
      </c>
      <c r="AG5" t="b">
        <f t="shared" si="1"/>
        <v>0</v>
      </c>
      <c r="AH5" t="b">
        <f t="shared" si="1"/>
        <v>0</v>
      </c>
      <c r="AI5" t="b">
        <f t="shared" si="1"/>
        <v>0</v>
      </c>
      <c r="AJ5" t="b">
        <f t="shared" si="1"/>
        <v>0</v>
      </c>
      <c r="AK5" t="b">
        <f t="shared" si="1"/>
        <v>0</v>
      </c>
      <c r="AL5" t="b">
        <f t="shared" si="2"/>
        <v>0</v>
      </c>
      <c r="AM5" t="b">
        <f t="shared" si="2"/>
        <v>0</v>
      </c>
      <c r="AN5" t="b">
        <f t="shared" si="2"/>
        <v>0</v>
      </c>
      <c r="AO5" t="b">
        <f t="shared" si="2"/>
        <v>0</v>
      </c>
      <c r="AP5" t="b">
        <f t="shared" si="2"/>
        <v>0</v>
      </c>
      <c r="AQ5" t="b">
        <f t="shared" si="2"/>
        <v>0</v>
      </c>
      <c r="AR5" t="b">
        <f t="shared" si="2"/>
        <v>0</v>
      </c>
      <c r="AS5" t="b">
        <f t="shared" si="2"/>
        <v>0</v>
      </c>
      <c r="AT5" t="b">
        <f t="shared" si="2"/>
        <v>0</v>
      </c>
      <c r="AU5" t="b">
        <f t="shared" si="2"/>
        <v>0</v>
      </c>
      <c r="AV5" t="b">
        <f t="shared" si="3"/>
        <v>0</v>
      </c>
      <c r="AW5" t="b">
        <f t="shared" si="3"/>
        <v>0</v>
      </c>
      <c r="AX5" t="b">
        <f t="shared" si="3"/>
        <v>0</v>
      </c>
      <c r="AY5" t="b">
        <f t="shared" si="3"/>
        <v>0</v>
      </c>
      <c r="AZ5" t="b">
        <f t="shared" si="3"/>
        <v>0</v>
      </c>
      <c r="BA5" t="b">
        <f t="shared" si="3"/>
        <v>0</v>
      </c>
      <c r="BB5" t="b">
        <f t="shared" si="3"/>
        <v>0</v>
      </c>
      <c r="BC5" t="b">
        <f t="shared" si="3"/>
        <v>0</v>
      </c>
      <c r="BD5" t="b">
        <f t="shared" si="3"/>
        <v>0</v>
      </c>
      <c r="BE5" t="b">
        <f t="shared" si="3"/>
        <v>0</v>
      </c>
      <c r="BF5" t="b">
        <f t="shared" si="4"/>
        <v>0</v>
      </c>
      <c r="BG5" t="b">
        <f t="shared" si="4"/>
        <v>0</v>
      </c>
      <c r="BH5" t="b">
        <f t="shared" si="4"/>
        <v>0</v>
      </c>
      <c r="BI5" t="b">
        <f t="shared" si="4"/>
        <v>0</v>
      </c>
      <c r="BJ5" t="b">
        <f t="shared" si="4"/>
        <v>0</v>
      </c>
      <c r="BK5" t="b">
        <f t="shared" si="4"/>
        <v>0</v>
      </c>
      <c r="BL5" t="b">
        <f t="shared" si="4"/>
        <v>0</v>
      </c>
      <c r="BM5" t="b">
        <f t="shared" si="4"/>
        <v>0</v>
      </c>
      <c r="BN5" t="b">
        <f t="shared" si="4"/>
        <v>0</v>
      </c>
      <c r="BO5" t="b">
        <f t="shared" si="4"/>
        <v>0</v>
      </c>
      <c r="BP5" t="b">
        <f t="shared" si="5"/>
        <v>0</v>
      </c>
      <c r="BQ5" t="b">
        <f t="shared" si="5"/>
        <v>0</v>
      </c>
      <c r="BR5" t="b">
        <f t="shared" si="5"/>
        <v>0</v>
      </c>
      <c r="BS5" t="b">
        <f t="shared" si="5"/>
        <v>0</v>
      </c>
      <c r="BT5" t="b">
        <f t="shared" si="5"/>
        <v>0</v>
      </c>
      <c r="BU5" t="b">
        <f t="shared" si="5"/>
        <v>1</v>
      </c>
      <c r="BV5" t="b">
        <f t="shared" si="5"/>
        <v>0</v>
      </c>
      <c r="BW5" t="b">
        <f t="shared" si="5"/>
        <v>0</v>
      </c>
      <c r="BX5" t="b">
        <f t="shared" si="5"/>
        <v>0</v>
      </c>
      <c r="BY5" t="b">
        <f t="shared" si="5"/>
        <v>0</v>
      </c>
      <c r="BZ5" t="b">
        <f t="shared" si="6"/>
        <v>0</v>
      </c>
      <c r="CA5" t="b">
        <f t="shared" si="6"/>
        <v>0</v>
      </c>
      <c r="CB5" t="b">
        <f t="shared" si="6"/>
        <v>0</v>
      </c>
      <c r="CC5" t="b">
        <f t="shared" si="6"/>
        <v>0</v>
      </c>
      <c r="CD5" t="b">
        <f t="shared" si="6"/>
        <v>0</v>
      </c>
      <c r="CE5" t="b">
        <f t="shared" si="6"/>
        <v>0</v>
      </c>
      <c r="CF5" t="b">
        <f t="shared" si="6"/>
        <v>0</v>
      </c>
      <c r="CG5" t="b">
        <f t="shared" si="6"/>
        <v>0</v>
      </c>
      <c r="CH5" t="b">
        <f t="shared" si="6"/>
        <v>0</v>
      </c>
      <c r="CI5" t="b">
        <f t="shared" si="6"/>
        <v>0</v>
      </c>
      <c r="CJ5" t="b">
        <f t="shared" si="7"/>
        <v>0</v>
      </c>
      <c r="CK5" t="b">
        <f t="shared" si="7"/>
        <v>0</v>
      </c>
      <c r="CL5" t="b">
        <f t="shared" si="7"/>
        <v>0</v>
      </c>
      <c r="CM5" t="b">
        <f t="shared" si="7"/>
        <v>0</v>
      </c>
      <c r="CN5" t="b">
        <f t="shared" si="7"/>
        <v>0</v>
      </c>
      <c r="CO5" t="b">
        <f t="shared" si="7"/>
        <v>0</v>
      </c>
      <c r="CP5" t="b">
        <f t="shared" si="7"/>
        <v>0</v>
      </c>
      <c r="CQ5" t="b">
        <f t="shared" si="7"/>
        <v>0</v>
      </c>
      <c r="CR5" t="b">
        <f t="shared" si="7"/>
        <v>0</v>
      </c>
      <c r="CS5" t="b">
        <f t="shared" si="7"/>
        <v>0</v>
      </c>
      <c r="CT5" t="b">
        <f t="shared" si="8"/>
        <v>0</v>
      </c>
      <c r="CU5" t="b">
        <f t="shared" si="8"/>
        <v>0</v>
      </c>
      <c r="CV5" t="b">
        <f t="shared" si="8"/>
        <v>0</v>
      </c>
      <c r="CW5" t="b">
        <f t="shared" si="8"/>
        <v>0</v>
      </c>
      <c r="CX5" t="b">
        <f t="shared" si="8"/>
        <v>0</v>
      </c>
      <c r="CY5" t="b">
        <f t="shared" si="8"/>
        <v>0</v>
      </c>
      <c r="CZ5" t="b">
        <f t="shared" si="8"/>
        <v>0</v>
      </c>
      <c r="DA5" t="b">
        <f t="shared" si="8"/>
        <v>0</v>
      </c>
      <c r="DB5" t="b">
        <f t="shared" si="8"/>
        <v>0</v>
      </c>
      <c r="DC5" t="b">
        <f t="shared" si="8"/>
        <v>0</v>
      </c>
      <c r="DD5" t="b">
        <f t="shared" si="9"/>
        <v>0</v>
      </c>
      <c r="DE5" t="b">
        <f t="shared" si="9"/>
        <v>0</v>
      </c>
      <c r="DF5" t="b">
        <f t="shared" si="9"/>
        <v>0</v>
      </c>
      <c r="DG5" t="b">
        <f t="shared" si="9"/>
        <v>0</v>
      </c>
      <c r="DH5" t="b">
        <f t="shared" si="9"/>
        <v>0</v>
      </c>
      <c r="DI5" t="b">
        <f t="shared" si="9"/>
        <v>0</v>
      </c>
      <c r="DJ5" t="b">
        <f t="shared" si="9"/>
        <v>0</v>
      </c>
      <c r="DK5" t="b">
        <f t="shared" si="9"/>
        <v>0</v>
      </c>
      <c r="DL5" t="b">
        <f t="shared" si="9"/>
        <v>0</v>
      </c>
      <c r="DM5" t="b">
        <f t="shared" si="9"/>
        <v>0</v>
      </c>
      <c r="DN5" t="b">
        <f t="shared" si="10"/>
        <v>0</v>
      </c>
      <c r="DO5" t="b">
        <f t="shared" si="10"/>
        <v>0</v>
      </c>
      <c r="DP5" t="b">
        <f t="shared" si="10"/>
        <v>0</v>
      </c>
      <c r="DQ5" t="b">
        <f t="shared" si="10"/>
        <v>0</v>
      </c>
      <c r="DR5" t="b">
        <f t="shared" si="10"/>
        <v>0</v>
      </c>
      <c r="DS5" t="b">
        <f t="shared" si="10"/>
        <v>0</v>
      </c>
      <c r="DT5" t="b">
        <f t="shared" si="10"/>
        <v>0</v>
      </c>
      <c r="DU5" t="b">
        <f t="shared" si="10"/>
        <v>0</v>
      </c>
      <c r="DV5" t="b">
        <f t="shared" si="10"/>
        <v>0</v>
      </c>
      <c r="DW5" t="b">
        <f t="shared" si="10"/>
        <v>0</v>
      </c>
      <c r="DX5" t="b">
        <f t="shared" si="11"/>
        <v>0</v>
      </c>
      <c r="DY5" t="b">
        <f t="shared" si="11"/>
        <v>0</v>
      </c>
      <c r="DZ5" t="b">
        <f t="shared" si="11"/>
        <v>0</v>
      </c>
      <c r="EA5" t="b">
        <f t="shared" si="11"/>
        <v>0</v>
      </c>
      <c r="EB5" t="b">
        <f t="shared" si="11"/>
        <v>0</v>
      </c>
      <c r="EC5" t="b">
        <f t="shared" si="11"/>
        <v>0</v>
      </c>
      <c r="ED5" t="b">
        <f t="shared" si="11"/>
        <v>0</v>
      </c>
      <c r="EE5" t="b">
        <f t="shared" si="11"/>
        <v>0</v>
      </c>
      <c r="EF5" t="b">
        <f t="shared" si="11"/>
        <v>0</v>
      </c>
      <c r="EG5" t="b">
        <f t="shared" si="11"/>
        <v>0</v>
      </c>
      <c r="EH5" t="b">
        <f t="shared" si="12"/>
        <v>0</v>
      </c>
      <c r="EI5" t="b">
        <f t="shared" si="12"/>
        <v>0</v>
      </c>
      <c r="EJ5" t="b">
        <f t="shared" si="12"/>
        <v>0</v>
      </c>
      <c r="EK5" t="b">
        <f t="shared" si="12"/>
        <v>0</v>
      </c>
      <c r="EL5" t="b">
        <f t="shared" si="12"/>
        <v>0</v>
      </c>
      <c r="EM5" t="b">
        <f t="shared" si="12"/>
        <v>0</v>
      </c>
      <c r="EN5" t="b">
        <f t="shared" si="12"/>
        <v>0</v>
      </c>
      <c r="EO5" t="b">
        <f t="shared" si="12"/>
        <v>0</v>
      </c>
      <c r="EP5" t="b">
        <f t="shared" si="12"/>
        <v>0</v>
      </c>
      <c r="EQ5" t="b">
        <f t="shared" si="12"/>
        <v>0</v>
      </c>
      <c r="ER5" t="b">
        <f t="shared" si="13"/>
        <v>0</v>
      </c>
      <c r="ES5" t="b">
        <f t="shared" si="13"/>
        <v>0</v>
      </c>
      <c r="ET5" t="b">
        <f t="shared" si="13"/>
        <v>0</v>
      </c>
      <c r="EU5" t="b">
        <f t="shared" si="13"/>
        <v>0</v>
      </c>
      <c r="EV5" t="b">
        <f t="shared" si="13"/>
        <v>0</v>
      </c>
      <c r="EW5" t="b">
        <f t="shared" si="13"/>
        <v>0</v>
      </c>
      <c r="EX5" t="b">
        <f t="shared" si="13"/>
        <v>0</v>
      </c>
      <c r="EY5" t="b">
        <f t="shared" si="13"/>
        <v>0</v>
      </c>
      <c r="EZ5" t="b">
        <f t="shared" si="13"/>
        <v>0</v>
      </c>
      <c r="FA5" t="b">
        <f t="shared" si="13"/>
        <v>0</v>
      </c>
      <c r="FB5" t="b">
        <f t="shared" si="14"/>
        <v>0</v>
      </c>
      <c r="FC5" t="b">
        <f t="shared" si="14"/>
        <v>0</v>
      </c>
      <c r="FD5" t="b">
        <f t="shared" si="14"/>
        <v>0</v>
      </c>
      <c r="FE5" t="b">
        <f t="shared" si="14"/>
        <v>0</v>
      </c>
      <c r="FF5" t="b">
        <f t="shared" si="14"/>
        <v>0</v>
      </c>
      <c r="FG5" t="b">
        <f t="shared" si="14"/>
        <v>0</v>
      </c>
      <c r="FH5" t="b">
        <f t="shared" si="14"/>
        <v>0</v>
      </c>
      <c r="FI5" t="b">
        <f t="shared" si="14"/>
        <v>0</v>
      </c>
      <c r="FJ5" t="b">
        <f t="shared" si="14"/>
        <v>0</v>
      </c>
      <c r="FK5" t="b">
        <f t="shared" si="14"/>
        <v>0</v>
      </c>
      <c r="FL5" t="b">
        <f t="shared" si="15"/>
        <v>0</v>
      </c>
      <c r="FM5" t="b">
        <f t="shared" si="15"/>
        <v>0</v>
      </c>
      <c r="FN5" t="b">
        <f t="shared" si="15"/>
        <v>0</v>
      </c>
      <c r="FO5" t="b">
        <f t="shared" si="15"/>
        <v>0</v>
      </c>
      <c r="FP5" t="b">
        <f t="shared" si="15"/>
        <v>0</v>
      </c>
      <c r="FQ5" t="b">
        <f t="shared" si="15"/>
        <v>0</v>
      </c>
      <c r="FR5" t="b">
        <f t="shared" si="15"/>
        <v>0</v>
      </c>
      <c r="FS5" t="b">
        <f t="shared" si="15"/>
        <v>0</v>
      </c>
      <c r="FT5" t="b">
        <f t="shared" si="15"/>
        <v>0</v>
      </c>
      <c r="FU5" t="b">
        <f t="shared" si="15"/>
        <v>0</v>
      </c>
      <c r="FV5" t="b">
        <f t="shared" si="16"/>
        <v>1</v>
      </c>
      <c r="FW5" t="b">
        <f t="shared" si="16"/>
        <v>0</v>
      </c>
      <c r="FX5" t="b">
        <f t="shared" si="16"/>
        <v>0</v>
      </c>
      <c r="FY5" t="b">
        <f t="shared" si="16"/>
        <v>0</v>
      </c>
      <c r="FZ5" t="b">
        <f t="shared" si="16"/>
        <v>0</v>
      </c>
      <c r="GA5" t="b">
        <f t="shared" si="16"/>
        <v>0</v>
      </c>
      <c r="GB5" t="b">
        <f t="shared" si="16"/>
        <v>0</v>
      </c>
      <c r="GC5" t="b">
        <f t="shared" si="16"/>
        <v>0</v>
      </c>
      <c r="GD5" t="b">
        <f t="shared" si="16"/>
        <v>0</v>
      </c>
      <c r="GE5" t="b">
        <f t="shared" si="16"/>
        <v>0</v>
      </c>
      <c r="GF5" t="b">
        <f t="shared" si="17"/>
        <v>0</v>
      </c>
      <c r="GG5" t="b">
        <f t="shared" si="17"/>
        <v>0</v>
      </c>
      <c r="GH5" t="b">
        <f t="shared" si="17"/>
        <v>0</v>
      </c>
      <c r="GI5" t="b">
        <f t="shared" si="17"/>
        <v>0</v>
      </c>
      <c r="GJ5" t="b">
        <f t="shared" si="17"/>
        <v>0</v>
      </c>
      <c r="GK5" t="b">
        <f t="shared" si="17"/>
        <v>0</v>
      </c>
      <c r="GL5" t="b">
        <f t="shared" si="17"/>
        <v>0</v>
      </c>
      <c r="GM5" t="b">
        <f t="shared" si="17"/>
        <v>0</v>
      </c>
      <c r="GN5" t="b">
        <f t="shared" si="17"/>
        <v>0</v>
      </c>
      <c r="GO5" t="b">
        <f t="shared" si="17"/>
        <v>0</v>
      </c>
      <c r="GP5" t="b">
        <f t="shared" si="18"/>
        <v>0</v>
      </c>
      <c r="GQ5" t="b">
        <f t="shared" si="18"/>
        <v>0</v>
      </c>
      <c r="GR5" t="b">
        <f t="shared" si="18"/>
        <v>0</v>
      </c>
      <c r="GS5" t="b">
        <f t="shared" si="18"/>
        <v>0</v>
      </c>
      <c r="GT5" t="b">
        <f t="shared" si="18"/>
        <v>0</v>
      </c>
      <c r="GU5" t="b">
        <f t="shared" si="18"/>
        <v>0</v>
      </c>
      <c r="GV5" t="b">
        <f t="shared" si="18"/>
        <v>0</v>
      </c>
      <c r="GW5" t="b">
        <f t="shared" si="18"/>
        <v>0</v>
      </c>
      <c r="GX5" t="b">
        <f t="shared" si="18"/>
        <v>0</v>
      </c>
      <c r="GY5" t="b">
        <f t="shared" si="18"/>
        <v>0</v>
      </c>
      <c r="GZ5" t="b">
        <f t="shared" si="18"/>
        <v>0</v>
      </c>
    </row>
    <row r="6" spans="1:208" hidden="1" x14ac:dyDescent="0.3">
      <c r="A6" t="s">
        <v>536</v>
      </c>
      <c r="B6" t="s">
        <v>537</v>
      </c>
      <c r="C6" t="s">
        <v>373</v>
      </c>
      <c r="D6" s="3">
        <v>30</v>
      </c>
      <c r="E6" s="3">
        <v>1</v>
      </c>
      <c r="F6" s="3">
        <v>5</v>
      </c>
      <c r="G6" s="3">
        <v>200</v>
      </c>
      <c r="H6" t="str">
        <f t="shared" si="19"/>
        <v>30-1</v>
      </c>
      <c r="I6" t="b">
        <v>1</v>
      </c>
      <c r="Q6" s="6">
        <v>6</v>
      </c>
      <c r="R6" t="b">
        <f t="shared" si="0"/>
        <v>0</v>
      </c>
      <c r="S6" t="b">
        <f t="shared" si="0"/>
        <v>0</v>
      </c>
      <c r="T6" t="b">
        <f t="shared" si="0"/>
        <v>0</v>
      </c>
      <c r="U6" t="b">
        <f t="shared" si="0"/>
        <v>0</v>
      </c>
      <c r="V6" t="b">
        <f t="shared" si="0"/>
        <v>0</v>
      </c>
      <c r="W6" t="b">
        <f t="shared" si="0"/>
        <v>0</v>
      </c>
      <c r="X6" t="b">
        <f t="shared" si="0"/>
        <v>0</v>
      </c>
      <c r="Y6" t="b">
        <f t="shared" si="0"/>
        <v>0</v>
      </c>
      <c r="Z6" t="b">
        <f t="shared" si="0"/>
        <v>0</v>
      </c>
      <c r="AA6" t="b">
        <f t="shared" si="0"/>
        <v>0</v>
      </c>
      <c r="AB6" t="b">
        <f t="shared" si="1"/>
        <v>0</v>
      </c>
      <c r="AC6" t="b">
        <f t="shared" si="1"/>
        <v>0</v>
      </c>
      <c r="AD6" t="b">
        <f t="shared" si="1"/>
        <v>0</v>
      </c>
      <c r="AE6" t="b">
        <f t="shared" si="1"/>
        <v>1</v>
      </c>
      <c r="AF6" t="b">
        <f t="shared" si="1"/>
        <v>0</v>
      </c>
      <c r="AG6" t="b">
        <f t="shared" si="1"/>
        <v>0</v>
      </c>
      <c r="AH6" t="b">
        <f t="shared" si="1"/>
        <v>0</v>
      </c>
      <c r="AI6" t="b">
        <f t="shared" si="1"/>
        <v>0</v>
      </c>
      <c r="AJ6" t="b">
        <f t="shared" si="1"/>
        <v>0</v>
      </c>
      <c r="AK6" t="b">
        <f t="shared" si="1"/>
        <v>0</v>
      </c>
      <c r="AL6" t="b">
        <f t="shared" si="2"/>
        <v>0</v>
      </c>
      <c r="AM6" t="b">
        <f t="shared" si="2"/>
        <v>0</v>
      </c>
      <c r="AN6" t="b">
        <f t="shared" si="2"/>
        <v>0</v>
      </c>
      <c r="AO6" t="b">
        <f t="shared" si="2"/>
        <v>0</v>
      </c>
      <c r="AP6" t="b">
        <f t="shared" si="2"/>
        <v>0</v>
      </c>
      <c r="AQ6" t="b">
        <f t="shared" si="2"/>
        <v>0</v>
      </c>
      <c r="AR6" t="b">
        <f t="shared" si="2"/>
        <v>0</v>
      </c>
      <c r="AS6" t="b">
        <f t="shared" si="2"/>
        <v>0</v>
      </c>
      <c r="AT6" t="b">
        <f t="shared" si="2"/>
        <v>0</v>
      </c>
      <c r="AU6" t="b">
        <f t="shared" si="2"/>
        <v>0</v>
      </c>
      <c r="AV6" t="b">
        <f t="shared" si="3"/>
        <v>0</v>
      </c>
      <c r="AW6" t="b">
        <f t="shared" si="3"/>
        <v>0</v>
      </c>
      <c r="AX6" t="b">
        <f t="shared" si="3"/>
        <v>0</v>
      </c>
      <c r="AY6" t="b">
        <f t="shared" si="3"/>
        <v>0</v>
      </c>
      <c r="AZ6" t="b">
        <f t="shared" si="3"/>
        <v>0</v>
      </c>
      <c r="BA6" t="b">
        <f t="shared" si="3"/>
        <v>0</v>
      </c>
      <c r="BB6" t="b">
        <f t="shared" si="3"/>
        <v>0</v>
      </c>
      <c r="BC6" t="b">
        <f t="shared" si="3"/>
        <v>0</v>
      </c>
      <c r="BD6" t="b">
        <f t="shared" si="3"/>
        <v>0</v>
      </c>
      <c r="BE6" t="b">
        <f t="shared" si="3"/>
        <v>0</v>
      </c>
      <c r="BF6" t="b">
        <f t="shared" si="4"/>
        <v>0</v>
      </c>
      <c r="BG6" t="b">
        <f t="shared" si="4"/>
        <v>0</v>
      </c>
      <c r="BH6" t="b">
        <f t="shared" si="4"/>
        <v>0</v>
      </c>
      <c r="BI6" t="b">
        <f t="shared" si="4"/>
        <v>0</v>
      </c>
      <c r="BJ6" t="b">
        <f t="shared" si="4"/>
        <v>0</v>
      </c>
      <c r="BK6" t="b">
        <f t="shared" si="4"/>
        <v>0</v>
      </c>
      <c r="BL6" t="b">
        <f t="shared" si="4"/>
        <v>0</v>
      </c>
      <c r="BM6" t="b">
        <f t="shared" si="4"/>
        <v>0</v>
      </c>
      <c r="BN6" t="b">
        <f t="shared" si="4"/>
        <v>0</v>
      </c>
      <c r="BO6" t="b">
        <f t="shared" si="4"/>
        <v>0</v>
      </c>
      <c r="BP6" t="b">
        <f t="shared" si="5"/>
        <v>0</v>
      </c>
      <c r="BQ6" t="b">
        <f t="shared" si="5"/>
        <v>0</v>
      </c>
      <c r="BR6" t="b">
        <f t="shared" si="5"/>
        <v>0</v>
      </c>
      <c r="BS6" t="b">
        <f t="shared" si="5"/>
        <v>0</v>
      </c>
      <c r="BT6" t="b">
        <f t="shared" si="5"/>
        <v>0</v>
      </c>
      <c r="BU6" t="b">
        <f t="shared" si="5"/>
        <v>0</v>
      </c>
      <c r="BV6" t="b">
        <f t="shared" si="5"/>
        <v>0</v>
      </c>
      <c r="BW6" t="b">
        <f t="shared" si="5"/>
        <v>0</v>
      </c>
      <c r="BX6" t="b">
        <f t="shared" si="5"/>
        <v>0</v>
      </c>
      <c r="BY6" t="b">
        <f t="shared" si="5"/>
        <v>0</v>
      </c>
      <c r="BZ6" t="b">
        <f t="shared" si="6"/>
        <v>0</v>
      </c>
      <c r="CA6" t="b">
        <f t="shared" si="6"/>
        <v>0</v>
      </c>
      <c r="CB6" t="b">
        <f t="shared" si="6"/>
        <v>0</v>
      </c>
      <c r="CC6" t="b">
        <f t="shared" si="6"/>
        <v>0</v>
      </c>
      <c r="CD6" t="b">
        <f t="shared" si="6"/>
        <v>0</v>
      </c>
      <c r="CE6" t="b">
        <f t="shared" si="6"/>
        <v>0</v>
      </c>
      <c r="CF6" t="b">
        <f t="shared" si="6"/>
        <v>0</v>
      </c>
      <c r="CG6" t="b">
        <f t="shared" si="6"/>
        <v>0</v>
      </c>
      <c r="CH6" t="b">
        <f t="shared" si="6"/>
        <v>0</v>
      </c>
      <c r="CI6" t="b">
        <f t="shared" si="6"/>
        <v>0</v>
      </c>
      <c r="CJ6" t="b">
        <f t="shared" si="7"/>
        <v>0</v>
      </c>
      <c r="CK6" t="b">
        <f t="shared" si="7"/>
        <v>0</v>
      </c>
      <c r="CL6" t="b">
        <f t="shared" si="7"/>
        <v>0</v>
      </c>
      <c r="CM6" t="b">
        <f t="shared" si="7"/>
        <v>0</v>
      </c>
      <c r="CN6" t="b">
        <f t="shared" si="7"/>
        <v>0</v>
      </c>
      <c r="CO6" t="b">
        <f t="shared" si="7"/>
        <v>0</v>
      </c>
      <c r="CP6" t="b">
        <f t="shared" si="7"/>
        <v>0</v>
      </c>
      <c r="CQ6" t="b">
        <f t="shared" si="7"/>
        <v>0</v>
      </c>
      <c r="CR6" t="b">
        <f t="shared" si="7"/>
        <v>0</v>
      </c>
      <c r="CS6" t="b">
        <f t="shared" si="7"/>
        <v>0</v>
      </c>
      <c r="CT6" t="b">
        <f t="shared" si="8"/>
        <v>0</v>
      </c>
      <c r="CU6" t="b">
        <f t="shared" si="8"/>
        <v>0</v>
      </c>
      <c r="CV6" t="b">
        <f t="shared" si="8"/>
        <v>0</v>
      </c>
      <c r="CW6" t="b">
        <f t="shared" si="8"/>
        <v>0</v>
      </c>
      <c r="CX6" t="b">
        <f t="shared" si="8"/>
        <v>0</v>
      </c>
      <c r="CY6" t="b">
        <f t="shared" si="8"/>
        <v>0</v>
      </c>
      <c r="CZ6" t="b">
        <f t="shared" si="8"/>
        <v>0</v>
      </c>
      <c r="DA6" t="b">
        <f t="shared" si="8"/>
        <v>0</v>
      </c>
      <c r="DB6" t="b">
        <f t="shared" si="8"/>
        <v>0</v>
      </c>
      <c r="DC6" t="b">
        <f t="shared" si="8"/>
        <v>0</v>
      </c>
      <c r="DD6" t="b">
        <f t="shared" si="9"/>
        <v>0</v>
      </c>
      <c r="DE6" t="b">
        <f t="shared" si="9"/>
        <v>0</v>
      </c>
      <c r="DF6" t="b">
        <f t="shared" si="9"/>
        <v>0</v>
      </c>
      <c r="DG6" t="b">
        <f t="shared" si="9"/>
        <v>0</v>
      </c>
      <c r="DH6" t="b">
        <f t="shared" si="9"/>
        <v>0</v>
      </c>
      <c r="DI6" t="b">
        <f t="shared" si="9"/>
        <v>0</v>
      </c>
      <c r="DJ6" t="b">
        <f t="shared" si="9"/>
        <v>0</v>
      </c>
      <c r="DK6" t="b">
        <f t="shared" si="9"/>
        <v>0</v>
      </c>
      <c r="DL6" t="b">
        <f t="shared" si="9"/>
        <v>0</v>
      </c>
      <c r="DM6" t="b">
        <f t="shared" si="9"/>
        <v>0</v>
      </c>
      <c r="DN6" t="b">
        <f t="shared" si="10"/>
        <v>0</v>
      </c>
      <c r="DO6" t="b">
        <f t="shared" si="10"/>
        <v>0</v>
      </c>
      <c r="DP6" t="b">
        <f t="shared" si="10"/>
        <v>0</v>
      </c>
      <c r="DQ6" t="b">
        <f t="shared" si="10"/>
        <v>0</v>
      </c>
      <c r="DR6" t="b">
        <f t="shared" si="10"/>
        <v>0</v>
      </c>
      <c r="DS6" t="b">
        <f t="shared" si="10"/>
        <v>0</v>
      </c>
      <c r="DT6" t="b">
        <f t="shared" si="10"/>
        <v>0</v>
      </c>
      <c r="DU6" t="b">
        <f t="shared" si="10"/>
        <v>0</v>
      </c>
      <c r="DV6" t="b">
        <f t="shared" si="10"/>
        <v>0</v>
      </c>
      <c r="DW6" t="b">
        <f t="shared" si="10"/>
        <v>0</v>
      </c>
      <c r="DX6" t="b">
        <f t="shared" si="11"/>
        <v>0</v>
      </c>
      <c r="DY6" t="b">
        <f t="shared" si="11"/>
        <v>0</v>
      </c>
      <c r="DZ6" t="b">
        <f t="shared" si="11"/>
        <v>0</v>
      </c>
      <c r="EA6" t="b">
        <f t="shared" si="11"/>
        <v>0</v>
      </c>
      <c r="EB6" t="b">
        <f t="shared" si="11"/>
        <v>0</v>
      </c>
      <c r="EC6" t="b">
        <f t="shared" si="11"/>
        <v>0</v>
      </c>
      <c r="ED6" t="b">
        <f t="shared" si="11"/>
        <v>0</v>
      </c>
      <c r="EE6" t="b">
        <f t="shared" si="11"/>
        <v>0</v>
      </c>
      <c r="EF6" t="b">
        <f t="shared" si="11"/>
        <v>0</v>
      </c>
      <c r="EG6" t="b">
        <f t="shared" si="11"/>
        <v>0</v>
      </c>
      <c r="EH6" t="b">
        <f t="shared" si="12"/>
        <v>0</v>
      </c>
      <c r="EI6" t="b">
        <f t="shared" si="12"/>
        <v>0</v>
      </c>
      <c r="EJ6" t="b">
        <f t="shared" si="12"/>
        <v>0</v>
      </c>
      <c r="EK6" t="b">
        <f t="shared" si="12"/>
        <v>0</v>
      </c>
      <c r="EL6" t="b">
        <f t="shared" si="12"/>
        <v>0</v>
      </c>
      <c r="EM6" t="b">
        <f t="shared" si="12"/>
        <v>0</v>
      </c>
      <c r="EN6" t="b">
        <f t="shared" si="12"/>
        <v>0</v>
      </c>
      <c r="EO6" t="b">
        <f t="shared" si="12"/>
        <v>0</v>
      </c>
      <c r="EP6" t="b">
        <f t="shared" si="12"/>
        <v>0</v>
      </c>
      <c r="EQ6" t="b">
        <f t="shared" si="12"/>
        <v>0</v>
      </c>
      <c r="ER6" t="b">
        <f t="shared" si="13"/>
        <v>0</v>
      </c>
      <c r="ES6" t="b">
        <f t="shared" si="13"/>
        <v>0</v>
      </c>
      <c r="ET6" t="b">
        <f t="shared" si="13"/>
        <v>0</v>
      </c>
      <c r="EU6" t="b">
        <f t="shared" si="13"/>
        <v>0</v>
      </c>
      <c r="EV6" t="b">
        <f t="shared" si="13"/>
        <v>0</v>
      </c>
      <c r="EW6" t="b">
        <f t="shared" si="13"/>
        <v>0</v>
      </c>
      <c r="EX6" t="b">
        <f t="shared" si="13"/>
        <v>0</v>
      </c>
      <c r="EY6" t="b">
        <f t="shared" si="13"/>
        <v>0</v>
      </c>
      <c r="EZ6" t="b">
        <f t="shared" si="13"/>
        <v>0</v>
      </c>
      <c r="FA6" t="b">
        <f t="shared" si="13"/>
        <v>0</v>
      </c>
      <c r="FB6" t="b">
        <f t="shared" si="14"/>
        <v>0</v>
      </c>
      <c r="FC6" t="b">
        <f t="shared" si="14"/>
        <v>0</v>
      </c>
      <c r="FD6" t="b">
        <f t="shared" si="14"/>
        <v>0</v>
      </c>
      <c r="FE6" t="b">
        <f t="shared" si="14"/>
        <v>0</v>
      </c>
      <c r="FF6" t="b">
        <f t="shared" si="14"/>
        <v>0</v>
      </c>
      <c r="FG6" t="b">
        <f t="shared" si="14"/>
        <v>0</v>
      </c>
      <c r="FH6" t="b">
        <f t="shared" si="14"/>
        <v>0</v>
      </c>
      <c r="FI6" t="b">
        <f t="shared" si="14"/>
        <v>0</v>
      </c>
      <c r="FJ6" t="b">
        <f t="shared" si="14"/>
        <v>0</v>
      </c>
      <c r="FK6" t="b">
        <f t="shared" si="14"/>
        <v>0</v>
      </c>
      <c r="FL6" t="b">
        <f t="shared" si="15"/>
        <v>0</v>
      </c>
      <c r="FM6" t="b">
        <f t="shared" si="15"/>
        <v>0</v>
      </c>
      <c r="FN6" t="b">
        <f t="shared" si="15"/>
        <v>0</v>
      </c>
      <c r="FO6" t="b">
        <f t="shared" si="15"/>
        <v>0</v>
      </c>
      <c r="FP6" t="b">
        <f t="shared" si="15"/>
        <v>0</v>
      </c>
      <c r="FQ6" t="b">
        <f t="shared" si="15"/>
        <v>0</v>
      </c>
      <c r="FR6" t="b">
        <f t="shared" si="15"/>
        <v>0</v>
      </c>
      <c r="FS6" t="b">
        <f t="shared" si="15"/>
        <v>0</v>
      </c>
      <c r="FT6" t="b">
        <f t="shared" si="15"/>
        <v>0</v>
      </c>
      <c r="FU6" t="b">
        <f t="shared" si="15"/>
        <v>0</v>
      </c>
      <c r="FV6" t="b">
        <f t="shared" si="16"/>
        <v>0</v>
      </c>
      <c r="FW6" t="b">
        <f t="shared" si="16"/>
        <v>0</v>
      </c>
      <c r="FX6" t="b">
        <f t="shared" si="16"/>
        <v>0</v>
      </c>
      <c r="FY6" t="b">
        <f t="shared" si="16"/>
        <v>0</v>
      </c>
      <c r="FZ6" t="b">
        <f t="shared" si="16"/>
        <v>0</v>
      </c>
      <c r="GA6" t="b">
        <f t="shared" si="16"/>
        <v>0</v>
      </c>
      <c r="GB6" t="b">
        <f t="shared" si="16"/>
        <v>0</v>
      </c>
      <c r="GC6" t="b">
        <f t="shared" si="16"/>
        <v>0</v>
      </c>
      <c r="GD6" t="b">
        <f t="shared" si="16"/>
        <v>0</v>
      </c>
      <c r="GE6" t="b">
        <f t="shared" si="16"/>
        <v>0</v>
      </c>
      <c r="GF6" t="b">
        <f t="shared" si="17"/>
        <v>0</v>
      </c>
      <c r="GG6" t="b">
        <f t="shared" si="17"/>
        <v>0</v>
      </c>
      <c r="GH6" t="b">
        <f t="shared" si="17"/>
        <v>0</v>
      </c>
      <c r="GI6" t="b">
        <f t="shared" si="17"/>
        <v>0</v>
      </c>
      <c r="GJ6" t="b">
        <f t="shared" si="17"/>
        <v>0</v>
      </c>
      <c r="GK6" t="b">
        <f t="shared" si="17"/>
        <v>0</v>
      </c>
      <c r="GL6" t="b">
        <f t="shared" si="17"/>
        <v>0</v>
      </c>
      <c r="GM6" t="b">
        <f t="shared" si="17"/>
        <v>0</v>
      </c>
      <c r="GN6" t="b">
        <f t="shared" si="17"/>
        <v>0</v>
      </c>
      <c r="GO6" t="b">
        <f t="shared" si="17"/>
        <v>0</v>
      </c>
      <c r="GP6" t="b">
        <f t="shared" si="18"/>
        <v>0</v>
      </c>
      <c r="GQ6" t="b">
        <f t="shared" si="18"/>
        <v>0</v>
      </c>
      <c r="GR6" t="b">
        <f t="shared" si="18"/>
        <v>0</v>
      </c>
      <c r="GS6" t="b">
        <f t="shared" si="18"/>
        <v>0</v>
      </c>
      <c r="GT6" t="b">
        <f t="shared" si="18"/>
        <v>0</v>
      </c>
      <c r="GU6" t="b">
        <f t="shared" si="18"/>
        <v>0</v>
      </c>
      <c r="GV6" t="b">
        <f t="shared" si="18"/>
        <v>0</v>
      </c>
      <c r="GW6" t="b">
        <f t="shared" si="18"/>
        <v>0</v>
      </c>
      <c r="GX6" t="b">
        <f t="shared" si="18"/>
        <v>0</v>
      </c>
      <c r="GY6" t="b">
        <f t="shared" si="18"/>
        <v>0</v>
      </c>
      <c r="GZ6" t="b">
        <f t="shared" si="18"/>
        <v>0</v>
      </c>
    </row>
    <row r="7" spans="1:208" hidden="1" x14ac:dyDescent="0.3">
      <c r="A7" t="s">
        <v>456</v>
      </c>
      <c r="B7" t="s">
        <v>457</v>
      </c>
      <c r="C7" t="s">
        <v>458</v>
      </c>
      <c r="D7" s="3">
        <v>29</v>
      </c>
      <c r="E7" s="3">
        <v>2</v>
      </c>
      <c r="F7" s="3">
        <v>6</v>
      </c>
      <c r="G7" s="3">
        <v>190</v>
      </c>
      <c r="H7" t="str">
        <f t="shared" si="19"/>
        <v>29-2</v>
      </c>
      <c r="I7" t="b">
        <v>1</v>
      </c>
      <c r="Q7" s="6">
        <v>7</v>
      </c>
      <c r="R7" t="b">
        <f t="shared" si="0"/>
        <v>0</v>
      </c>
      <c r="S7" t="b">
        <f t="shared" si="0"/>
        <v>0</v>
      </c>
      <c r="T7" t="b">
        <f t="shared" si="0"/>
        <v>0</v>
      </c>
      <c r="U7" t="b">
        <f t="shared" si="0"/>
        <v>0</v>
      </c>
      <c r="V7" t="b">
        <f t="shared" si="0"/>
        <v>0</v>
      </c>
      <c r="W7" t="b">
        <f t="shared" si="0"/>
        <v>0</v>
      </c>
      <c r="X7" t="b">
        <f t="shared" si="0"/>
        <v>0</v>
      </c>
      <c r="Y7" t="b">
        <f t="shared" si="0"/>
        <v>0</v>
      </c>
      <c r="Z7" t="b">
        <f t="shared" si="0"/>
        <v>0</v>
      </c>
      <c r="AA7" t="b">
        <f t="shared" si="0"/>
        <v>0</v>
      </c>
      <c r="AB7" t="b">
        <f t="shared" si="1"/>
        <v>0</v>
      </c>
      <c r="AC7" t="b">
        <f t="shared" si="1"/>
        <v>0</v>
      </c>
      <c r="AD7" t="b">
        <f t="shared" si="1"/>
        <v>0</v>
      </c>
      <c r="AE7" t="b">
        <f t="shared" si="1"/>
        <v>0</v>
      </c>
      <c r="AF7" t="b">
        <f t="shared" si="1"/>
        <v>0</v>
      </c>
      <c r="AG7" t="b">
        <f t="shared" si="1"/>
        <v>0</v>
      </c>
      <c r="AH7" t="b">
        <f t="shared" si="1"/>
        <v>0</v>
      </c>
      <c r="AI7" t="b">
        <f t="shared" si="1"/>
        <v>0</v>
      </c>
      <c r="AJ7" t="b">
        <f t="shared" si="1"/>
        <v>0</v>
      </c>
      <c r="AK7" t="b">
        <f t="shared" si="1"/>
        <v>0</v>
      </c>
      <c r="AL7" t="b">
        <f t="shared" si="2"/>
        <v>0</v>
      </c>
      <c r="AM7" t="b">
        <f t="shared" si="2"/>
        <v>0</v>
      </c>
      <c r="AN7" t="b">
        <f t="shared" si="2"/>
        <v>0</v>
      </c>
      <c r="AO7" t="b">
        <f t="shared" si="2"/>
        <v>0</v>
      </c>
      <c r="AP7" t="b">
        <f t="shared" si="2"/>
        <v>0</v>
      </c>
      <c r="AQ7" t="b">
        <f t="shared" si="2"/>
        <v>0</v>
      </c>
      <c r="AR7" t="b">
        <f t="shared" si="2"/>
        <v>0</v>
      </c>
      <c r="AS7" t="b">
        <f t="shared" si="2"/>
        <v>0</v>
      </c>
      <c r="AT7" t="b">
        <f t="shared" si="2"/>
        <v>0</v>
      </c>
      <c r="AU7" t="b">
        <f t="shared" si="2"/>
        <v>0</v>
      </c>
      <c r="AV7" t="b">
        <f t="shared" si="3"/>
        <v>0</v>
      </c>
      <c r="AW7" t="b">
        <f t="shared" si="3"/>
        <v>0</v>
      </c>
      <c r="AX7" t="b">
        <f t="shared" si="3"/>
        <v>0</v>
      </c>
      <c r="AY7" t="b">
        <f t="shared" si="3"/>
        <v>0</v>
      </c>
      <c r="AZ7" t="b">
        <f t="shared" si="3"/>
        <v>0</v>
      </c>
      <c r="BA7" t="b">
        <f t="shared" si="3"/>
        <v>0</v>
      </c>
      <c r="BB7" t="b">
        <f t="shared" si="3"/>
        <v>0</v>
      </c>
      <c r="BC7" t="b">
        <f t="shared" si="3"/>
        <v>0</v>
      </c>
      <c r="BD7" t="b">
        <f t="shared" si="3"/>
        <v>0</v>
      </c>
      <c r="BE7" t="b">
        <f t="shared" si="3"/>
        <v>0</v>
      </c>
      <c r="BF7" t="b">
        <f t="shared" si="4"/>
        <v>0</v>
      </c>
      <c r="BG7" t="b">
        <f t="shared" si="4"/>
        <v>0</v>
      </c>
      <c r="BH7" t="b">
        <f t="shared" si="4"/>
        <v>0</v>
      </c>
      <c r="BI7" t="b">
        <f t="shared" si="4"/>
        <v>0</v>
      </c>
      <c r="BJ7" t="b">
        <f t="shared" si="4"/>
        <v>0</v>
      </c>
      <c r="BK7" t="b">
        <f t="shared" si="4"/>
        <v>0</v>
      </c>
      <c r="BL7" t="b">
        <f t="shared" si="4"/>
        <v>0</v>
      </c>
      <c r="BM7" t="b">
        <f t="shared" si="4"/>
        <v>0</v>
      </c>
      <c r="BN7" t="b">
        <f t="shared" si="4"/>
        <v>0</v>
      </c>
      <c r="BO7" t="b">
        <f t="shared" si="4"/>
        <v>0</v>
      </c>
      <c r="BP7" t="b">
        <f t="shared" si="5"/>
        <v>0</v>
      </c>
      <c r="BQ7" t="b">
        <f t="shared" si="5"/>
        <v>1</v>
      </c>
      <c r="BR7" t="b">
        <f t="shared" si="5"/>
        <v>0</v>
      </c>
      <c r="BS7" t="b">
        <f t="shared" si="5"/>
        <v>0</v>
      </c>
      <c r="BT7" t="b">
        <f t="shared" si="5"/>
        <v>0</v>
      </c>
      <c r="BU7" t="b">
        <f t="shared" si="5"/>
        <v>0</v>
      </c>
      <c r="BV7" t="b">
        <f t="shared" si="5"/>
        <v>0</v>
      </c>
      <c r="BW7" t="b">
        <f t="shared" si="5"/>
        <v>0</v>
      </c>
      <c r="BX7" t="b">
        <f t="shared" si="5"/>
        <v>0</v>
      </c>
      <c r="BY7" t="b">
        <f t="shared" si="5"/>
        <v>0</v>
      </c>
      <c r="BZ7" t="b">
        <f t="shared" si="6"/>
        <v>0</v>
      </c>
      <c r="CA7" t="b">
        <f t="shared" si="6"/>
        <v>0</v>
      </c>
      <c r="CB7" t="b">
        <f t="shared" si="6"/>
        <v>0</v>
      </c>
      <c r="CC7" t="b">
        <f t="shared" si="6"/>
        <v>0</v>
      </c>
      <c r="CD7" t="b">
        <f t="shared" si="6"/>
        <v>0</v>
      </c>
      <c r="CE7" t="b">
        <f t="shared" si="6"/>
        <v>0</v>
      </c>
      <c r="CF7" t="b">
        <f t="shared" si="6"/>
        <v>0</v>
      </c>
      <c r="CG7" t="b">
        <f t="shared" si="6"/>
        <v>0</v>
      </c>
      <c r="CH7" t="b">
        <f t="shared" si="6"/>
        <v>0</v>
      </c>
      <c r="CI7" t="b">
        <f t="shared" si="6"/>
        <v>0</v>
      </c>
      <c r="CJ7" t="b">
        <f t="shared" si="7"/>
        <v>0</v>
      </c>
      <c r="CK7" t="b">
        <f t="shared" si="7"/>
        <v>0</v>
      </c>
      <c r="CL7" t="b">
        <f t="shared" si="7"/>
        <v>0</v>
      </c>
      <c r="CM7" t="b">
        <f t="shared" si="7"/>
        <v>0</v>
      </c>
      <c r="CN7" t="b">
        <f t="shared" si="7"/>
        <v>0</v>
      </c>
      <c r="CO7" t="b">
        <f t="shared" si="7"/>
        <v>0</v>
      </c>
      <c r="CP7" t="b">
        <f t="shared" si="7"/>
        <v>0</v>
      </c>
      <c r="CQ7" t="b">
        <f t="shared" si="7"/>
        <v>0</v>
      </c>
      <c r="CR7" t="b">
        <f t="shared" si="7"/>
        <v>0</v>
      </c>
      <c r="CS7" t="b">
        <f t="shared" si="7"/>
        <v>0</v>
      </c>
      <c r="CT7" t="b">
        <f t="shared" si="8"/>
        <v>0</v>
      </c>
      <c r="CU7" t="b">
        <f t="shared" si="8"/>
        <v>0</v>
      </c>
      <c r="CV7" t="b">
        <f t="shared" si="8"/>
        <v>0</v>
      </c>
      <c r="CW7" t="b">
        <f t="shared" si="8"/>
        <v>0</v>
      </c>
      <c r="CX7" t="b">
        <f t="shared" si="8"/>
        <v>0</v>
      </c>
      <c r="CY7" t="b">
        <f t="shared" si="8"/>
        <v>0</v>
      </c>
      <c r="CZ7" t="b">
        <f t="shared" si="8"/>
        <v>0</v>
      </c>
      <c r="DA7" t="b">
        <f t="shared" si="8"/>
        <v>0</v>
      </c>
      <c r="DB7" t="b">
        <f t="shared" si="8"/>
        <v>0</v>
      </c>
      <c r="DC7" t="b">
        <f t="shared" si="8"/>
        <v>0</v>
      </c>
      <c r="DD7" t="b">
        <f t="shared" si="9"/>
        <v>0</v>
      </c>
      <c r="DE7" t="b">
        <f t="shared" si="9"/>
        <v>0</v>
      </c>
      <c r="DF7" t="b">
        <f t="shared" si="9"/>
        <v>0</v>
      </c>
      <c r="DG7" t="b">
        <f t="shared" si="9"/>
        <v>0</v>
      </c>
      <c r="DH7" t="b">
        <f t="shared" si="9"/>
        <v>0</v>
      </c>
      <c r="DI7" t="b">
        <f t="shared" si="9"/>
        <v>0</v>
      </c>
      <c r="DJ7" t="b">
        <f t="shared" si="9"/>
        <v>1</v>
      </c>
      <c r="DK7" t="b">
        <f t="shared" si="9"/>
        <v>0</v>
      </c>
      <c r="DL7" t="b">
        <f t="shared" si="9"/>
        <v>0</v>
      </c>
      <c r="DM7" t="b">
        <f t="shared" si="9"/>
        <v>0</v>
      </c>
      <c r="DN7" t="b">
        <f t="shared" si="10"/>
        <v>0</v>
      </c>
      <c r="DO7" t="b">
        <f t="shared" si="10"/>
        <v>0</v>
      </c>
      <c r="DP7" t="b">
        <f t="shared" si="10"/>
        <v>0</v>
      </c>
      <c r="DQ7" t="b">
        <f t="shared" si="10"/>
        <v>0</v>
      </c>
      <c r="DR7" t="b">
        <f t="shared" si="10"/>
        <v>0</v>
      </c>
      <c r="DS7" t="b">
        <f t="shared" si="10"/>
        <v>0</v>
      </c>
      <c r="DT7" t="b">
        <f t="shared" si="10"/>
        <v>0</v>
      </c>
      <c r="DU7" t="b">
        <f t="shared" si="10"/>
        <v>0</v>
      </c>
      <c r="DV7" t="b">
        <f t="shared" si="10"/>
        <v>0</v>
      </c>
      <c r="DW7" t="b">
        <f t="shared" si="10"/>
        <v>0</v>
      </c>
      <c r="DX7" t="b">
        <f t="shared" si="11"/>
        <v>0</v>
      </c>
      <c r="DY7" t="b">
        <f t="shared" si="11"/>
        <v>0</v>
      </c>
      <c r="DZ7" t="b">
        <f t="shared" si="11"/>
        <v>0</v>
      </c>
      <c r="EA7" t="b">
        <f t="shared" si="11"/>
        <v>0</v>
      </c>
      <c r="EB7" t="b">
        <f t="shared" si="11"/>
        <v>0</v>
      </c>
      <c r="EC7" t="b">
        <f t="shared" si="11"/>
        <v>0</v>
      </c>
      <c r="ED7" t="b">
        <f t="shared" si="11"/>
        <v>0</v>
      </c>
      <c r="EE7" t="b">
        <f t="shared" si="11"/>
        <v>0</v>
      </c>
      <c r="EF7" t="b">
        <f t="shared" si="11"/>
        <v>0</v>
      </c>
      <c r="EG7" t="b">
        <f t="shared" si="11"/>
        <v>0</v>
      </c>
      <c r="EH7" t="b">
        <f t="shared" si="12"/>
        <v>0</v>
      </c>
      <c r="EI7" t="b">
        <f t="shared" si="12"/>
        <v>0</v>
      </c>
      <c r="EJ7" t="b">
        <f t="shared" si="12"/>
        <v>0</v>
      </c>
      <c r="EK7" t="b">
        <f t="shared" si="12"/>
        <v>0</v>
      </c>
      <c r="EL7" t="b">
        <f t="shared" si="12"/>
        <v>0</v>
      </c>
      <c r="EM7" t="b">
        <f t="shared" si="12"/>
        <v>1</v>
      </c>
      <c r="EN7" t="b">
        <f t="shared" si="12"/>
        <v>0</v>
      </c>
      <c r="EO7" t="b">
        <f t="shared" si="12"/>
        <v>0</v>
      </c>
      <c r="EP7" t="b">
        <f t="shared" si="12"/>
        <v>0</v>
      </c>
      <c r="EQ7" t="b">
        <f t="shared" si="12"/>
        <v>0</v>
      </c>
      <c r="ER7" t="b">
        <f t="shared" si="13"/>
        <v>0</v>
      </c>
      <c r="ES7" t="b">
        <f t="shared" si="13"/>
        <v>0</v>
      </c>
      <c r="ET7" t="b">
        <f t="shared" si="13"/>
        <v>0</v>
      </c>
      <c r="EU7" t="b">
        <f t="shared" si="13"/>
        <v>0</v>
      </c>
      <c r="EV7" t="b">
        <f t="shared" si="13"/>
        <v>0</v>
      </c>
      <c r="EW7" t="b">
        <f t="shared" si="13"/>
        <v>0</v>
      </c>
      <c r="EX7" t="b">
        <f t="shared" si="13"/>
        <v>0</v>
      </c>
      <c r="EY7" t="b">
        <f t="shared" si="13"/>
        <v>0</v>
      </c>
      <c r="EZ7" t="b">
        <f t="shared" si="13"/>
        <v>0</v>
      </c>
      <c r="FA7" t="b">
        <f t="shared" si="13"/>
        <v>0</v>
      </c>
      <c r="FB7" t="b">
        <f t="shared" si="14"/>
        <v>0</v>
      </c>
      <c r="FC7" t="b">
        <f t="shared" si="14"/>
        <v>0</v>
      </c>
      <c r="FD7" t="b">
        <f t="shared" si="14"/>
        <v>0</v>
      </c>
      <c r="FE7" t="b">
        <f t="shared" si="14"/>
        <v>0</v>
      </c>
      <c r="FF7" t="b">
        <f t="shared" si="14"/>
        <v>0</v>
      </c>
      <c r="FG7" t="b">
        <f t="shared" si="14"/>
        <v>0</v>
      </c>
      <c r="FH7" t="b">
        <f t="shared" si="14"/>
        <v>0</v>
      </c>
      <c r="FI7" t="b">
        <f t="shared" si="14"/>
        <v>0</v>
      </c>
      <c r="FJ7" t="b">
        <f t="shared" si="14"/>
        <v>0</v>
      </c>
      <c r="FK7" t="b">
        <f t="shared" si="14"/>
        <v>0</v>
      </c>
      <c r="FL7" t="b">
        <f t="shared" si="15"/>
        <v>0</v>
      </c>
      <c r="FM7" t="b">
        <f t="shared" si="15"/>
        <v>0</v>
      </c>
      <c r="FN7" t="b">
        <f t="shared" si="15"/>
        <v>0</v>
      </c>
      <c r="FO7" t="b">
        <f t="shared" si="15"/>
        <v>0</v>
      </c>
      <c r="FP7" t="b">
        <f t="shared" si="15"/>
        <v>0</v>
      </c>
      <c r="FQ7" t="b">
        <f t="shared" si="15"/>
        <v>0</v>
      </c>
      <c r="FR7" t="b">
        <f t="shared" si="15"/>
        <v>0</v>
      </c>
      <c r="FS7" t="b">
        <f t="shared" si="15"/>
        <v>0</v>
      </c>
      <c r="FT7" t="b">
        <f t="shared" si="15"/>
        <v>0</v>
      </c>
      <c r="FU7" t="b">
        <f t="shared" si="15"/>
        <v>0</v>
      </c>
      <c r="FV7" t="b">
        <f t="shared" si="16"/>
        <v>0</v>
      </c>
      <c r="FW7" t="b">
        <f t="shared" si="16"/>
        <v>0</v>
      </c>
      <c r="FX7" t="b">
        <f t="shared" si="16"/>
        <v>0</v>
      </c>
      <c r="FY7" t="b">
        <f t="shared" si="16"/>
        <v>0</v>
      </c>
      <c r="FZ7" t="b">
        <f t="shared" si="16"/>
        <v>0</v>
      </c>
      <c r="GA7" t="b">
        <f t="shared" si="16"/>
        <v>0</v>
      </c>
      <c r="GB7" t="b">
        <f t="shared" si="16"/>
        <v>0</v>
      </c>
      <c r="GC7" t="b">
        <f t="shared" si="16"/>
        <v>0</v>
      </c>
      <c r="GD7" t="b">
        <f t="shared" si="16"/>
        <v>0</v>
      </c>
      <c r="GE7" t="b">
        <f t="shared" si="16"/>
        <v>0</v>
      </c>
      <c r="GF7" t="b">
        <f t="shared" si="17"/>
        <v>0</v>
      </c>
      <c r="GG7" t="b">
        <f t="shared" si="17"/>
        <v>0</v>
      </c>
      <c r="GH7" t="b">
        <f t="shared" si="17"/>
        <v>1</v>
      </c>
      <c r="GI7" t="b">
        <f t="shared" si="17"/>
        <v>0</v>
      </c>
      <c r="GJ7" t="b">
        <f t="shared" si="17"/>
        <v>0</v>
      </c>
      <c r="GK7" t="b">
        <f t="shared" si="17"/>
        <v>0</v>
      </c>
      <c r="GL7" t="b">
        <f t="shared" si="17"/>
        <v>0</v>
      </c>
      <c r="GM7" t="b">
        <f t="shared" si="17"/>
        <v>0</v>
      </c>
      <c r="GN7" t="b">
        <f t="shared" si="17"/>
        <v>0</v>
      </c>
      <c r="GO7" t="b">
        <f t="shared" si="17"/>
        <v>0</v>
      </c>
      <c r="GP7" t="b">
        <f t="shared" si="18"/>
        <v>0</v>
      </c>
      <c r="GQ7" t="b">
        <f t="shared" si="18"/>
        <v>0</v>
      </c>
      <c r="GR7" t="b">
        <f t="shared" si="18"/>
        <v>0</v>
      </c>
      <c r="GS7" t="b">
        <f t="shared" si="18"/>
        <v>0</v>
      </c>
      <c r="GT7" t="b">
        <f t="shared" si="18"/>
        <v>0</v>
      </c>
      <c r="GU7" t="b">
        <f t="shared" si="18"/>
        <v>0</v>
      </c>
      <c r="GV7" t="b">
        <f t="shared" si="18"/>
        <v>0</v>
      </c>
      <c r="GW7" t="b">
        <f t="shared" si="18"/>
        <v>0</v>
      </c>
      <c r="GX7" t="b">
        <f t="shared" si="18"/>
        <v>0</v>
      </c>
      <c r="GY7" t="b">
        <f t="shared" si="18"/>
        <v>0</v>
      </c>
      <c r="GZ7" t="b">
        <f t="shared" si="18"/>
        <v>0</v>
      </c>
    </row>
    <row r="8" spans="1:208" hidden="1" x14ac:dyDescent="0.3">
      <c r="A8" t="s">
        <v>456</v>
      </c>
      <c r="B8" t="s">
        <v>457</v>
      </c>
      <c r="C8" t="s">
        <v>459</v>
      </c>
      <c r="D8" s="3">
        <v>29</v>
      </c>
      <c r="E8" s="3">
        <v>2</v>
      </c>
      <c r="F8" s="3">
        <v>7</v>
      </c>
      <c r="G8" s="3">
        <v>50</v>
      </c>
      <c r="H8" t="str">
        <f t="shared" si="19"/>
        <v>29-2</v>
      </c>
      <c r="I8" t="b">
        <v>1</v>
      </c>
      <c r="Q8" s="6">
        <v>8</v>
      </c>
      <c r="R8" t="b">
        <f t="shared" si="0"/>
        <v>0</v>
      </c>
      <c r="S8" t="b">
        <f t="shared" si="0"/>
        <v>0</v>
      </c>
      <c r="T8" t="b">
        <f t="shared" si="0"/>
        <v>0</v>
      </c>
      <c r="U8" t="b">
        <f t="shared" si="0"/>
        <v>0</v>
      </c>
      <c r="V8" t="b">
        <f t="shared" si="0"/>
        <v>0</v>
      </c>
      <c r="W8" t="b">
        <f t="shared" si="0"/>
        <v>0</v>
      </c>
      <c r="X8" t="b">
        <f t="shared" si="0"/>
        <v>0</v>
      </c>
      <c r="Y8" t="b">
        <f t="shared" si="0"/>
        <v>0</v>
      </c>
      <c r="Z8" t="b">
        <f t="shared" si="0"/>
        <v>0</v>
      </c>
      <c r="AA8" t="b">
        <f t="shared" si="0"/>
        <v>0</v>
      </c>
      <c r="AB8" t="b">
        <f t="shared" si="1"/>
        <v>0</v>
      </c>
      <c r="AC8" t="b">
        <f t="shared" si="1"/>
        <v>0</v>
      </c>
      <c r="AD8" t="b">
        <f t="shared" si="1"/>
        <v>0</v>
      </c>
      <c r="AE8" t="b">
        <f t="shared" si="1"/>
        <v>0</v>
      </c>
      <c r="AF8" t="b">
        <f t="shared" si="1"/>
        <v>0</v>
      </c>
      <c r="AG8" t="b">
        <f t="shared" si="1"/>
        <v>0</v>
      </c>
      <c r="AH8" t="b">
        <f t="shared" si="1"/>
        <v>0</v>
      </c>
      <c r="AI8" t="b">
        <f t="shared" si="1"/>
        <v>0</v>
      </c>
      <c r="AJ8" t="b">
        <f t="shared" si="1"/>
        <v>0</v>
      </c>
      <c r="AK8" t="b">
        <f t="shared" si="1"/>
        <v>0</v>
      </c>
      <c r="AL8" t="b">
        <f t="shared" si="2"/>
        <v>1</v>
      </c>
      <c r="AM8" t="b">
        <f t="shared" si="2"/>
        <v>0</v>
      </c>
      <c r="AN8" t="b">
        <f t="shared" si="2"/>
        <v>0</v>
      </c>
      <c r="AO8" t="b">
        <f t="shared" si="2"/>
        <v>0</v>
      </c>
      <c r="AP8" t="b">
        <f t="shared" si="2"/>
        <v>0</v>
      </c>
      <c r="AQ8" t="b">
        <f t="shared" si="2"/>
        <v>0</v>
      </c>
      <c r="AR8" t="b">
        <f t="shared" si="2"/>
        <v>0</v>
      </c>
      <c r="AS8" t="b">
        <f t="shared" si="2"/>
        <v>0</v>
      </c>
      <c r="AT8" t="b">
        <f t="shared" si="2"/>
        <v>0</v>
      </c>
      <c r="AU8" t="b">
        <f t="shared" si="2"/>
        <v>0</v>
      </c>
      <c r="AV8" t="b">
        <f t="shared" si="3"/>
        <v>0</v>
      </c>
      <c r="AW8" t="b">
        <f t="shared" si="3"/>
        <v>0</v>
      </c>
      <c r="AX8" t="b">
        <f t="shared" si="3"/>
        <v>0</v>
      </c>
      <c r="AY8" t="b">
        <f t="shared" si="3"/>
        <v>0</v>
      </c>
      <c r="AZ8" t="b">
        <f t="shared" si="3"/>
        <v>0</v>
      </c>
      <c r="BA8" t="b">
        <f t="shared" si="3"/>
        <v>0</v>
      </c>
      <c r="BB8" t="b">
        <f t="shared" si="3"/>
        <v>0</v>
      </c>
      <c r="BC8" t="b">
        <f t="shared" si="3"/>
        <v>0</v>
      </c>
      <c r="BD8" t="b">
        <f t="shared" si="3"/>
        <v>0</v>
      </c>
      <c r="BE8" t="b">
        <f t="shared" si="3"/>
        <v>0</v>
      </c>
      <c r="BF8" t="b">
        <f t="shared" si="4"/>
        <v>0</v>
      </c>
      <c r="BG8" t="b">
        <f t="shared" si="4"/>
        <v>0</v>
      </c>
      <c r="BH8" t="b">
        <f t="shared" si="4"/>
        <v>0</v>
      </c>
      <c r="BI8" t="b">
        <f t="shared" si="4"/>
        <v>0</v>
      </c>
      <c r="BJ8" t="b">
        <f t="shared" si="4"/>
        <v>0</v>
      </c>
      <c r="BK8" t="b">
        <f t="shared" si="4"/>
        <v>0</v>
      </c>
      <c r="BL8" t="b">
        <f t="shared" si="4"/>
        <v>0</v>
      </c>
      <c r="BM8" t="b">
        <f t="shared" si="4"/>
        <v>0</v>
      </c>
      <c r="BN8" t="b">
        <f t="shared" si="4"/>
        <v>0</v>
      </c>
      <c r="BO8" t="b">
        <f t="shared" si="4"/>
        <v>0</v>
      </c>
      <c r="BP8" t="b">
        <f t="shared" si="5"/>
        <v>0</v>
      </c>
      <c r="BQ8" t="b">
        <f t="shared" si="5"/>
        <v>0</v>
      </c>
      <c r="BR8" t="b">
        <f t="shared" si="5"/>
        <v>0</v>
      </c>
      <c r="BS8" t="b">
        <f t="shared" si="5"/>
        <v>0</v>
      </c>
      <c r="BT8" t="b">
        <f t="shared" si="5"/>
        <v>0</v>
      </c>
      <c r="BU8" t="b">
        <f t="shared" si="5"/>
        <v>0</v>
      </c>
      <c r="BV8" t="b">
        <f t="shared" si="5"/>
        <v>0</v>
      </c>
      <c r="BW8" t="b">
        <f t="shared" si="5"/>
        <v>0</v>
      </c>
      <c r="BX8" t="b">
        <f t="shared" si="5"/>
        <v>0</v>
      </c>
      <c r="BY8" t="b">
        <f t="shared" si="5"/>
        <v>0</v>
      </c>
      <c r="BZ8" t="b">
        <f t="shared" si="6"/>
        <v>0</v>
      </c>
      <c r="CA8" t="b">
        <f t="shared" si="6"/>
        <v>0</v>
      </c>
      <c r="CB8" t="b">
        <f t="shared" si="6"/>
        <v>0</v>
      </c>
      <c r="CC8" t="b">
        <f t="shared" si="6"/>
        <v>0</v>
      </c>
      <c r="CD8" t="b">
        <f t="shared" si="6"/>
        <v>0</v>
      </c>
      <c r="CE8" t="b">
        <f t="shared" si="6"/>
        <v>0</v>
      </c>
      <c r="CF8" t="b">
        <f t="shared" si="6"/>
        <v>0</v>
      </c>
      <c r="CG8" t="b">
        <f t="shared" si="6"/>
        <v>0</v>
      </c>
      <c r="CH8" t="b">
        <f t="shared" si="6"/>
        <v>0</v>
      </c>
      <c r="CI8" t="b">
        <f t="shared" si="6"/>
        <v>0</v>
      </c>
      <c r="CJ8" t="b">
        <f t="shared" si="7"/>
        <v>0</v>
      </c>
      <c r="CK8" t="b">
        <f t="shared" si="7"/>
        <v>0</v>
      </c>
      <c r="CL8" t="b">
        <f t="shared" si="7"/>
        <v>0</v>
      </c>
      <c r="CM8" t="b">
        <f t="shared" si="7"/>
        <v>0</v>
      </c>
      <c r="CN8" t="b">
        <f t="shared" si="7"/>
        <v>0</v>
      </c>
      <c r="CO8" t="b">
        <f t="shared" si="7"/>
        <v>0</v>
      </c>
      <c r="CP8" t="b">
        <f t="shared" si="7"/>
        <v>0</v>
      </c>
      <c r="CQ8" t="b">
        <f t="shared" si="7"/>
        <v>0</v>
      </c>
      <c r="CR8" t="b">
        <f t="shared" si="7"/>
        <v>0</v>
      </c>
      <c r="CS8" t="b">
        <f t="shared" si="7"/>
        <v>0</v>
      </c>
      <c r="CT8" t="b">
        <f t="shared" si="8"/>
        <v>0</v>
      </c>
      <c r="CU8" t="b">
        <f t="shared" si="8"/>
        <v>0</v>
      </c>
      <c r="CV8" t="b">
        <f t="shared" si="8"/>
        <v>0</v>
      </c>
      <c r="CW8" t="b">
        <f t="shared" si="8"/>
        <v>0</v>
      </c>
      <c r="CX8" t="b">
        <f t="shared" si="8"/>
        <v>0</v>
      </c>
      <c r="CY8" t="b">
        <f t="shared" si="8"/>
        <v>0</v>
      </c>
      <c r="CZ8" t="b">
        <f t="shared" si="8"/>
        <v>0</v>
      </c>
      <c r="DA8" t="b">
        <f t="shared" si="8"/>
        <v>0</v>
      </c>
      <c r="DB8" t="b">
        <f t="shared" si="8"/>
        <v>0</v>
      </c>
      <c r="DC8" t="b">
        <f t="shared" si="8"/>
        <v>0</v>
      </c>
      <c r="DD8" t="b">
        <f t="shared" si="9"/>
        <v>0</v>
      </c>
      <c r="DE8" t="b">
        <f t="shared" si="9"/>
        <v>0</v>
      </c>
      <c r="DF8" t="b">
        <f t="shared" si="9"/>
        <v>0</v>
      </c>
      <c r="DG8" t="b">
        <f t="shared" si="9"/>
        <v>0</v>
      </c>
      <c r="DH8" t="b">
        <f t="shared" si="9"/>
        <v>0</v>
      </c>
      <c r="DI8" t="b">
        <f t="shared" si="9"/>
        <v>0</v>
      </c>
      <c r="DJ8" t="b">
        <f t="shared" si="9"/>
        <v>0</v>
      </c>
      <c r="DK8" t="b">
        <f t="shared" si="9"/>
        <v>0</v>
      </c>
      <c r="DL8" t="b">
        <f t="shared" si="9"/>
        <v>0</v>
      </c>
      <c r="DM8" t="b">
        <f t="shared" si="9"/>
        <v>0</v>
      </c>
      <c r="DN8" t="b">
        <f t="shared" si="10"/>
        <v>0</v>
      </c>
      <c r="DO8" t="b">
        <f t="shared" si="10"/>
        <v>0</v>
      </c>
      <c r="DP8" t="b">
        <f t="shared" si="10"/>
        <v>0</v>
      </c>
      <c r="DQ8" t="b">
        <f t="shared" si="10"/>
        <v>0</v>
      </c>
      <c r="DR8" t="b">
        <f t="shared" si="10"/>
        <v>0</v>
      </c>
      <c r="DS8" t="b">
        <f t="shared" si="10"/>
        <v>0</v>
      </c>
      <c r="DT8" t="b">
        <f t="shared" si="10"/>
        <v>0</v>
      </c>
      <c r="DU8" t="b">
        <f t="shared" si="10"/>
        <v>0</v>
      </c>
      <c r="DV8" t="b">
        <f t="shared" si="10"/>
        <v>0</v>
      </c>
      <c r="DW8" t="b">
        <f t="shared" si="10"/>
        <v>0</v>
      </c>
      <c r="DX8" t="b">
        <f t="shared" si="11"/>
        <v>0</v>
      </c>
      <c r="DY8" t="b">
        <f t="shared" si="11"/>
        <v>0</v>
      </c>
      <c r="DZ8" t="b">
        <f t="shared" si="11"/>
        <v>0</v>
      </c>
      <c r="EA8" t="b">
        <f t="shared" si="11"/>
        <v>0</v>
      </c>
      <c r="EB8" t="b">
        <f t="shared" si="11"/>
        <v>0</v>
      </c>
      <c r="EC8" t="b">
        <f t="shared" si="11"/>
        <v>0</v>
      </c>
      <c r="ED8" t="b">
        <f t="shared" si="11"/>
        <v>0</v>
      </c>
      <c r="EE8" t="b">
        <f t="shared" si="11"/>
        <v>0</v>
      </c>
      <c r="EF8" t="b">
        <f t="shared" si="11"/>
        <v>0</v>
      </c>
      <c r="EG8" t="b">
        <f t="shared" si="11"/>
        <v>0</v>
      </c>
      <c r="EH8" t="b">
        <f t="shared" si="12"/>
        <v>0</v>
      </c>
      <c r="EI8" t="b">
        <f t="shared" si="12"/>
        <v>0</v>
      </c>
      <c r="EJ8" t="b">
        <f t="shared" si="12"/>
        <v>0</v>
      </c>
      <c r="EK8" t="b">
        <f t="shared" si="12"/>
        <v>0</v>
      </c>
      <c r="EL8" t="b">
        <f t="shared" si="12"/>
        <v>0</v>
      </c>
      <c r="EM8" t="b">
        <f t="shared" si="12"/>
        <v>0</v>
      </c>
      <c r="EN8" t="b">
        <f t="shared" si="12"/>
        <v>0</v>
      </c>
      <c r="EO8" t="b">
        <f t="shared" si="12"/>
        <v>0</v>
      </c>
      <c r="EP8" t="b">
        <f t="shared" si="12"/>
        <v>0</v>
      </c>
      <c r="EQ8" t="b">
        <f t="shared" si="12"/>
        <v>0</v>
      </c>
      <c r="ER8" t="b">
        <f t="shared" si="13"/>
        <v>0</v>
      </c>
      <c r="ES8" t="b">
        <f t="shared" si="13"/>
        <v>0</v>
      </c>
      <c r="ET8" t="b">
        <f t="shared" si="13"/>
        <v>0</v>
      </c>
      <c r="EU8" t="b">
        <f t="shared" si="13"/>
        <v>0</v>
      </c>
      <c r="EV8" t="b">
        <f t="shared" si="13"/>
        <v>0</v>
      </c>
      <c r="EW8" t="b">
        <f t="shared" si="13"/>
        <v>0</v>
      </c>
      <c r="EX8" t="b">
        <f t="shared" si="13"/>
        <v>0</v>
      </c>
      <c r="EY8" t="b">
        <f t="shared" si="13"/>
        <v>0</v>
      </c>
      <c r="EZ8" t="b">
        <f t="shared" si="13"/>
        <v>0</v>
      </c>
      <c r="FA8" t="b">
        <f t="shared" si="13"/>
        <v>0</v>
      </c>
      <c r="FB8" t="b">
        <f t="shared" si="14"/>
        <v>0</v>
      </c>
      <c r="FC8" t="b">
        <f t="shared" si="14"/>
        <v>0</v>
      </c>
      <c r="FD8" t="b">
        <f t="shared" si="14"/>
        <v>0</v>
      </c>
      <c r="FE8" t="b">
        <f t="shared" si="14"/>
        <v>0</v>
      </c>
      <c r="FF8" t="b">
        <f t="shared" si="14"/>
        <v>0</v>
      </c>
      <c r="FG8" t="b">
        <f t="shared" si="14"/>
        <v>0</v>
      </c>
      <c r="FH8" t="b">
        <f t="shared" si="14"/>
        <v>0</v>
      </c>
      <c r="FI8" t="b">
        <f t="shared" si="14"/>
        <v>0</v>
      </c>
      <c r="FJ8" t="b">
        <f t="shared" si="14"/>
        <v>0</v>
      </c>
      <c r="FK8" t="b">
        <f t="shared" si="14"/>
        <v>0</v>
      </c>
      <c r="FL8" t="b">
        <f t="shared" si="15"/>
        <v>0</v>
      </c>
      <c r="FM8" t="b">
        <f t="shared" si="15"/>
        <v>0</v>
      </c>
      <c r="FN8" t="b">
        <f t="shared" si="15"/>
        <v>0</v>
      </c>
      <c r="FO8" t="b">
        <f t="shared" si="15"/>
        <v>0</v>
      </c>
      <c r="FP8" t="b">
        <f t="shared" si="15"/>
        <v>0</v>
      </c>
      <c r="FQ8" t="b">
        <f t="shared" si="15"/>
        <v>0</v>
      </c>
      <c r="FR8" t="b">
        <f t="shared" si="15"/>
        <v>0</v>
      </c>
      <c r="FS8" t="b">
        <f t="shared" si="15"/>
        <v>0</v>
      </c>
      <c r="FT8" t="b">
        <f t="shared" si="15"/>
        <v>0</v>
      </c>
      <c r="FU8" t="b">
        <f t="shared" si="15"/>
        <v>0</v>
      </c>
      <c r="FV8" t="b">
        <f t="shared" si="16"/>
        <v>0</v>
      </c>
      <c r="FW8" t="b">
        <f t="shared" si="16"/>
        <v>0</v>
      </c>
      <c r="FX8" t="b">
        <f t="shared" si="16"/>
        <v>0</v>
      </c>
      <c r="FY8" t="b">
        <f t="shared" si="16"/>
        <v>0</v>
      </c>
      <c r="FZ8" t="b">
        <f t="shared" si="16"/>
        <v>0</v>
      </c>
      <c r="GA8" t="b">
        <f t="shared" si="16"/>
        <v>0</v>
      </c>
      <c r="GB8" t="b">
        <f t="shared" si="16"/>
        <v>0</v>
      </c>
      <c r="GC8" t="b">
        <f t="shared" si="16"/>
        <v>0</v>
      </c>
      <c r="GD8" t="b">
        <f t="shared" si="16"/>
        <v>0</v>
      </c>
      <c r="GE8" t="b">
        <f t="shared" si="16"/>
        <v>0</v>
      </c>
      <c r="GF8" t="b">
        <f t="shared" si="17"/>
        <v>0</v>
      </c>
      <c r="GG8" t="b">
        <f t="shared" si="17"/>
        <v>0</v>
      </c>
      <c r="GH8" t="b">
        <f t="shared" si="17"/>
        <v>0</v>
      </c>
      <c r="GI8" t="b">
        <f t="shared" si="17"/>
        <v>0</v>
      </c>
      <c r="GJ8" t="b">
        <f t="shared" si="17"/>
        <v>0</v>
      </c>
      <c r="GK8" t="b">
        <f t="shared" si="17"/>
        <v>0</v>
      </c>
      <c r="GL8" t="b">
        <f t="shared" si="17"/>
        <v>0</v>
      </c>
      <c r="GM8" t="b">
        <f t="shared" si="17"/>
        <v>0</v>
      </c>
      <c r="GN8" t="b">
        <f t="shared" si="17"/>
        <v>0</v>
      </c>
      <c r="GO8" t="b">
        <f t="shared" si="17"/>
        <v>0</v>
      </c>
      <c r="GP8" t="b">
        <f t="shared" si="18"/>
        <v>0</v>
      </c>
      <c r="GQ8" t="b">
        <f t="shared" si="18"/>
        <v>0</v>
      </c>
      <c r="GR8" t="b">
        <f t="shared" si="18"/>
        <v>0</v>
      </c>
      <c r="GS8" t="b">
        <f t="shared" si="18"/>
        <v>0</v>
      </c>
      <c r="GT8" t="b">
        <f t="shared" si="18"/>
        <v>0</v>
      </c>
      <c r="GU8" t="b">
        <f t="shared" si="18"/>
        <v>0</v>
      </c>
      <c r="GV8" t="b">
        <f t="shared" si="18"/>
        <v>0</v>
      </c>
      <c r="GW8" t="b">
        <f t="shared" si="18"/>
        <v>0</v>
      </c>
      <c r="GX8" t="b">
        <f t="shared" si="18"/>
        <v>0</v>
      </c>
      <c r="GY8" t="b">
        <f t="shared" si="18"/>
        <v>0</v>
      </c>
      <c r="GZ8" t="b">
        <f t="shared" si="18"/>
        <v>0</v>
      </c>
    </row>
    <row r="9" spans="1:208" hidden="1" x14ac:dyDescent="0.3">
      <c r="A9" t="s">
        <v>456</v>
      </c>
      <c r="B9" t="s">
        <v>457</v>
      </c>
      <c r="C9" t="s">
        <v>460</v>
      </c>
      <c r="D9" s="3">
        <v>29</v>
      </c>
      <c r="E9" s="3">
        <v>2</v>
      </c>
      <c r="F9" s="3">
        <v>8</v>
      </c>
      <c r="G9" s="3">
        <v>120</v>
      </c>
      <c r="H9" t="str">
        <f t="shared" si="19"/>
        <v>29-2</v>
      </c>
      <c r="I9" t="b">
        <v>1</v>
      </c>
      <c r="Q9" s="6">
        <v>9</v>
      </c>
      <c r="R9" t="b">
        <f t="shared" si="0"/>
        <v>0</v>
      </c>
      <c r="S9" t="b">
        <f t="shared" si="0"/>
        <v>0</v>
      </c>
      <c r="T9" t="b">
        <f t="shared" si="0"/>
        <v>0</v>
      </c>
      <c r="U9" t="b">
        <f t="shared" si="0"/>
        <v>0</v>
      </c>
      <c r="V9" t="b">
        <f t="shared" si="0"/>
        <v>0</v>
      </c>
      <c r="W9" t="b">
        <f t="shared" si="0"/>
        <v>0</v>
      </c>
      <c r="X9" t="b">
        <f t="shared" si="0"/>
        <v>0</v>
      </c>
      <c r="Y9" t="b">
        <f t="shared" si="0"/>
        <v>0</v>
      </c>
      <c r="Z9" t="b">
        <f t="shared" si="0"/>
        <v>0</v>
      </c>
      <c r="AA9" t="b">
        <f t="shared" si="0"/>
        <v>0</v>
      </c>
      <c r="AB9" t="b">
        <f t="shared" si="1"/>
        <v>0</v>
      </c>
      <c r="AC9" t="b">
        <f t="shared" si="1"/>
        <v>0</v>
      </c>
      <c r="AD9" t="b">
        <f t="shared" si="1"/>
        <v>0</v>
      </c>
      <c r="AE9" t="b">
        <f t="shared" si="1"/>
        <v>0</v>
      </c>
      <c r="AF9" t="b">
        <f t="shared" si="1"/>
        <v>0</v>
      </c>
      <c r="AG9" t="b">
        <f t="shared" si="1"/>
        <v>0</v>
      </c>
      <c r="AH9" t="b">
        <f t="shared" si="1"/>
        <v>0</v>
      </c>
      <c r="AI9" t="b">
        <f t="shared" si="1"/>
        <v>0</v>
      </c>
      <c r="AJ9" t="b">
        <f t="shared" si="1"/>
        <v>0</v>
      </c>
      <c r="AK9" t="b">
        <f t="shared" si="1"/>
        <v>0</v>
      </c>
      <c r="AL9" t="b">
        <f t="shared" si="2"/>
        <v>0</v>
      </c>
      <c r="AM9" t="b">
        <f t="shared" si="2"/>
        <v>1</v>
      </c>
      <c r="AN9" t="b">
        <f t="shared" si="2"/>
        <v>0</v>
      </c>
      <c r="AO9" t="b">
        <f t="shared" si="2"/>
        <v>0</v>
      </c>
      <c r="AP9" t="b">
        <f t="shared" si="2"/>
        <v>0</v>
      </c>
      <c r="AQ9" t="b">
        <f t="shared" si="2"/>
        <v>0</v>
      </c>
      <c r="AR9" t="b">
        <f t="shared" si="2"/>
        <v>0</v>
      </c>
      <c r="AS9" t="b">
        <f t="shared" si="2"/>
        <v>0</v>
      </c>
      <c r="AT9" t="b">
        <f t="shared" si="2"/>
        <v>0</v>
      </c>
      <c r="AU9" t="b">
        <f t="shared" si="2"/>
        <v>0</v>
      </c>
      <c r="AV9" t="b">
        <f t="shared" si="3"/>
        <v>0</v>
      </c>
      <c r="AW9" t="b">
        <f t="shared" si="3"/>
        <v>0</v>
      </c>
      <c r="AX9" t="b">
        <f t="shared" si="3"/>
        <v>0</v>
      </c>
      <c r="AY9" t="b">
        <f t="shared" si="3"/>
        <v>0</v>
      </c>
      <c r="AZ9" t="b">
        <f t="shared" si="3"/>
        <v>0</v>
      </c>
      <c r="BA9" t="b">
        <f t="shared" si="3"/>
        <v>0</v>
      </c>
      <c r="BB9" t="b">
        <f t="shared" si="3"/>
        <v>0</v>
      </c>
      <c r="BC9" t="b">
        <f t="shared" si="3"/>
        <v>0</v>
      </c>
      <c r="BD9" t="b">
        <f t="shared" si="3"/>
        <v>0</v>
      </c>
      <c r="BE9" t="b">
        <f t="shared" si="3"/>
        <v>1</v>
      </c>
      <c r="BF9" t="b">
        <f t="shared" si="4"/>
        <v>0</v>
      </c>
      <c r="BG9" t="b">
        <f t="shared" si="4"/>
        <v>0</v>
      </c>
      <c r="BH9" t="b">
        <f t="shared" si="4"/>
        <v>0</v>
      </c>
      <c r="BI9" t="b">
        <f t="shared" si="4"/>
        <v>0</v>
      </c>
      <c r="BJ9" t="b">
        <f t="shared" si="4"/>
        <v>0</v>
      </c>
      <c r="BK9" t="b">
        <f t="shared" si="4"/>
        <v>0</v>
      </c>
      <c r="BL9" t="b">
        <f t="shared" si="4"/>
        <v>0</v>
      </c>
      <c r="BM9" t="b">
        <f t="shared" si="4"/>
        <v>0</v>
      </c>
      <c r="BN9" t="b">
        <f t="shared" si="4"/>
        <v>0</v>
      </c>
      <c r="BO9" t="b">
        <f t="shared" si="4"/>
        <v>0</v>
      </c>
      <c r="BP9" t="b">
        <f t="shared" si="5"/>
        <v>0</v>
      </c>
      <c r="BQ9" t="b">
        <f t="shared" si="5"/>
        <v>0</v>
      </c>
      <c r="BR9" t="b">
        <f t="shared" si="5"/>
        <v>0</v>
      </c>
      <c r="BS9" t="b">
        <f t="shared" si="5"/>
        <v>0</v>
      </c>
      <c r="BT9" t="b">
        <f t="shared" si="5"/>
        <v>0</v>
      </c>
      <c r="BU9" t="b">
        <f t="shared" si="5"/>
        <v>0</v>
      </c>
      <c r="BV9" t="b">
        <f t="shared" si="5"/>
        <v>0</v>
      </c>
      <c r="BW9" t="b">
        <f t="shared" si="5"/>
        <v>0</v>
      </c>
      <c r="BX9" t="b">
        <f t="shared" si="5"/>
        <v>0</v>
      </c>
      <c r="BY9" t="b">
        <f t="shared" si="5"/>
        <v>0</v>
      </c>
      <c r="BZ9" t="b">
        <f t="shared" si="6"/>
        <v>0</v>
      </c>
      <c r="CA9" t="b">
        <f t="shared" si="6"/>
        <v>0</v>
      </c>
      <c r="CB9" t="b">
        <f t="shared" si="6"/>
        <v>0</v>
      </c>
      <c r="CC9" t="b">
        <f t="shared" si="6"/>
        <v>0</v>
      </c>
      <c r="CD9" t="b">
        <f t="shared" si="6"/>
        <v>0</v>
      </c>
      <c r="CE9" t="b">
        <f t="shared" si="6"/>
        <v>0</v>
      </c>
      <c r="CF9" t="b">
        <f t="shared" si="6"/>
        <v>0</v>
      </c>
      <c r="CG9" t="b">
        <f t="shared" si="6"/>
        <v>0</v>
      </c>
      <c r="CH9" t="b">
        <f t="shared" si="6"/>
        <v>0</v>
      </c>
      <c r="CI9" t="b">
        <f t="shared" si="6"/>
        <v>0</v>
      </c>
      <c r="CJ9" t="b">
        <f t="shared" si="7"/>
        <v>0</v>
      </c>
      <c r="CK9" t="b">
        <f t="shared" si="7"/>
        <v>0</v>
      </c>
      <c r="CL9" t="b">
        <f t="shared" si="7"/>
        <v>0</v>
      </c>
      <c r="CM9" t="b">
        <f t="shared" si="7"/>
        <v>0</v>
      </c>
      <c r="CN9" t="b">
        <f t="shared" si="7"/>
        <v>0</v>
      </c>
      <c r="CO9" t="b">
        <f t="shared" si="7"/>
        <v>0</v>
      </c>
      <c r="CP9" t="b">
        <f t="shared" si="7"/>
        <v>0</v>
      </c>
      <c r="CQ9" t="b">
        <f t="shared" si="7"/>
        <v>0</v>
      </c>
      <c r="CR9" t="b">
        <f t="shared" si="7"/>
        <v>0</v>
      </c>
      <c r="CS9" t="b">
        <f t="shared" si="7"/>
        <v>0</v>
      </c>
      <c r="CT9" t="b">
        <f t="shared" si="8"/>
        <v>0</v>
      </c>
      <c r="CU9" t="b">
        <f t="shared" si="8"/>
        <v>0</v>
      </c>
      <c r="CV9" t="b">
        <f t="shared" si="8"/>
        <v>0</v>
      </c>
      <c r="CW9" t="b">
        <f t="shared" si="8"/>
        <v>0</v>
      </c>
      <c r="CX9" t="b">
        <f t="shared" si="8"/>
        <v>0</v>
      </c>
      <c r="CY9" t="b">
        <f t="shared" si="8"/>
        <v>0</v>
      </c>
      <c r="CZ9" t="b">
        <f t="shared" si="8"/>
        <v>0</v>
      </c>
      <c r="DA9" t="b">
        <f t="shared" si="8"/>
        <v>0</v>
      </c>
      <c r="DB9" t="b">
        <f t="shared" si="8"/>
        <v>0</v>
      </c>
      <c r="DC9" t="b">
        <f t="shared" si="8"/>
        <v>0</v>
      </c>
      <c r="DD9" t="b">
        <f t="shared" si="9"/>
        <v>0</v>
      </c>
      <c r="DE9" t="b">
        <f t="shared" si="9"/>
        <v>0</v>
      </c>
      <c r="DF9" t="b">
        <f t="shared" si="9"/>
        <v>0</v>
      </c>
      <c r="DG9" t="b">
        <f t="shared" si="9"/>
        <v>0</v>
      </c>
      <c r="DH9" t="b">
        <f t="shared" si="9"/>
        <v>0</v>
      </c>
      <c r="DI9" t="b">
        <f t="shared" si="9"/>
        <v>0</v>
      </c>
      <c r="DJ9" t="b">
        <f t="shared" si="9"/>
        <v>0</v>
      </c>
      <c r="DK9" t="b">
        <f t="shared" si="9"/>
        <v>0</v>
      </c>
      <c r="DL9" t="b">
        <f t="shared" si="9"/>
        <v>0</v>
      </c>
      <c r="DM9" t="b">
        <f t="shared" si="9"/>
        <v>0</v>
      </c>
      <c r="DN9" t="b">
        <f t="shared" si="10"/>
        <v>0</v>
      </c>
      <c r="DO9" t="b">
        <f t="shared" si="10"/>
        <v>0</v>
      </c>
      <c r="DP9" t="b">
        <f t="shared" si="10"/>
        <v>0</v>
      </c>
      <c r="DQ9" t="b">
        <f t="shared" si="10"/>
        <v>0</v>
      </c>
      <c r="DR9" t="b">
        <f t="shared" si="10"/>
        <v>0</v>
      </c>
      <c r="DS9" t="b">
        <f t="shared" si="10"/>
        <v>0</v>
      </c>
      <c r="DT9" t="b">
        <f t="shared" si="10"/>
        <v>0</v>
      </c>
      <c r="DU9" t="b">
        <f t="shared" si="10"/>
        <v>0</v>
      </c>
      <c r="DV9" t="b">
        <f t="shared" si="10"/>
        <v>0</v>
      </c>
      <c r="DW9" t="b">
        <f t="shared" si="10"/>
        <v>0</v>
      </c>
      <c r="DX9" t="b">
        <f t="shared" si="11"/>
        <v>0</v>
      </c>
      <c r="DY9" t="b">
        <f t="shared" si="11"/>
        <v>0</v>
      </c>
      <c r="DZ9" t="b">
        <f t="shared" si="11"/>
        <v>0</v>
      </c>
      <c r="EA9" t="b">
        <f t="shared" si="11"/>
        <v>0</v>
      </c>
      <c r="EB9" t="b">
        <f t="shared" si="11"/>
        <v>0</v>
      </c>
      <c r="EC9" t="b">
        <f t="shared" si="11"/>
        <v>0</v>
      </c>
      <c r="ED9" t="b">
        <f t="shared" si="11"/>
        <v>0</v>
      </c>
      <c r="EE9" t="b">
        <f t="shared" si="11"/>
        <v>0</v>
      </c>
      <c r="EF9" t="b">
        <f t="shared" si="11"/>
        <v>0</v>
      </c>
      <c r="EG9" t="b">
        <f t="shared" si="11"/>
        <v>0</v>
      </c>
      <c r="EH9" t="b">
        <f t="shared" si="12"/>
        <v>0</v>
      </c>
      <c r="EI9" t="b">
        <f t="shared" si="12"/>
        <v>0</v>
      </c>
      <c r="EJ9" t="b">
        <f t="shared" si="12"/>
        <v>0</v>
      </c>
      <c r="EK9" t="b">
        <f t="shared" si="12"/>
        <v>0</v>
      </c>
      <c r="EL9" t="b">
        <f t="shared" si="12"/>
        <v>0</v>
      </c>
      <c r="EM9" t="b">
        <f t="shared" si="12"/>
        <v>0</v>
      </c>
      <c r="EN9" t="b">
        <f t="shared" si="12"/>
        <v>0</v>
      </c>
      <c r="EO9" t="b">
        <f t="shared" si="12"/>
        <v>0</v>
      </c>
      <c r="EP9" t="b">
        <f t="shared" si="12"/>
        <v>0</v>
      </c>
      <c r="EQ9" t="b">
        <f t="shared" si="12"/>
        <v>0</v>
      </c>
      <c r="ER9" t="b">
        <f t="shared" si="13"/>
        <v>0</v>
      </c>
      <c r="ES9" t="b">
        <f t="shared" si="13"/>
        <v>0</v>
      </c>
      <c r="ET9" t="b">
        <f t="shared" si="13"/>
        <v>0</v>
      </c>
      <c r="EU9" t="b">
        <f t="shared" si="13"/>
        <v>0</v>
      </c>
      <c r="EV9" t="b">
        <f t="shared" si="13"/>
        <v>0</v>
      </c>
      <c r="EW9" t="b">
        <f t="shared" si="13"/>
        <v>0</v>
      </c>
      <c r="EX9" t="b">
        <f t="shared" si="13"/>
        <v>0</v>
      </c>
      <c r="EY9" t="b">
        <f t="shared" si="13"/>
        <v>0</v>
      </c>
      <c r="EZ9" t="b">
        <f t="shared" si="13"/>
        <v>0</v>
      </c>
      <c r="FA9" t="b">
        <f t="shared" si="13"/>
        <v>0</v>
      </c>
      <c r="FB9" t="b">
        <f t="shared" si="14"/>
        <v>0</v>
      </c>
      <c r="FC9" t="b">
        <f t="shared" si="14"/>
        <v>0</v>
      </c>
      <c r="FD9" t="b">
        <f t="shared" si="14"/>
        <v>0</v>
      </c>
      <c r="FE9" t="b">
        <f t="shared" si="14"/>
        <v>0</v>
      </c>
      <c r="FF9" t="b">
        <f t="shared" si="14"/>
        <v>0</v>
      </c>
      <c r="FG9" t="b">
        <f t="shared" si="14"/>
        <v>0</v>
      </c>
      <c r="FH9" t="b">
        <f t="shared" si="14"/>
        <v>0</v>
      </c>
      <c r="FI9" t="b">
        <f t="shared" si="14"/>
        <v>0</v>
      </c>
      <c r="FJ9" t="b">
        <f t="shared" si="14"/>
        <v>0</v>
      </c>
      <c r="FK9" t="b">
        <f t="shared" si="14"/>
        <v>1</v>
      </c>
      <c r="FL9" t="b">
        <f t="shared" si="15"/>
        <v>0</v>
      </c>
      <c r="FM9" t="b">
        <f t="shared" si="15"/>
        <v>0</v>
      </c>
      <c r="FN9" t="b">
        <f t="shared" si="15"/>
        <v>0</v>
      </c>
      <c r="FO9" t="b">
        <f t="shared" si="15"/>
        <v>0</v>
      </c>
      <c r="FP9" t="b">
        <f t="shared" si="15"/>
        <v>0</v>
      </c>
      <c r="FQ9" t="b">
        <f t="shared" si="15"/>
        <v>0</v>
      </c>
      <c r="FR9" t="b">
        <f t="shared" si="15"/>
        <v>0</v>
      </c>
      <c r="FS9" t="b">
        <f t="shared" si="15"/>
        <v>0</v>
      </c>
      <c r="FT9" t="b">
        <f t="shared" si="15"/>
        <v>0</v>
      </c>
      <c r="FU9" t="b">
        <f t="shared" si="15"/>
        <v>0</v>
      </c>
      <c r="FV9" t="b">
        <f t="shared" si="16"/>
        <v>0</v>
      </c>
      <c r="FW9" t="b">
        <f t="shared" si="16"/>
        <v>0</v>
      </c>
      <c r="FX9" t="b">
        <f t="shared" si="16"/>
        <v>0</v>
      </c>
      <c r="FY9" t="b">
        <f t="shared" si="16"/>
        <v>0</v>
      </c>
      <c r="FZ9" t="b">
        <f t="shared" si="16"/>
        <v>0</v>
      </c>
      <c r="GA9" t="b">
        <f t="shared" si="16"/>
        <v>0</v>
      </c>
      <c r="GB9" t="b">
        <f t="shared" si="16"/>
        <v>0</v>
      </c>
      <c r="GC9" t="b">
        <f t="shared" si="16"/>
        <v>0</v>
      </c>
      <c r="GD9" t="b">
        <f t="shared" si="16"/>
        <v>0</v>
      </c>
      <c r="GE9" t="b">
        <f t="shared" si="16"/>
        <v>0</v>
      </c>
      <c r="GF9" t="b">
        <f t="shared" si="17"/>
        <v>0</v>
      </c>
      <c r="GG9" t="b">
        <f t="shared" si="17"/>
        <v>0</v>
      </c>
      <c r="GH9" t="b">
        <f t="shared" si="17"/>
        <v>0</v>
      </c>
      <c r="GI9" t="b">
        <f t="shared" si="17"/>
        <v>0</v>
      </c>
      <c r="GJ9" t="b">
        <f t="shared" si="17"/>
        <v>0</v>
      </c>
      <c r="GK9" t="b">
        <f t="shared" si="17"/>
        <v>0</v>
      </c>
      <c r="GL9" t="b">
        <f t="shared" si="17"/>
        <v>0</v>
      </c>
      <c r="GM9" t="b">
        <f t="shared" si="17"/>
        <v>0</v>
      </c>
      <c r="GN9" t="b">
        <f t="shared" si="17"/>
        <v>0</v>
      </c>
      <c r="GO9" t="b">
        <f t="shared" si="17"/>
        <v>0</v>
      </c>
      <c r="GP9" t="b">
        <f t="shared" si="18"/>
        <v>0</v>
      </c>
      <c r="GQ9" t="b">
        <f t="shared" si="18"/>
        <v>0</v>
      </c>
      <c r="GR9" t="b">
        <f t="shared" si="18"/>
        <v>0</v>
      </c>
      <c r="GS9" t="b">
        <f t="shared" si="18"/>
        <v>0</v>
      </c>
      <c r="GT9" t="b">
        <f t="shared" si="18"/>
        <v>0</v>
      </c>
      <c r="GU9" t="b">
        <f t="shared" si="18"/>
        <v>0</v>
      </c>
      <c r="GV9" t="b">
        <f t="shared" si="18"/>
        <v>0</v>
      </c>
      <c r="GW9" t="b">
        <f t="shared" si="18"/>
        <v>0</v>
      </c>
      <c r="GX9" t="b">
        <f t="shared" si="18"/>
        <v>0</v>
      </c>
      <c r="GY9" t="b">
        <f t="shared" si="18"/>
        <v>0</v>
      </c>
      <c r="GZ9" t="b">
        <f t="shared" si="18"/>
        <v>0</v>
      </c>
    </row>
    <row r="10" spans="1:208" hidden="1" x14ac:dyDescent="0.3">
      <c r="A10" t="s">
        <v>456</v>
      </c>
      <c r="B10" t="s">
        <v>457</v>
      </c>
      <c r="C10" t="s">
        <v>461</v>
      </c>
      <c r="D10" s="3">
        <v>29</v>
      </c>
      <c r="E10" s="3">
        <v>2</v>
      </c>
      <c r="F10" s="3">
        <v>9</v>
      </c>
      <c r="G10" s="3">
        <v>70</v>
      </c>
      <c r="H10" t="str">
        <f t="shared" si="19"/>
        <v>29-2</v>
      </c>
      <c r="I10" t="b">
        <v>1</v>
      </c>
      <c r="Q10" s="6">
        <v>10</v>
      </c>
      <c r="R10" t="b">
        <f t="shared" si="0"/>
        <v>0</v>
      </c>
      <c r="S10" t="b">
        <f t="shared" si="0"/>
        <v>0</v>
      </c>
      <c r="T10" t="b">
        <f t="shared" si="0"/>
        <v>0</v>
      </c>
      <c r="U10" t="b">
        <f t="shared" si="0"/>
        <v>0</v>
      </c>
      <c r="V10" t="b">
        <f t="shared" si="0"/>
        <v>0</v>
      </c>
      <c r="W10" t="b">
        <f t="shared" si="0"/>
        <v>0</v>
      </c>
      <c r="X10" t="b">
        <f t="shared" si="0"/>
        <v>0</v>
      </c>
      <c r="Y10" t="b">
        <f t="shared" si="0"/>
        <v>0</v>
      </c>
      <c r="Z10" t="b">
        <f t="shared" si="0"/>
        <v>0</v>
      </c>
      <c r="AA10" t="b">
        <f t="shared" si="0"/>
        <v>0</v>
      </c>
      <c r="AB10" t="b">
        <f t="shared" si="1"/>
        <v>0</v>
      </c>
      <c r="AC10" t="b">
        <f t="shared" si="1"/>
        <v>0</v>
      </c>
      <c r="AD10" t="b">
        <f t="shared" si="1"/>
        <v>0</v>
      </c>
      <c r="AE10" t="b">
        <f t="shared" si="1"/>
        <v>0</v>
      </c>
      <c r="AF10" t="b">
        <f t="shared" si="1"/>
        <v>0</v>
      </c>
      <c r="AG10" t="b">
        <f t="shared" si="1"/>
        <v>0</v>
      </c>
      <c r="AH10" t="b">
        <f t="shared" si="1"/>
        <v>0</v>
      </c>
      <c r="AI10" t="b">
        <f t="shared" si="1"/>
        <v>0</v>
      </c>
      <c r="AJ10" t="b">
        <f t="shared" si="1"/>
        <v>0</v>
      </c>
      <c r="AK10" t="b">
        <f t="shared" si="1"/>
        <v>0</v>
      </c>
      <c r="AL10" t="b">
        <f t="shared" si="2"/>
        <v>0</v>
      </c>
      <c r="AM10" t="b">
        <f t="shared" si="2"/>
        <v>0</v>
      </c>
      <c r="AN10" t="b">
        <f t="shared" si="2"/>
        <v>0</v>
      </c>
      <c r="AO10" t="b">
        <f t="shared" si="2"/>
        <v>0</v>
      </c>
      <c r="AP10" t="b">
        <f t="shared" si="2"/>
        <v>0</v>
      </c>
      <c r="AQ10" t="b">
        <f t="shared" si="2"/>
        <v>0</v>
      </c>
      <c r="AR10" t="b">
        <f t="shared" si="2"/>
        <v>0</v>
      </c>
      <c r="AS10" t="b">
        <f t="shared" si="2"/>
        <v>0</v>
      </c>
      <c r="AT10" t="b">
        <f t="shared" si="2"/>
        <v>0</v>
      </c>
      <c r="AU10" t="b">
        <f t="shared" si="2"/>
        <v>0</v>
      </c>
      <c r="AV10" t="b">
        <f t="shared" si="3"/>
        <v>0</v>
      </c>
      <c r="AW10" t="b">
        <f t="shared" si="3"/>
        <v>0</v>
      </c>
      <c r="AX10" t="b">
        <f t="shared" si="3"/>
        <v>0</v>
      </c>
      <c r="AY10" t="b">
        <f t="shared" si="3"/>
        <v>0</v>
      </c>
      <c r="AZ10" t="b">
        <f t="shared" si="3"/>
        <v>0</v>
      </c>
      <c r="BA10" t="b">
        <f t="shared" si="3"/>
        <v>0</v>
      </c>
      <c r="BB10" t="b">
        <f t="shared" si="3"/>
        <v>0</v>
      </c>
      <c r="BC10" t="b">
        <f t="shared" si="3"/>
        <v>0</v>
      </c>
      <c r="BD10" t="b">
        <f t="shared" si="3"/>
        <v>0</v>
      </c>
      <c r="BE10" t="b">
        <f t="shared" si="3"/>
        <v>0</v>
      </c>
      <c r="BF10" t="b">
        <f t="shared" si="4"/>
        <v>0</v>
      </c>
      <c r="BG10" t="b">
        <f t="shared" si="4"/>
        <v>0</v>
      </c>
      <c r="BH10" t="b">
        <f t="shared" si="4"/>
        <v>0</v>
      </c>
      <c r="BI10" t="b">
        <f t="shared" si="4"/>
        <v>0</v>
      </c>
      <c r="BJ10" t="b">
        <f t="shared" si="4"/>
        <v>0</v>
      </c>
      <c r="BK10" t="b">
        <f t="shared" si="4"/>
        <v>0</v>
      </c>
      <c r="BL10" t="b">
        <f t="shared" si="4"/>
        <v>1</v>
      </c>
      <c r="BM10" t="b">
        <f t="shared" si="4"/>
        <v>0</v>
      </c>
      <c r="BN10" t="b">
        <f t="shared" si="4"/>
        <v>0</v>
      </c>
      <c r="BO10" t="b">
        <f t="shared" si="4"/>
        <v>0</v>
      </c>
      <c r="BP10" t="b">
        <f t="shared" si="5"/>
        <v>0</v>
      </c>
      <c r="BQ10" t="b">
        <f t="shared" si="5"/>
        <v>0</v>
      </c>
      <c r="BR10" t="b">
        <f t="shared" si="5"/>
        <v>0</v>
      </c>
      <c r="BS10" t="b">
        <f t="shared" si="5"/>
        <v>0</v>
      </c>
      <c r="BT10" t="b">
        <f t="shared" si="5"/>
        <v>0</v>
      </c>
      <c r="BU10" t="b">
        <f t="shared" si="5"/>
        <v>0</v>
      </c>
      <c r="BV10" t="b">
        <f t="shared" si="5"/>
        <v>0</v>
      </c>
      <c r="BW10" t="b">
        <f t="shared" si="5"/>
        <v>0</v>
      </c>
      <c r="BX10" t="b">
        <f t="shared" si="5"/>
        <v>0</v>
      </c>
      <c r="BY10" t="b">
        <f t="shared" si="5"/>
        <v>0</v>
      </c>
      <c r="BZ10" t="b">
        <f t="shared" si="6"/>
        <v>0</v>
      </c>
      <c r="CA10" t="b">
        <f t="shared" si="6"/>
        <v>0</v>
      </c>
      <c r="CB10" t="b">
        <f t="shared" si="6"/>
        <v>0</v>
      </c>
      <c r="CC10" t="b">
        <f t="shared" si="6"/>
        <v>0</v>
      </c>
      <c r="CD10" t="b">
        <f t="shared" si="6"/>
        <v>0</v>
      </c>
      <c r="CE10" t="b">
        <f t="shared" si="6"/>
        <v>0</v>
      </c>
      <c r="CF10" t="b">
        <f t="shared" si="6"/>
        <v>0</v>
      </c>
      <c r="CG10" t="b">
        <f t="shared" si="6"/>
        <v>0</v>
      </c>
      <c r="CH10" t="b">
        <f t="shared" si="6"/>
        <v>0</v>
      </c>
      <c r="CI10" t="b">
        <f t="shared" si="6"/>
        <v>0</v>
      </c>
      <c r="CJ10" t="b">
        <f t="shared" si="7"/>
        <v>0</v>
      </c>
      <c r="CK10" t="b">
        <f t="shared" si="7"/>
        <v>0</v>
      </c>
      <c r="CL10" t="b">
        <f t="shared" si="7"/>
        <v>0</v>
      </c>
      <c r="CM10" t="b">
        <f t="shared" si="7"/>
        <v>0</v>
      </c>
      <c r="CN10" t="b">
        <f t="shared" si="7"/>
        <v>0</v>
      </c>
      <c r="CO10" t="b">
        <f t="shared" si="7"/>
        <v>0</v>
      </c>
      <c r="CP10" t="b">
        <f t="shared" si="7"/>
        <v>0</v>
      </c>
      <c r="CQ10" t="b">
        <f t="shared" si="7"/>
        <v>0</v>
      </c>
      <c r="CR10" t="b">
        <f t="shared" si="7"/>
        <v>0</v>
      </c>
      <c r="CS10" t="b">
        <f t="shared" si="7"/>
        <v>0</v>
      </c>
      <c r="CT10" t="b">
        <f t="shared" si="8"/>
        <v>0</v>
      </c>
      <c r="CU10" t="b">
        <f t="shared" si="8"/>
        <v>0</v>
      </c>
      <c r="CV10" t="b">
        <f t="shared" si="8"/>
        <v>0</v>
      </c>
      <c r="CW10" t="b">
        <f t="shared" si="8"/>
        <v>0</v>
      </c>
      <c r="CX10" t="b">
        <f t="shared" si="8"/>
        <v>0</v>
      </c>
      <c r="CY10" t="b">
        <f t="shared" si="8"/>
        <v>0</v>
      </c>
      <c r="CZ10" t="b">
        <f t="shared" si="8"/>
        <v>0</v>
      </c>
      <c r="DA10" t="b">
        <f t="shared" si="8"/>
        <v>0</v>
      </c>
      <c r="DB10" t="b">
        <f t="shared" si="8"/>
        <v>0</v>
      </c>
      <c r="DC10" t="b">
        <f t="shared" si="8"/>
        <v>0</v>
      </c>
      <c r="DD10" t="b">
        <f t="shared" si="9"/>
        <v>0</v>
      </c>
      <c r="DE10" t="b">
        <f t="shared" si="9"/>
        <v>0</v>
      </c>
      <c r="DF10" t="b">
        <f t="shared" si="9"/>
        <v>0</v>
      </c>
      <c r="DG10" t="b">
        <f t="shared" si="9"/>
        <v>0</v>
      </c>
      <c r="DH10" t="b">
        <f t="shared" si="9"/>
        <v>0</v>
      </c>
      <c r="DI10" t="b">
        <f t="shared" si="9"/>
        <v>0</v>
      </c>
      <c r="DJ10" t="b">
        <f t="shared" si="9"/>
        <v>0</v>
      </c>
      <c r="DK10" t="b">
        <f t="shared" si="9"/>
        <v>0</v>
      </c>
      <c r="DL10" t="b">
        <f t="shared" si="9"/>
        <v>0</v>
      </c>
      <c r="DM10" t="b">
        <f t="shared" si="9"/>
        <v>0</v>
      </c>
      <c r="DN10" t="b">
        <f t="shared" si="10"/>
        <v>0</v>
      </c>
      <c r="DO10" t="b">
        <f t="shared" si="10"/>
        <v>0</v>
      </c>
      <c r="DP10" t="b">
        <f t="shared" si="10"/>
        <v>0</v>
      </c>
      <c r="DQ10" t="b">
        <f t="shared" si="10"/>
        <v>0</v>
      </c>
      <c r="DR10" t="b">
        <f t="shared" si="10"/>
        <v>0</v>
      </c>
      <c r="DS10" t="b">
        <f t="shared" si="10"/>
        <v>0</v>
      </c>
      <c r="DT10" t="b">
        <f t="shared" si="10"/>
        <v>0</v>
      </c>
      <c r="DU10" t="b">
        <f t="shared" si="10"/>
        <v>0</v>
      </c>
      <c r="DV10" t="b">
        <f t="shared" si="10"/>
        <v>0</v>
      </c>
      <c r="DW10" t="b">
        <f t="shared" si="10"/>
        <v>0</v>
      </c>
      <c r="DX10" t="b">
        <f t="shared" si="11"/>
        <v>0</v>
      </c>
      <c r="DY10" t="b">
        <f t="shared" si="11"/>
        <v>0</v>
      </c>
      <c r="DZ10" t="b">
        <f t="shared" si="11"/>
        <v>0</v>
      </c>
      <c r="EA10" t="b">
        <f t="shared" si="11"/>
        <v>0</v>
      </c>
      <c r="EB10" t="b">
        <f t="shared" si="11"/>
        <v>0</v>
      </c>
      <c r="EC10" t="b">
        <f t="shared" si="11"/>
        <v>0</v>
      </c>
      <c r="ED10" t="b">
        <f t="shared" si="11"/>
        <v>0</v>
      </c>
      <c r="EE10" t="b">
        <f t="shared" si="11"/>
        <v>0</v>
      </c>
      <c r="EF10" t="b">
        <f t="shared" si="11"/>
        <v>0</v>
      </c>
      <c r="EG10" t="b">
        <f t="shared" si="11"/>
        <v>0</v>
      </c>
      <c r="EH10" t="b">
        <f t="shared" si="12"/>
        <v>0</v>
      </c>
      <c r="EI10" t="b">
        <f t="shared" si="12"/>
        <v>0</v>
      </c>
      <c r="EJ10" t="b">
        <f t="shared" si="12"/>
        <v>0</v>
      </c>
      <c r="EK10" t="b">
        <f t="shared" si="12"/>
        <v>0</v>
      </c>
      <c r="EL10" t="b">
        <f t="shared" si="12"/>
        <v>0</v>
      </c>
      <c r="EM10" t="b">
        <f t="shared" si="12"/>
        <v>0</v>
      </c>
      <c r="EN10" t="b">
        <f t="shared" si="12"/>
        <v>0</v>
      </c>
      <c r="EO10" t="b">
        <f t="shared" si="12"/>
        <v>1</v>
      </c>
      <c r="EP10" t="b">
        <f t="shared" si="12"/>
        <v>0</v>
      </c>
      <c r="EQ10" t="b">
        <f t="shared" si="12"/>
        <v>0</v>
      </c>
      <c r="ER10" t="b">
        <f t="shared" si="13"/>
        <v>0</v>
      </c>
      <c r="ES10" t="b">
        <f t="shared" si="13"/>
        <v>0</v>
      </c>
      <c r="ET10" t="b">
        <f t="shared" si="13"/>
        <v>0</v>
      </c>
      <c r="EU10" t="b">
        <f t="shared" si="13"/>
        <v>0</v>
      </c>
      <c r="EV10" t="b">
        <f t="shared" si="13"/>
        <v>0</v>
      </c>
      <c r="EW10" t="b">
        <f t="shared" si="13"/>
        <v>0</v>
      </c>
      <c r="EX10" t="b">
        <f t="shared" si="13"/>
        <v>0</v>
      </c>
      <c r="EY10" t="b">
        <f t="shared" si="13"/>
        <v>0</v>
      </c>
      <c r="EZ10" t="b">
        <f t="shared" si="13"/>
        <v>0</v>
      </c>
      <c r="FA10" t="b">
        <f t="shared" si="13"/>
        <v>0</v>
      </c>
      <c r="FB10" t="b">
        <f t="shared" si="14"/>
        <v>0</v>
      </c>
      <c r="FC10" t="b">
        <f t="shared" si="14"/>
        <v>0</v>
      </c>
      <c r="FD10" t="b">
        <f t="shared" si="14"/>
        <v>0</v>
      </c>
      <c r="FE10" t="b">
        <f t="shared" si="14"/>
        <v>0</v>
      </c>
      <c r="FF10" t="b">
        <f t="shared" si="14"/>
        <v>0</v>
      </c>
      <c r="FG10" t="b">
        <f t="shared" si="14"/>
        <v>0</v>
      </c>
      <c r="FH10" t="b">
        <f t="shared" si="14"/>
        <v>0</v>
      </c>
      <c r="FI10" t="b">
        <f t="shared" si="14"/>
        <v>0</v>
      </c>
      <c r="FJ10" t="b">
        <f t="shared" si="14"/>
        <v>0</v>
      </c>
      <c r="FK10" t="b">
        <f t="shared" si="14"/>
        <v>0</v>
      </c>
      <c r="FL10" t="b">
        <f t="shared" si="15"/>
        <v>0</v>
      </c>
      <c r="FM10" t="b">
        <f t="shared" si="15"/>
        <v>0</v>
      </c>
      <c r="FN10" t="b">
        <f t="shared" si="15"/>
        <v>0</v>
      </c>
      <c r="FO10" t="b">
        <f t="shared" si="15"/>
        <v>0</v>
      </c>
      <c r="FP10" t="b">
        <f t="shared" si="15"/>
        <v>0</v>
      </c>
      <c r="FQ10" t="b">
        <f t="shared" si="15"/>
        <v>0</v>
      </c>
      <c r="FR10" t="b">
        <f t="shared" si="15"/>
        <v>0</v>
      </c>
      <c r="FS10" t="b">
        <f t="shared" si="15"/>
        <v>0</v>
      </c>
      <c r="FT10" t="b">
        <f t="shared" si="15"/>
        <v>0</v>
      </c>
      <c r="FU10" t="b">
        <f t="shared" si="15"/>
        <v>0</v>
      </c>
      <c r="FV10" t="b">
        <f t="shared" si="16"/>
        <v>0</v>
      </c>
      <c r="FW10" t="b">
        <f t="shared" si="16"/>
        <v>0</v>
      </c>
      <c r="FX10" t="b">
        <f t="shared" si="16"/>
        <v>0</v>
      </c>
      <c r="FY10" t="b">
        <f t="shared" si="16"/>
        <v>0</v>
      </c>
      <c r="FZ10" t="b">
        <f t="shared" si="16"/>
        <v>0</v>
      </c>
      <c r="GA10" t="b">
        <f t="shared" si="16"/>
        <v>0</v>
      </c>
      <c r="GB10" t="b">
        <f t="shared" si="16"/>
        <v>0</v>
      </c>
      <c r="GC10" t="b">
        <f t="shared" si="16"/>
        <v>0</v>
      </c>
      <c r="GD10" t="b">
        <f t="shared" si="16"/>
        <v>0</v>
      </c>
      <c r="GE10" t="b">
        <f t="shared" si="16"/>
        <v>0</v>
      </c>
      <c r="GF10" t="b">
        <f t="shared" si="17"/>
        <v>0</v>
      </c>
      <c r="GG10" t="b">
        <f t="shared" si="17"/>
        <v>0</v>
      </c>
      <c r="GH10" t="b">
        <f t="shared" si="17"/>
        <v>0</v>
      </c>
      <c r="GI10" t="b">
        <f t="shared" si="17"/>
        <v>0</v>
      </c>
      <c r="GJ10" t="b">
        <f t="shared" si="17"/>
        <v>0</v>
      </c>
      <c r="GK10" t="b">
        <f t="shared" si="17"/>
        <v>0</v>
      </c>
      <c r="GL10" t="b">
        <f t="shared" si="17"/>
        <v>0</v>
      </c>
      <c r="GM10" t="b">
        <f t="shared" si="17"/>
        <v>0</v>
      </c>
      <c r="GN10" t="b">
        <f t="shared" si="17"/>
        <v>0</v>
      </c>
      <c r="GO10" t="b">
        <f t="shared" si="17"/>
        <v>0</v>
      </c>
      <c r="GP10" t="b">
        <f t="shared" si="18"/>
        <v>0</v>
      </c>
      <c r="GQ10" t="b">
        <f t="shared" si="18"/>
        <v>0</v>
      </c>
      <c r="GR10" t="b">
        <f t="shared" si="18"/>
        <v>0</v>
      </c>
      <c r="GS10" t="b">
        <f t="shared" si="18"/>
        <v>0</v>
      </c>
      <c r="GT10" t="b">
        <f t="shared" si="18"/>
        <v>0</v>
      </c>
      <c r="GU10" t="b">
        <f t="shared" si="18"/>
        <v>0</v>
      </c>
      <c r="GV10" t="b">
        <f t="shared" si="18"/>
        <v>0</v>
      </c>
      <c r="GW10" t="b">
        <f t="shared" si="18"/>
        <v>0</v>
      </c>
      <c r="GX10" t="b">
        <f t="shared" si="18"/>
        <v>0</v>
      </c>
      <c r="GY10" t="b">
        <f t="shared" si="18"/>
        <v>0</v>
      </c>
      <c r="GZ10" t="b">
        <f t="shared" si="18"/>
        <v>0</v>
      </c>
    </row>
    <row r="11" spans="1:208" hidden="1" x14ac:dyDescent="0.3">
      <c r="A11" t="s">
        <v>456</v>
      </c>
      <c r="B11" t="s">
        <v>457</v>
      </c>
      <c r="C11" t="s">
        <v>462</v>
      </c>
      <c r="D11" s="3">
        <v>29</v>
      </c>
      <c r="E11" s="3">
        <v>2</v>
      </c>
      <c r="F11" s="3">
        <v>10</v>
      </c>
      <c r="G11" s="3">
        <v>130</v>
      </c>
      <c r="H11" t="str">
        <f t="shared" si="19"/>
        <v>29-2</v>
      </c>
      <c r="I11" t="b">
        <v>1</v>
      </c>
      <c r="Q11" s="6">
        <v>11</v>
      </c>
      <c r="R11" t="b">
        <f t="shared" si="0"/>
        <v>0</v>
      </c>
      <c r="S11" t="b">
        <f t="shared" si="0"/>
        <v>0</v>
      </c>
      <c r="T11" t="b">
        <f t="shared" si="0"/>
        <v>0</v>
      </c>
      <c r="U11" t="b">
        <f t="shared" si="0"/>
        <v>0</v>
      </c>
      <c r="V11" t="b">
        <f t="shared" si="0"/>
        <v>0</v>
      </c>
      <c r="W11" t="b">
        <f t="shared" si="0"/>
        <v>0</v>
      </c>
      <c r="X11" t="b">
        <f t="shared" si="0"/>
        <v>0</v>
      </c>
      <c r="Y11" t="b">
        <f t="shared" si="0"/>
        <v>0</v>
      </c>
      <c r="Z11" t="b">
        <f t="shared" si="0"/>
        <v>0</v>
      </c>
      <c r="AA11" t="b">
        <f t="shared" si="0"/>
        <v>0</v>
      </c>
      <c r="AB11" t="b">
        <f t="shared" si="1"/>
        <v>0</v>
      </c>
      <c r="AC11" t="b">
        <f t="shared" si="1"/>
        <v>0</v>
      </c>
      <c r="AD11" t="b">
        <f t="shared" si="1"/>
        <v>0</v>
      </c>
      <c r="AE11" t="b">
        <f t="shared" si="1"/>
        <v>0</v>
      </c>
      <c r="AF11" t="b">
        <f t="shared" si="1"/>
        <v>0</v>
      </c>
      <c r="AG11" t="b">
        <f t="shared" si="1"/>
        <v>0</v>
      </c>
      <c r="AH11" t="b">
        <f t="shared" si="1"/>
        <v>0</v>
      </c>
      <c r="AI11" t="b">
        <f t="shared" si="1"/>
        <v>0</v>
      </c>
      <c r="AJ11" t="b">
        <f t="shared" si="1"/>
        <v>0</v>
      </c>
      <c r="AK11" t="b">
        <f t="shared" si="1"/>
        <v>0</v>
      </c>
      <c r="AL11" t="b">
        <f t="shared" si="2"/>
        <v>0</v>
      </c>
      <c r="AM11" t="b">
        <f t="shared" si="2"/>
        <v>0</v>
      </c>
      <c r="AN11" t="b">
        <f t="shared" si="2"/>
        <v>0</v>
      </c>
      <c r="AO11" t="b">
        <f t="shared" si="2"/>
        <v>0</v>
      </c>
      <c r="AP11" t="b">
        <f t="shared" si="2"/>
        <v>0</v>
      </c>
      <c r="AQ11" t="b">
        <f t="shared" si="2"/>
        <v>0</v>
      </c>
      <c r="AR11" t="b">
        <f t="shared" si="2"/>
        <v>1</v>
      </c>
      <c r="AS11" t="b">
        <f t="shared" si="2"/>
        <v>0</v>
      </c>
      <c r="AT11" t="b">
        <f t="shared" si="2"/>
        <v>0</v>
      </c>
      <c r="AU11" t="b">
        <f t="shared" si="2"/>
        <v>0</v>
      </c>
      <c r="AV11" t="b">
        <f t="shared" si="3"/>
        <v>0</v>
      </c>
      <c r="AW11" t="b">
        <f t="shared" si="3"/>
        <v>0</v>
      </c>
      <c r="AX11" t="b">
        <f t="shared" si="3"/>
        <v>0</v>
      </c>
      <c r="AY11" t="b">
        <f t="shared" si="3"/>
        <v>0</v>
      </c>
      <c r="AZ11" t="b">
        <f t="shared" si="3"/>
        <v>0</v>
      </c>
      <c r="BA11" t="b">
        <f t="shared" si="3"/>
        <v>0</v>
      </c>
      <c r="BB11" t="b">
        <f t="shared" si="3"/>
        <v>0</v>
      </c>
      <c r="BC11" t="b">
        <f t="shared" si="3"/>
        <v>0</v>
      </c>
      <c r="BD11" t="b">
        <f t="shared" si="3"/>
        <v>0</v>
      </c>
      <c r="BE11" t="b">
        <f t="shared" si="3"/>
        <v>0</v>
      </c>
      <c r="BF11" t="b">
        <f t="shared" si="4"/>
        <v>0</v>
      </c>
      <c r="BG11" t="b">
        <f t="shared" si="4"/>
        <v>0</v>
      </c>
      <c r="BH11" t="b">
        <f t="shared" si="4"/>
        <v>0</v>
      </c>
      <c r="BI11" t="b">
        <f t="shared" si="4"/>
        <v>0</v>
      </c>
      <c r="BJ11" t="b">
        <f t="shared" si="4"/>
        <v>0</v>
      </c>
      <c r="BK11" t="b">
        <f t="shared" si="4"/>
        <v>0</v>
      </c>
      <c r="BL11" t="b">
        <f t="shared" si="4"/>
        <v>0</v>
      </c>
      <c r="BM11" t="b">
        <f t="shared" si="4"/>
        <v>0</v>
      </c>
      <c r="BN11" t="b">
        <f t="shared" si="4"/>
        <v>0</v>
      </c>
      <c r="BO11" t="b">
        <f t="shared" si="4"/>
        <v>0</v>
      </c>
      <c r="BP11" t="b">
        <f t="shared" si="5"/>
        <v>0</v>
      </c>
      <c r="BQ11" t="b">
        <f t="shared" si="5"/>
        <v>0</v>
      </c>
      <c r="BR11" t="b">
        <f t="shared" si="5"/>
        <v>0</v>
      </c>
      <c r="BS11" t="b">
        <f t="shared" si="5"/>
        <v>0</v>
      </c>
      <c r="BT11" t="b">
        <f t="shared" si="5"/>
        <v>0</v>
      </c>
      <c r="BU11" t="b">
        <f t="shared" si="5"/>
        <v>0</v>
      </c>
      <c r="BV11" t="b">
        <f t="shared" si="5"/>
        <v>0</v>
      </c>
      <c r="BW11" t="b">
        <f t="shared" si="5"/>
        <v>0</v>
      </c>
      <c r="BX11" t="b">
        <f t="shared" si="5"/>
        <v>0</v>
      </c>
      <c r="BY11" t="b">
        <f t="shared" si="5"/>
        <v>0</v>
      </c>
      <c r="BZ11" t="b">
        <f t="shared" si="6"/>
        <v>0</v>
      </c>
      <c r="CA11" t="b">
        <f t="shared" si="6"/>
        <v>0</v>
      </c>
      <c r="CB11" t="b">
        <f t="shared" si="6"/>
        <v>0</v>
      </c>
      <c r="CC11" t="b">
        <f t="shared" si="6"/>
        <v>0</v>
      </c>
      <c r="CD11" t="b">
        <f t="shared" si="6"/>
        <v>0</v>
      </c>
      <c r="CE11" t="b">
        <f t="shared" si="6"/>
        <v>0</v>
      </c>
      <c r="CF11" t="b">
        <f t="shared" si="6"/>
        <v>0</v>
      </c>
      <c r="CG11" t="b">
        <f t="shared" si="6"/>
        <v>0</v>
      </c>
      <c r="CH11" t="b">
        <f t="shared" si="6"/>
        <v>0</v>
      </c>
      <c r="CI11" t="b">
        <f t="shared" si="6"/>
        <v>0</v>
      </c>
      <c r="CJ11" t="b">
        <f t="shared" si="7"/>
        <v>0</v>
      </c>
      <c r="CK11" t="b">
        <f t="shared" si="7"/>
        <v>0</v>
      </c>
      <c r="CL11" t="b">
        <f t="shared" si="7"/>
        <v>0</v>
      </c>
      <c r="CM11" t="b">
        <f t="shared" si="7"/>
        <v>0</v>
      </c>
      <c r="CN11" t="b">
        <f t="shared" si="7"/>
        <v>0</v>
      </c>
      <c r="CO11" t="b">
        <f t="shared" si="7"/>
        <v>0</v>
      </c>
      <c r="CP11" t="b">
        <f t="shared" si="7"/>
        <v>0</v>
      </c>
      <c r="CQ11" t="b">
        <f t="shared" si="7"/>
        <v>0</v>
      </c>
      <c r="CR11" t="b">
        <f t="shared" si="7"/>
        <v>0</v>
      </c>
      <c r="CS11" t="b">
        <f t="shared" si="7"/>
        <v>0</v>
      </c>
      <c r="CT11" t="b">
        <f t="shared" si="8"/>
        <v>0</v>
      </c>
      <c r="CU11" t="b">
        <f t="shared" si="8"/>
        <v>0</v>
      </c>
      <c r="CV11" t="b">
        <f t="shared" si="8"/>
        <v>0</v>
      </c>
      <c r="CW11" t="b">
        <f t="shared" si="8"/>
        <v>0</v>
      </c>
      <c r="CX11" t="b">
        <f t="shared" si="8"/>
        <v>0</v>
      </c>
      <c r="CY11" t="b">
        <f t="shared" si="8"/>
        <v>0</v>
      </c>
      <c r="CZ11" t="b">
        <f t="shared" si="8"/>
        <v>0</v>
      </c>
      <c r="DA11" t="b">
        <f t="shared" si="8"/>
        <v>0</v>
      </c>
      <c r="DB11" t="b">
        <f t="shared" si="8"/>
        <v>0</v>
      </c>
      <c r="DC11" t="b">
        <f t="shared" si="8"/>
        <v>0</v>
      </c>
      <c r="DD11" t="b">
        <f t="shared" si="9"/>
        <v>0</v>
      </c>
      <c r="DE11" t="b">
        <f t="shared" si="9"/>
        <v>0</v>
      </c>
      <c r="DF11" t="b">
        <f t="shared" si="9"/>
        <v>0</v>
      </c>
      <c r="DG11" t="b">
        <f t="shared" si="9"/>
        <v>0</v>
      </c>
      <c r="DH11" t="b">
        <f t="shared" si="9"/>
        <v>0</v>
      </c>
      <c r="DI11" t="b">
        <f t="shared" si="9"/>
        <v>0</v>
      </c>
      <c r="DJ11" t="b">
        <f t="shared" si="9"/>
        <v>0</v>
      </c>
      <c r="DK11" t="b">
        <f t="shared" si="9"/>
        <v>0</v>
      </c>
      <c r="DL11" t="b">
        <f t="shared" si="9"/>
        <v>0</v>
      </c>
      <c r="DM11" t="b">
        <f t="shared" si="9"/>
        <v>0</v>
      </c>
      <c r="DN11" t="b">
        <f t="shared" si="10"/>
        <v>0</v>
      </c>
      <c r="DO11" t="b">
        <f t="shared" si="10"/>
        <v>0</v>
      </c>
      <c r="DP11" t="b">
        <f t="shared" si="10"/>
        <v>0</v>
      </c>
      <c r="DQ11" t="b">
        <f t="shared" si="10"/>
        <v>0</v>
      </c>
      <c r="DR11" t="b">
        <f t="shared" si="10"/>
        <v>0</v>
      </c>
      <c r="DS11" t="b">
        <f t="shared" si="10"/>
        <v>0</v>
      </c>
      <c r="DT11" t="b">
        <f t="shared" si="10"/>
        <v>0</v>
      </c>
      <c r="DU11" t="b">
        <f t="shared" si="10"/>
        <v>0</v>
      </c>
      <c r="DV11" t="b">
        <f t="shared" si="10"/>
        <v>0</v>
      </c>
      <c r="DW11" t="b">
        <f t="shared" si="10"/>
        <v>0</v>
      </c>
      <c r="DX11" t="b">
        <f t="shared" si="11"/>
        <v>0</v>
      </c>
      <c r="DY11" t="b">
        <f t="shared" si="11"/>
        <v>0</v>
      </c>
      <c r="DZ11" t="b">
        <f t="shared" si="11"/>
        <v>0</v>
      </c>
      <c r="EA11" t="b">
        <f t="shared" si="11"/>
        <v>0</v>
      </c>
      <c r="EB11" t="b">
        <f t="shared" si="11"/>
        <v>0</v>
      </c>
      <c r="EC11" t="b">
        <f t="shared" si="11"/>
        <v>0</v>
      </c>
      <c r="ED11" t="b">
        <f t="shared" si="11"/>
        <v>0</v>
      </c>
      <c r="EE11" t="b">
        <f t="shared" si="11"/>
        <v>0</v>
      </c>
      <c r="EF11" t="b">
        <f t="shared" si="11"/>
        <v>0</v>
      </c>
      <c r="EG11" t="b">
        <f t="shared" si="11"/>
        <v>0</v>
      </c>
      <c r="EH11" t="b">
        <f t="shared" si="12"/>
        <v>0</v>
      </c>
      <c r="EI11" t="b">
        <f t="shared" si="12"/>
        <v>0</v>
      </c>
      <c r="EJ11" t="b">
        <f t="shared" si="12"/>
        <v>0</v>
      </c>
      <c r="EK11" t="b">
        <f t="shared" si="12"/>
        <v>0</v>
      </c>
      <c r="EL11" t="b">
        <f t="shared" si="12"/>
        <v>0</v>
      </c>
      <c r="EM11" t="b">
        <f t="shared" si="12"/>
        <v>0</v>
      </c>
      <c r="EN11" t="b">
        <f t="shared" si="12"/>
        <v>0</v>
      </c>
      <c r="EO11" t="b">
        <f t="shared" si="12"/>
        <v>0</v>
      </c>
      <c r="EP11" t="b">
        <f t="shared" si="12"/>
        <v>0</v>
      </c>
      <c r="EQ11" t="b">
        <f t="shared" si="12"/>
        <v>0</v>
      </c>
      <c r="ER11" t="b">
        <f t="shared" si="13"/>
        <v>0</v>
      </c>
      <c r="ES11" t="b">
        <f t="shared" si="13"/>
        <v>0</v>
      </c>
      <c r="ET11" t="b">
        <f t="shared" si="13"/>
        <v>0</v>
      </c>
      <c r="EU11" t="b">
        <f t="shared" si="13"/>
        <v>0</v>
      </c>
      <c r="EV11" t="b">
        <f t="shared" si="13"/>
        <v>0</v>
      </c>
      <c r="EW11" t="b">
        <f t="shared" si="13"/>
        <v>0</v>
      </c>
      <c r="EX11" t="b">
        <f t="shared" si="13"/>
        <v>0</v>
      </c>
      <c r="EY11" t="b">
        <f t="shared" si="13"/>
        <v>0</v>
      </c>
      <c r="EZ11" t="b">
        <f t="shared" si="13"/>
        <v>0</v>
      </c>
      <c r="FA11" t="b">
        <f t="shared" si="13"/>
        <v>0</v>
      </c>
      <c r="FB11" t="b">
        <f t="shared" si="14"/>
        <v>0</v>
      </c>
      <c r="FC11" t="b">
        <f t="shared" si="14"/>
        <v>0</v>
      </c>
      <c r="FD11" t="b">
        <f t="shared" si="14"/>
        <v>0</v>
      </c>
      <c r="FE11" t="b">
        <f t="shared" si="14"/>
        <v>0</v>
      </c>
      <c r="FF11" t="b">
        <f t="shared" si="14"/>
        <v>0</v>
      </c>
      <c r="FG11" t="b">
        <f t="shared" si="14"/>
        <v>0</v>
      </c>
      <c r="FH11" t="b">
        <f t="shared" si="14"/>
        <v>0</v>
      </c>
      <c r="FI11" t="b">
        <f t="shared" si="14"/>
        <v>1</v>
      </c>
      <c r="FJ11" t="b">
        <f t="shared" si="14"/>
        <v>0</v>
      </c>
      <c r="FK11" t="b">
        <f t="shared" si="14"/>
        <v>0</v>
      </c>
      <c r="FL11" t="b">
        <f t="shared" si="15"/>
        <v>0</v>
      </c>
      <c r="FM11" t="b">
        <f t="shared" si="15"/>
        <v>0</v>
      </c>
      <c r="FN11" t="b">
        <f t="shared" si="15"/>
        <v>0</v>
      </c>
      <c r="FO11" t="b">
        <f t="shared" si="15"/>
        <v>0</v>
      </c>
      <c r="FP11" t="b">
        <f t="shared" si="15"/>
        <v>0</v>
      </c>
      <c r="FQ11" t="b">
        <f t="shared" si="15"/>
        <v>0</v>
      </c>
      <c r="FR11" t="b">
        <f t="shared" si="15"/>
        <v>0</v>
      </c>
      <c r="FS11" t="b">
        <f t="shared" si="15"/>
        <v>0</v>
      </c>
      <c r="FT11" t="b">
        <f t="shared" si="15"/>
        <v>0</v>
      </c>
      <c r="FU11" t="b">
        <f t="shared" si="15"/>
        <v>0</v>
      </c>
      <c r="FV11" t="b">
        <f t="shared" si="16"/>
        <v>0</v>
      </c>
      <c r="FW11" t="b">
        <f t="shared" si="16"/>
        <v>0</v>
      </c>
      <c r="FX11" t="b">
        <f t="shared" si="16"/>
        <v>0</v>
      </c>
      <c r="FY11" t="b">
        <f t="shared" si="16"/>
        <v>0</v>
      </c>
      <c r="FZ11" t="b">
        <f t="shared" si="16"/>
        <v>0</v>
      </c>
      <c r="GA11" t="b">
        <f t="shared" si="16"/>
        <v>0</v>
      </c>
      <c r="GB11" t="b">
        <f t="shared" si="16"/>
        <v>0</v>
      </c>
      <c r="GC11" t="b">
        <f t="shared" si="16"/>
        <v>0</v>
      </c>
      <c r="GD11" t="b">
        <f t="shared" si="16"/>
        <v>0</v>
      </c>
      <c r="GE11" t="b">
        <f t="shared" si="16"/>
        <v>0</v>
      </c>
      <c r="GF11" t="b">
        <f t="shared" si="17"/>
        <v>0</v>
      </c>
      <c r="GG11" t="b">
        <f t="shared" si="17"/>
        <v>0</v>
      </c>
      <c r="GH11" t="b">
        <f t="shared" si="17"/>
        <v>0</v>
      </c>
      <c r="GI11" t="b">
        <f t="shared" si="17"/>
        <v>0</v>
      </c>
      <c r="GJ11" t="b">
        <f t="shared" si="17"/>
        <v>0</v>
      </c>
      <c r="GK11" t="b">
        <f t="shared" si="17"/>
        <v>0</v>
      </c>
      <c r="GL11" t="b">
        <f t="shared" si="17"/>
        <v>0</v>
      </c>
      <c r="GM11" t="b">
        <f t="shared" si="17"/>
        <v>0</v>
      </c>
      <c r="GN11" t="b">
        <f t="shared" si="17"/>
        <v>0</v>
      </c>
      <c r="GO11" t="b">
        <f t="shared" si="17"/>
        <v>0</v>
      </c>
      <c r="GP11" t="b">
        <f t="shared" si="18"/>
        <v>0</v>
      </c>
      <c r="GQ11" t="b">
        <f t="shared" si="18"/>
        <v>0</v>
      </c>
      <c r="GR11" t="b">
        <f t="shared" si="18"/>
        <v>0</v>
      </c>
      <c r="GS11" t="b">
        <f t="shared" si="18"/>
        <v>1</v>
      </c>
      <c r="GT11" t="b">
        <f t="shared" si="18"/>
        <v>0</v>
      </c>
      <c r="GU11" t="b">
        <f t="shared" si="18"/>
        <v>0</v>
      </c>
      <c r="GV11" t="b">
        <f t="shared" si="18"/>
        <v>0</v>
      </c>
      <c r="GW11" t="b">
        <f t="shared" si="18"/>
        <v>0</v>
      </c>
      <c r="GX11" t="b">
        <f t="shared" si="18"/>
        <v>0</v>
      </c>
      <c r="GY11" t="b">
        <f t="shared" si="18"/>
        <v>0</v>
      </c>
      <c r="GZ11" t="b">
        <f t="shared" si="18"/>
        <v>0</v>
      </c>
    </row>
    <row r="12" spans="1:208" hidden="1" x14ac:dyDescent="0.3">
      <c r="A12" t="s">
        <v>456</v>
      </c>
      <c r="B12" t="s">
        <v>457</v>
      </c>
      <c r="C12" t="s">
        <v>463</v>
      </c>
      <c r="D12" s="3">
        <v>29</v>
      </c>
      <c r="E12" s="3">
        <v>2</v>
      </c>
      <c r="F12" s="3">
        <v>11</v>
      </c>
      <c r="G12" s="3">
        <v>190</v>
      </c>
      <c r="H12" t="str">
        <f t="shared" si="19"/>
        <v>29-2</v>
      </c>
      <c r="I12" t="b">
        <v>1</v>
      </c>
      <c r="Q12" s="6">
        <v>12</v>
      </c>
      <c r="R12" t="b">
        <f t="shared" ref="R12:AA21" si="20">IFERROR(_xlfn.XLOOKUP(_xlfn.CONCAT($Q12,"-",R$1),$H$2:$H$926,$I$2:$I$926),FALSE)</f>
        <v>0</v>
      </c>
      <c r="S12" t="b">
        <f t="shared" si="20"/>
        <v>0</v>
      </c>
      <c r="T12" t="b">
        <f t="shared" si="20"/>
        <v>0</v>
      </c>
      <c r="U12" t="b">
        <f t="shared" si="20"/>
        <v>0</v>
      </c>
      <c r="V12" t="b">
        <f t="shared" si="20"/>
        <v>0</v>
      </c>
      <c r="W12" t="b">
        <f t="shared" si="20"/>
        <v>0</v>
      </c>
      <c r="X12" t="b">
        <f t="shared" si="20"/>
        <v>0</v>
      </c>
      <c r="Y12" t="b">
        <f t="shared" si="20"/>
        <v>0</v>
      </c>
      <c r="Z12" t="b">
        <f t="shared" si="20"/>
        <v>0</v>
      </c>
      <c r="AA12" t="b">
        <f t="shared" si="20"/>
        <v>0</v>
      </c>
      <c r="AB12" t="b">
        <f t="shared" ref="AB12:AK21" si="21">IFERROR(_xlfn.XLOOKUP(_xlfn.CONCAT($Q12,"-",AB$1),$H$2:$H$926,$I$2:$I$926),FALSE)</f>
        <v>0</v>
      </c>
      <c r="AC12" t="b">
        <f t="shared" si="21"/>
        <v>0</v>
      </c>
      <c r="AD12" t="b">
        <f t="shared" si="21"/>
        <v>0</v>
      </c>
      <c r="AE12" t="b">
        <f t="shared" si="21"/>
        <v>0</v>
      </c>
      <c r="AF12" t="b">
        <f t="shared" si="21"/>
        <v>0</v>
      </c>
      <c r="AG12" t="b">
        <f t="shared" si="21"/>
        <v>0</v>
      </c>
      <c r="AH12" t="b">
        <f t="shared" si="21"/>
        <v>0</v>
      </c>
      <c r="AI12" t="b">
        <f t="shared" si="21"/>
        <v>0</v>
      </c>
      <c r="AJ12" t="b">
        <f t="shared" si="21"/>
        <v>0</v>
      </c>
      <c r="AK12" t="b">
        <f t="shared" si="21"/>
        <v>0</v>
      </c>
      <c r="AL12" t="b">
        <f t="shared" ref="AL12:AU21" si="22">IFERROR(_xlfn.XLOOKUP(_xlfn.CONCAT($Q12,"-",AL$1),$H$2:$H$926,$I$2:$I$926),FALSE)</f>
        <v>0</v>
      </c>
      <c r="AM12" t="b">
        <f t="shared" si="22"/>
        <v>0</v>
      </c>
      <c r="AN12" t="b">
        <f t="shared" si="22"/>
        <v>0</v>
      </c>
      <c r="AO12" t="b">
        <f t="shared" si="22"/>
        <v>0</v>
      </c>
      <c r="AP12" t="b">
        <f t="shared" si="22"/>
        <v>0</v>
      </c>
      <c r="AQ12" t="b">
        <f t="shared" si="22"/>
        <v>0</v>
      </c>
      <c r="AR12" t="b">
        <f t="shared" si="22"/>
        <v>0</v>
      </c>
      <c r="AS12" t="b">
        <f t="shared" si="22"/>
        <v>0</v>
      </c>
      <c r="AT12" t="b">
        <f t="shared" si="22"/>
        <v>0</v>
      </c>
      <c r="AU12" t="b">
        <f t="shared" si="22"/>
        <v>0</v>
      </c>
      <c r="AV12" t="b">
        <f t="shared" ref="AV12:BE21" si="23">IFERROR(_xlfn.XLOOKUP(_xlfn.CONCAT($Q12,"-",AV$1),$H$2:$H$926,$I$2:$I$926),FALSE)</f>
        <v>0</v>
      </c>
      <c r="AW12" t="b">
        <f t="shared" si="23"/>
        <v>0</v>
      </c>
      <c r="AX12" t="b">
        <f t="shared" si="23"/>
        <v>0</v>
      </c>
      <c r="AY12" t="b">
        <f t="shared" si="23"/>
        <v>0</v>
      </c>
      <c r="AZ12" t="b">
        <f t="shared" si="23"/>
        <v>1</v>
      </c>
      <c r="BA12" t="b">
        <f t="shared" si="23"/>
        <v>0</v>
      </c>
      <c r="BB12" t="b">
        <f t="shared" si="23"/>
        <v>0</v>
      </c>
      <c r="BC12" t="b">
        <f t="shared" si="23"/>
        <v>0</v>
      </c>
      <c r="BD12" t="b">
        <f t="shared" si="23"/>
        <v>0</v>
      </c>
      <c r="BE12" t="b">
        <f t="shared" si="23"/>
        <v>0</v>
      </c>
      <c r="BF12" t="b">
        <f t="shared" ref="BF12:BO21" si="24">IFERROR(_xlfn.XLOOKUP(_xlfn.CONCAT($Q12,"-",BF$1),$H$2:$H$926,$I$2:$I$926),FALSE)</f>
        <v>0</v>
      </c>
      <c r="BG12" t="b">
        <f t="shared" si="24"/>
        <v>0</v>
      </c>
      <c r="BH12" t="b">
        <f t="shared" si="24"/>
        <v>0</v>
      </c>
      <c r="BI12" t="b">
        <f t="shared" si="24"/>
        <v>0</v>
      </c>
      <c r="BJ12" t="b">
        <f t="shared" si="24"/>
        <v>0</v>
      </c>
      <c r="BK12" t="b">
        <f t="shared" si="24"/>
        <v>0</v>
      </c>
      <c r="BL12" t="b">
        <f t="shared" si="24"/>
        <v>0</v>
      </c>
      <c r="BM12" t="b">
        <f t="shared" si="24"/>
        <v>0</v>
      </c>
      <c r="BN12" t="b">
        <f t="shared" si="24"/>
        <v>0</v>
      </c>
      <c r="BO12" t="b">
        <f t="shared" si="24"/>
        <v>0</v>
      </c>
      <c r="BP12" t="b">
        <f t="shared" ref="BP12:BY21" si="25">IFERROR(_xlfn.XLOOKUP(_xlfn.CONCAT($Q12,"-",BP$1),$H$2:$H$926,$I$2:$I$926),FALSE)</f>
        <v>0</v>
      </c>
      <c r="BQ12" t="b">
        <f t="shared" si="25"/>
        <v>0</v>
      </c>
      <c r="BR12" t="b">
        <f t="shared" si="25"/>
        <v>0</v>
      </c>
      <c r="BS12" t="b">
        <f t="shared" si="25"/>
        <v>0</v>
      </c>
      <c r="BT12" t="b">
        <f t="shared" si="25"/>
        <v>0</v>
      </c>
      <c r="BU12" t="b">
        <f t="shared" si="25"/>
        <v>0</v>
      </c>
      <c r="BV12" t="b">
        <f t="shared" si="25"/>
        <v>0</v>
      </c>
      <c r="BW12" t="b">
        <f t="shared" si="25"/>
        <v>0</v>
      </c>
      <c r="BX12" t="b">
        <f t="shared" si="25"/>
        <v>0</v>
      </c>
      <c r="BY12" t="b">
        <f t="shared" si="25"/>
        <v>0</v>
      </c>
      <c r="BZ12" t="b">
        <f t="shared" ref="BZ12:CI21" si="26">IFERROR(_xlfn.XLOOKUP(_xlfn.CONCAT($Q12,"-",BZ$1),$H$2:$H$926,$I$2:$I$926),FALSE)</f>
        <v>0</v>
      </c>
      <c r="CA12" t="b">
        <f t="shared" si="26"/>
        <v>0</v>
      </c>
      <c r="CB12" t="b">
        <f t="shared" si="26"/>
        <v>0</v>
      </c>
      <c r="CC12" t="b">
        <f t="shared" si="26"/>
        <v>0</v>
      </c>
      <c r="CD12" t="b">
        <f t="shared" si="26"/>
        <v>0</v>
      </c>
      <c r="CE12" t="b">
        <f t="shared" si="26"/>
        <v>0</v>
      </c>
      <c r="CF12" t="b">
        <f t="shared" si="26"/>
        <v>0</v>
      </c>
      <c r="CG12" t="b">
        <f t="shared" si="26"/>
        <v>0</v>
      </c>
      <c r="CH12" t="b">
        <f t="shared" si="26"/>
        <v>0</v>
      </c>
      <c r="CI12" t="b">
        <f t="shared" si="26"/>
        <v>0</v>
      </c>
      <c r="CJ12" t="b">
        <f t="shared" ref="CJ12:CS21" si="27">IFERROR(_xlfn.XLOOKUP(_xlfn.CONCAT($Q12,"-",CJ$1),$H$2:$H$926,$I$2:$I$926),FALSE)</f>
        <v>0</v>
      </c>
      <c r="CK12" t="b">
        <f t="shared" si="27"/>
        <v>0</v>
      </c>
      <c r="CL12" t="b">
        <f t="shared" si="27"/>
        <v>0</v>
      </c>
      <c r="CM12" t="b">
        <f t="shared" si="27"/>
        <v>0</v>
      </c>
      <c r="CN12" t="b">
        <f t="shared" si="27"/>
        <v>0</v>
      </c>
      <c r="CO12" t="b">
        <f t="shared" si="27"/>
        <v>0</v>
      </c>
      <c r="CP12" t="b">
        <f t="shared" si="27"/>
        <v>0</v>
      </c>
      <c r="CQ12" t="b">
        <f t="shared" si="27"/>
        <v>0</v>
      </c>
      <c r="CR12" t="b">
        <f t="shared" si="27"/>
        <v>0</v>
      </c>
      <c r="CS12" t="b">
        <f t="shared" si="27"/>
        <v>0</v>
      </c>
      <c r="CT12" t="b">
        <f t="shared" ref="CT12:DC21" si="28">IFERROR(_xlfn.XLOOKUP(_xlfn.CONCAT($Q12,"-",CT$1),$H$2:$H$926,$I$2:$I$926),FALSE)</f>
        <v>0</v>
      </c>
      <c r="CU12" t="b">
        <f t="shared" si="28"/>
        <v>0</v>
      </c>
      <c r="CV12" t="b">
        <f t="shared" si="28"/>
        <v>0</v>
      </c>
      <c r="CW12" t="b">
        <f t="shared" si="28"/>
        <v>0</v>
      </c>
      <c r="CX12" t="b">
        <f t="shared" si="28"/>
        <v>0</v>
      </c>
      <c r="CY12" t="b">
        <f t="shared" si="28"/>
        <v>0</v>
      </c>
      <c r="CZ12" t="b">
        <f t="shared" si="28"/>
        <v>0</v>
      </c>
      <c r="DA12" t="b">
        <f t="shared" si="28"/>
        <v>0</v>
      </c>
      <c r="DB12" t="b">
        <f t="shared" si="28"/>
        <v>0</v>
      </c>
      <c r="DC12" t="b">
        <f t="shared" si="28"/>
        <v>0</v>
      </c>
      <c r="DD12" t="b">
        <f t="shared" ref="DD12:DM21" si="29">IFERROR(_xlfn.XLOOKUP(_xlfn.CONCAT($Q12,"-",DD$1),$H$2:$H$926,$I$2:$I$926),FALSE)</f>
        <v>0</v>
      </c>
      <c r="DE12" t="b">
        <f t="shared" si="29"/>
        <v>0</v>
      </c>
      <c r="DF12" t="b">
        <f t="shared" si="29"/>
        <v>0</v>
      </c>
      <c r="DG12" t="b">
        <f t="shared" si="29"/>
        <v>0</v>
      </c>
      <c r="DH12" t="b">
        <f t="shared" si="29"/>
        <v>0</v>
      </c>
      <c r="DI12" t="b">
        <f t="shared" si="29"/>
        <v>0</v>
      </c>
      <c r="DJ12" t="b">
        <f t="shared" si="29"/>
        <v>0</v>
      </c>
      <c r="DK12" t="b">
        <f t="shared" si="29"/>
        <v>0</v>
      </c>
      <c r="DL12" t="b">
        <f t="shared" si="29"/>
        <v>0</v>
      </c>
      <c r="DM12" t="b">
        <f t="shared" si="29"/>
        <v>0</v>
      </c>
      <c r="DN12" t="b">
        <f t="shared" ref="DN12:DW21" si="30">IFERROR(_xlfn.XLOOKUP(_xlfn.CONCAT($Q12,"-",DN$1),$H$2:$H$926,$I$2:$I$926),FALSE)</f>
        <v>0</v>
      </c>
      <c r="DO12" t="b">
        <f t="shared" si="30"/>
        <v>0</v>
      </c>
      <c r="DP12" t="b">
        <f t="shared" si="30"/>
        <v>0</v>
      </c>
      <c r="DQ12" t="b">
        <f t="shared" si="30"/>
        <v>0</v>
      </c>
      <c r="DR12" t="b">
        <f t="shared" si="30"/>
        <v>0</v>
      </c>
      <c r="DS12" t="b">
        <f t="shared" si="30"/>
        <v>0</v>
      </c>
      <c r="DT12" t="b">
        <f t="shared" si="30"/>
        <v>0</v>
      </c>
      <c r="DU12" t="b">
        <f t="shared" si="30"/>
        <v>0</v>
      </c>
      <c r="DV12" t="b">
        <f t="shared" si="30"/>
        <v>0</v>
      </c>
      <c r="DW12" t="b">
        <f t="shared" si="30"/>
        <v>0</v>
      </c>
      <c r="DX12" t="b">
        <f t="shared" ref="DX12:EG21" si="31">IFERROR(_xlfn.XLOOKUP(_xlfn.CONCAT($Q12,"-",DX$1),$H$2:$H$926,$I$2:$I$926),FALSE)</f>
        <v>0</v>
      </c>
      <c r="DY12" t="b">
        <f t="shared" si="31"/>
        <v>0</v>
      </c>
      <c r="DZ12" t="b">
        <f t="shared" si="31"/>
        <v>0</v>
      </c>
      <c r="EA12" t="b">
        <f t="shared" si="31"/>
        <v>0</v>
      </c>
      <c r="EB12" t="b">
        <f t="shared" si="31"/>
        <v>0</v>
      </c>
      <c r="EC12" t="b">
        <f t="shared" si="31"/>
        <v>0</v>
      </c>
      <c r="ED12" t="b">
        <f t="shared" si="31"/>
        <v>0</v>
      </c>
      <c r="EE12" t="b">
        <f t="shared" si="31"/>
        <v>0</v>
      </c>
      <c r="EF12" t="b">
        <f t="shared" si="31"/>
        <v>0</v>
      </c>
      <c r="EG12" t="b">
        <f t="shared" si="31"/>
        <v>0</v>
      </c>
      <c r="EH12" t="b">
        <f t="shared" ref="EH12:EQ21" si="32">IFERROR(_xlfn.XLOOKUP(_xlfn.CONCAT($Q12,"-",EH$1),$H$2:$H$926,$I$2:$I$926),FALSE)</f>
        <v>0</v>
      </c>
      <c r="EI12" t="b">
        <f t="shared" si="32"/>
        <v>0</v>
      </c>
      <c r="EJ12" t="b">
        <f t="shared" si="32"/>
        <v>0</v>
      </c>
      <c r="EK12" t="b">
        <f t="shared" si="32"/>
        <v>0</v>
      </c>
      <c r="EL12" t="b">
        <f t="shared" si="32"/>
        <v>0</v>
      </c>
      <c r="EM12" t="b">
        <f t="shared" si="32"/>
        <v>0</v>
      </c>
      <c r="EN12" t="b">
        <f t="shared" si="32"/>
        <v>0</v>
      </c>
      <c r="EO12" t="b">
        <f t="shared" si="32"/>
        <v>0</v>
      </c>
      <c r="EP12" t="b">
        <f t="shared" si="32"/>
        <v>0</v>
      </c>
      <c r="EQ12" t="b">
        <f t="shared" si="32"/>
        <v>0</v>
      </c>
      <c r="ER12" t="b">
        <f t="shared" ref="ER12:FA21" si="33">IFERROR(_xlfn.XLOOKUP(_xlfn.CONCAT($Q12,"-",ER$1),$H$2:$H$926,$I$2:$I$926),FALSE)</f>
        <v>0</v>
      </c>
      <c r="ES12" t="b">
        <f t="shared" si="33"/>
        <v>0</v>
      </c>
      <c r="ET12" t="b">
        <f t="shared" si="33"/>
        <v>0</v>
      </c>
      <c r="EU12" t="b">
        <f t="shared" si="33"/>
        <v>0</v>
      </c>
      <c r="EV12" t="b">
        <f t="shared" si="33"/>
        <v>0</v>
      </c>
      <c r="EW12" t="b">
        <f t="shared" si="33"/>
        <v>0</v>
      </c>
      <c r="EX12" t="b">
        <f t="shared" si="33"/>
        <v>0</v>
      </c>
      <c r="EY12" t="b">
        <f t="shared" si="33"/>
        <v>0</v>
      </c>
      <c r="EZ12" t="b">
        <f t="shared" si="33"/>
        <v>0</v>
      </c>
      <c r="FA12" t="b">
        <f t="shared" si="33"/>
        <v>0</v>
      </c>
      <c r="FB12" t="b">
        <f t="shared" ref="FB12:FK21" si="34">IFERROR(_xlfn.XLOOKUP(_xlfn.CONCAT($Q12,"-",FB$1),$H$2:$H$926,$I$2:$I$926),FALSE)</f>
        <v>0</v>
      </c>
      <c r="FC12" t="b">
        <f t="shared" si="34"/>
        <v>0</v>
      </c>
      <c r="FD12" t="b">
        <f t="shared" si="34"/>
        <v>0</v>
      </c>
      <c r="FE12" t="b">
        <f t="shared" si="34"/>
        <v>0</v>
      </c>
      <c r="FF12" t="b">
        <f t="shared" si="34"/>
        <v>0</v>
      </c>
      <c r="FG12" t="b">
        <f t="shared" si="34"/>
        <v>0</v>
      </c>
      <c r="FH12" t="b">
        <f t="shared" si="34"/>
        <v>0</v>
      </c>
      <c r="FI12" t="b">
        <f t="shared" si="34"/>
        <v>0</v>
      </c>
      <c r="FJ12" t="b">
        <f t="shared" si="34"/>
        <v>0</v>
      </c>
      <c r="FK12" t="b">
        <f t="shared" si="34"/>
        <v>0</v>
      </c>
      <c r="FL12" t="b">
        <f t="shared" ref="FL12:FU21" si="35">IFERROR(_xlfn.XLOOKUP(_xlfn.CONCAT($Q12,"-",FL$1),$H$2:$H$926,$I$2:$I$926),FALSE)</f>
        <v>0</v>
      </c>
      <c r="FM12" t="b">
        <f t="shared" si="35"/>
        <v>0</v>
      </c>
      <c r="FN12" t="b">
        <f t="shared" si="35"/>
        <v>0</v>
      </c>
      <c r="FO12" t="b">
        <f t="shared" si="35"/>
        <v>0</v>
      </c>
      <c r="FP12" t="b">
        <f t="shared" si="35"/>
        <v>0</v>
      </c>
      <c r="FQ12" t="b">
        <f t="shared" si="35"/>
        <v>0</v>
      </c>
      <c r="FR12" t="b">
        <f t="shared" si="35"/>
        <v>0</v>
      </c>
      <c r="FS12" t="b">
        <f t="shared" si="35"/>
        <v>0</v>
      </c>
      <c r="FT12" t="b">
        <f t="shared" si="35"/>
        <v>0</v>
      </c>
      <c r="FU12" t="b">
        <f t="shared" si="35"/>
        <v>0</v>
      </c>
      <c r="FV12" t="b">
        <f t="shared" ref="FV12:GE21" si="36">IFERROR(_xlfn.XLOOKUP(_xlfn.CONCAT($Q12,"-",FV$1),$H$2:$H$926,$I$2:$I$926),FALSE)</f>
        <v>0</v>
      </c>
      <c r="FW12" t="b">
        <f t="shared" si="36"/>
        <v>0</v>
      </c>
      <c r="FX12" t="b">
        <f t="shared" si="36"/>
        <v>0</v>
      </c>
      <c r="FY12" t="b">
        <f t="shared" si="36"/>
        <v>0</v>
      </c>
      <c r="FZ12" t="b">
        <f t="shared" si="36"/>
        <v>0</v>
      </c>
      <c r="GA12" t="b">
        <f t="shared" si="36"/>
        <v>0</v>
      </c>
      <c r="GB12" t="b">
        <f t="shared" si="36"/>
        <v>0</v>
      </c>
      <c r="GC12" t="b">
        <f t="shared" si="36"/>
        <v>0</v>
      </c>
      <c r="GD12" t="b">
        <f t="shared" si="36"/>
        <v>0</v>
      </c>
      <c r="GE12" t="b">
        <f t="shared" si="36"/>
        <v>0</v>
      </c>
      <c r="GF12" t="b">
        <f t="shared" ref="GF12:GO21" si="37">IFERROR(_xlfn.XLOOKUP(_xlfn.CONCAT($Q12,"-",GF$1),$H$2:$H$926,$I$2:$I$926),FALSE)</f>
        <v>0</v>
      </c>
      <c r="GG12" t="b">
        <f t="shared" si="37"/>
        <v>0</v>
      </c>
      <c r="GH12" t="b">
        <f t="shared" si="37"/>
        <v>0</v>
      </c>
      <c r="GI12" t="b">
        <f t="shared" si="37"/>
        <v>0</v>
      </c>
      <c r="GJ12" t="b">
        <f t="shared" si="37"/>
        <v>0</v>
      </c>
      <c r="GK12" t="b">
        <f t="shared" si="37"/>
        <v>0</v>
      </c>
      <c r="GL12" t="b">
        <f t="shared" si="37"/>
        <v>0</v>
      </c>
      <c r="GM12" t="b">
        <f t="shared" si="37"/>
        <v>0</v>
      </c>
      <c r="GN12" t="b">
        <f t="shared" si="37"/>
        <v>0</v>
      </c>
      <c r="GO12" t="b">
        <f t="shared" si="37"/>
        <v>0</v>
      </c>
      <c r="GP12" t="b">
        <f t="shared" ref="GP12:GZ21" si="38">IFERROR(_xlfn.XLOOKUP(_xlfn.CONCAT($Q12,"-",GP$1),$H$2:$H$926,$I$2:$I$926),FALSE)</f>
        <v>0</v>
      </c>
      <c r="GQ12" t="b">
        <f t="shared" si="38"/>
        <v>0</v>
      </c>
      <c r="GR12" t="b">
        <f t="shared" si="38"/>
        <v>0</v>
      </c>
      <c r="GS12" t="b">
        <f t="shared" si="38"/>
        <v>0</v>
      </c>
      <c r="GT12" t="b">
        <f t="shared" si="38"/>
        <v>0</v>
      </c>
      <c r="GU12" t="b">
        <f t="shared" si="38"/>
        <v>0</v>
      </c>
      <c r="GV12" t="b">
        <f t="shared" si="38"/>
        <v>0</v>
      </c>
      <c r="GW12" t="b">
        <f t="shared" si="38"/>
        <v>0</v>
      </c>
      <c r="GX12" t="b">
        <f t="shared" si="38"/>
        <v>0</v>
      </c>
      <c r="GY12" t="b">
        <f t="shared" si="38"/>
        <v>0</v>
      </c>
      <c r="GZ12" t="b">
        <f t="shared" si="38"/>
        <v>0</v>
      </c>
    </row>
    <row r="13" spans="1:208" hidden="1" x14ac:dyDescent="0.3">
      <c r="A13" t="s">
        <v>456</v>
      </c>
      <c r="B13" t="s">
        <v>457</v>
      </c>
      <c r="C13" t="s">
        <v>464</v>
      </c>
      <c r="D13" s="3">
        <v>29</v>
      </c>
      <c r="E13" s="3">
        <v>2</v>
      </c>
      <c r="F13" s="3">
        <v>12</v>
      </c>
      <c r="G13" s="3">
        <v>290</v>
      </c>
      <c r="H13" t="str">
        <f t="shared" si="19"/>
        <v>29-2</v>
      </c>
      <c r="I13" t="b">
        <v>1</v>
      </c>
      <c r="Q13" s="6">
        <v>13</v>
      </c>
      <c r="R13" t="b">
        <f t="shared" si="20"/>
        <v>0</v>
      </c>
      <c r="S13" t="b">
        <f t="shared" si="20"/>
        <v>0</v>
      </c>
      <c r="T13" t="b">
        <f t="shared" si="20"/>
        <v>0</v>
      </c>
      <c r="U13" t="b">
        <f t="shared" si="20"/>
        <v>0</v>
      </c>
      <c r="V13" t="b">
        <f t="shared" si="20"/>
        <v>0</v>
      </c>
      <c r="W13" t="b">
        <f t="shared" si="20"/>
        <v>0</v>
      </c>
      <c r="X13" t="b">
        <f t="shared" si="20"/>
        <v>0</v>
      </c>
      <c r="Y13" t="b">
        <f t="shared" si="20"/>
        <v>0</v>
      </c>
      <c r="Z13" t="b">
        <f t="shared" si="20"/>
        <v>0</v>
      </c>
      <c r="AA13" t="b">
        <f t="shared" si="20"/>
        <v>0</v>
      </c>
      <c r="AB13" t="b">
        <f t="shared" si="21"/>
        <v>0</v>
      </c>
      <c r="AC13" t="b">
        <f t="shared" si="21"/>
        <v>0</v>
      </c>
      <c r="AD13" t="b">
        <f t="shared" si="21"/>
        <v>0</v>
      </c>
      <c r="AE13" t="b">
        <f t="shared" si="21"/>
        <v>0</v>
      </c>
      <c r="AF13" t="b">
        <f t="shared" si="21"/>
        <v>0</v>
      </c>
      <c r="AG13" t="b">
        <f t="shared" si="21"/>
        <v>0</v>
      </c>
      <c r="AH13" t="b">
        <f t="shared" si="21"/>
        <v>0</v>
      </c>
      <c r="AI13" t="b">
        <f t="shared" si="21"/>
        <v>0</v>
      </c>
      <c r="AJ13" t="b">
        <f t="shared" si="21"/>
        <v>0</v>
      </c>
      <c r="AK13" t="b">
        <f t="shared" si="21"/>
        <v>0</v>
      </c>
      <c r="AL13" t="b">
        <f t="shared" si="22"/>
        <v>0</v>
      </c>
      <c r="AM13" t="b">
        <f t="shared" si="22"/>
        <v>0</v>
      </c>
      <c r="AN13" t="b">
        <f t="shared" si="22"/>
        <v>0</v>
      </c>
      <c r="AO13" t="b">
        <f t="shared" si="22"/>
        <v>0</v>
      </c>
      <c r="AP13" t="b">
        <f t="shared" si="22"/>
        <v>0</v>
      </c>
      <c r="AQ13" t="b">
        <f t="shared" si="22"/>
        <v>0</v>
      </c>
      <c r="AR13" t="b">
        <f t="shared" si="22"/>
        <v>0</v>
      </c>
      <c r="AS13" t="b">
        <f t="shared" si="22"/>
        <v>0</v>
      </c>
      <c r="AT13" t="b">
        <f t="shared" si="22"/>
        <v>0</v>
      </c>
      <c r="AU13" t="b">
        <f t="shared" si="22"/>
        <v>0</v>
      </c>
      <c r="AV13" t="b">
        <f t="shared" si="23"/>
        <v>0</v>
      </c>
      <c r="AW13" t="b">
        <f t="shared" si="23"/>
        <v>0</v>
      </c>
      <c r="AX13" t="b">
        <f t="shared" si="23"/>
        <v>0</v>
      </c>
      <c r="AY13" t="b">
        <f t="shared" si="23"/>
        <v>0</v>
      </c>
      <c r="AZ13" t="b">
        <f t="shared" si="23"/>
        <v>0</v>
      </c>
      <c r="BA13" t="b">
        <f t="shared" si="23"/>
        <v>0</v>
      </c>
      <c r="BB13" t="b">
        <f t="shared" si="23"/>
        <v>1</v>
      </c>
      <c r="BC13" t="b">
        <f t="shared" si="23"/>
        <v>0</v>
      </c>
      <c r="BD13" t="b">
        <f t="shared" si="23"/>
        <v>0</v>
      </c>
      <c r="BE13" t="b">
        <f t="shared" si="23"/>
        <v>0</v>
      </c>
      <c r="BF13" t="b">
        <f t="shared" si="24"/>
        <v>0</v>
      </c>
      <c r="BG13" t="b">
        <f t="shared" si="24"/>
        <v>0</v>
      </c>
      <c r="BH13" t="b">
        <f t="shared" si="24"/>
        <v>0</v>
      </c>
      <c r="BI13" t="b">
        <f t="shared" si="24"/>
        <v>0</v>
      </c>
      <c r="BJ13" t="b">
        <f t="shared" si="24"/>
        <v>0</v>
      </c>
      <c r="BK13" t="b">
        <f t="shared" si="24"/>
        <v>0</v>
      </c>
      <c r="BL13" t="b">
        <f t="shared" si="24"/>
        <v>0</v>
      </c>
      <c r="BM13" t="b">
        <f t="shared" si="24"/>
        <v>0</v>
      </c>
      <c r="BN13" t="b">
        <f t="shared" si="24"/>
        <v>0</v>
      </c>
      <c r="BO13" t="b">
        <f t="shared" si="24"/>
        <v>0</v>
      </c>
      <c r="BP13" t="b">
        <f t="shared" si="25"/>
        <v>0</v>
      </c>
      <c r="BQ13" t="b">
        <f t="shared" si="25"/>
        <v>0</v>
      </c>
      <c r="BR13" t="b">
        <f t="shared" si="25"/>
        <v>0</v>
      </c>
      <c r="BS13" t="b">
        <f t="shared" si="25"/>
        <v>0</v>
      </c>
      <c r="BT13" t="b">
        <f t="shared" si="25"/>
        <v>0</v>
      </c>
      <c r="BU13" t="b">
        <f t="shared" si="25"/>
        <v>0</v>
      </c>
      <c r="BV13" t="b">
        <f t="shared" si="25"/>
        <v>0</v>
      </c>
      <c r="BW13" t="b">
        <f t="shared" si="25"/>
        <v>0</v>
      </c>
      <c r="BX13" t="b">
        <f t="shared" si="25"/>
        <v>0</v>
      </c>
      <c r="BY13" t="b">
        <f t="shared" si="25"/>
        <v>0</v>
      </c>
      <c r="BZ13" t="b">
        <f t="shared" si="26"/>
        <v>0</v>
      </c>
      <c r="CA13" t="b">
        <f t="shared" si="26"/>
        <v>0</v>
      </c>
      <c r="CB13" t="b">
        <f t="shared" si="26"/>
        <v>0</v>
      </c>
      <c r="CC13" t="b">
        <f t="shared" si="26"/>
        <v>0</v>
      </c>
      <c r="CD13" t="b">
        <f t="shared" si="26"/>
        <v>0</v>
      </c>
      <c r="CE13" t="b">
        <f t="shared" si="26"/>
        <v>0</v>
      </c>
      <c r="CF13" t="b">
        <f t="shared" si="26"/>
        <v>0</v>
      </c>
      <c r="CG13" t="b">
        <f t="shared" si="26"/>
        <v>0</v>
      </c>
      <c r="CH13" t="b">
        <f t="shared" si="26"/>
        <v>0</v>
      </c>
      <c r="CI13" t="b">
        <f t="shared" si="26"/>
        <v>0</v>
      </c>
      <c r="CJ13" t="b">
        <f t="shared" si="27"/>
        <v>0</v>
      </c>
      <c r="CK13" t="b">
        <f t="shared" si="27"/>
        <v>0</v>
      </c>
      <c r="CL13" t="b">
        <f t="shared" si="27"/>
        <v>0</v>
      </c>
      <c r="CM13" t="b">
        <f t="shared" si="27"/>
        <v>0</v>
      </c>
      <c r="CN13" t="b">
        <f t="shared" si="27"/>
        <v>0</v>
      </c>
      <c r="CO13" t="b">
        <f t="shared" si="27"/>
        <v>0</v>
      </c>
      <c r="CP13" t="b">
        <f t="shared" si="27"/>
        <v>0</v>
      </c>
      <c r="CQ13" t="b">
        <f t="shared" si="27"/>
        <v>0</v>
      </c>
      <c r="CR13" t="b">
        <f t="shared" si="27"/>
        <v>0</v>
      </c>
      <c r="CS13" t="b">
        <f t="shared" si="27"/>
        <v>0</v>
      </c>
      <c r="CT13" t="b">
        <f t="shared" si="28"/>
        <v>0</v>
      </c>
      <c r="CU13" t="b">
        <f t="shared" si="28"/>
        <v>0</v>
      </c>
      <c r="CV13" t="b">
        <f t="shared" si="28"/>
        <v>0</v>
      </c>
      <c r="CW13" t="b">
        <f t="shared" si="28"/>
        <v>0</v>
      </c>
      <c r="CX13" t="b">
        <f t="shared" si="28"/>
        <v>0</v>
      </c>
      <c r="CY13" t="b">
        <f t="shared" si="28"/>
        <v>0</v>
      </c>
      <c r="CZ13" t="b">
        <f t="shared" si="28"/>
        <v>0</v>
      </c>
      <c r="DA13" t="b">
        <f t="shared" si="28"/>
        <v>0</v>
      </c>
      <c r="DB13" t="b">
        <f t="shared" si="28"/>
        <v>0</v>
      </c>
      <c r="DC13" t="b">
        <f t="shared" si="28"/>
        <v>0</v>
      </c>
      <c r="DD13" t="b">
        <f t="shared" si="29"/>
        <v>0</v>
      </c>
      <c r="DE13" t="b">
        <f t="shared" si="29"/>
        <v>0</v>
      </c>
      <c r="DF13" t="b">
        <f t="shared" si="29"/>
        <v>0</v>
      </c>
      <c r="DG13" t="b">
        <f t="shared" si="29"/>
        <v>0</v>
      </c>
      <c r="DH13" t="b">
        <f t="shared" si="29"/>
        <v>0</v>
      </c>
      <c r="DI13" t="b">
        <f t="shared" si="29"/>
        <v>0</v>
      </c>
      <c r="DJ13" t="b">
        <f t="shared" si="29"/>
        <v>0</v>
      </c>
      <c r="DK13" t="b">
        <f t="shared" si="29"/>
        <v>0</v>
      </c>
      <c r="DL13" t="b">
        <f t="shared" si="29"/>
        <v>0</v>
      </c>
      <c r="DM13" t="b">
        <f t="shared" si="29"/>
        <v>0</v>
      </c>
      <c r="DN13" t="b">
        <f t="shared" si="30"/>
        <v>0</v>
      </c>
      <c r="DO13" t="b">
        <f t="shared" si="30"/>
        <v>0</v>
      </c>
      <c r="DP13" t="b">
        <f t="shared" si="30"/>
        <v>0</v>
      </c>
      <c r="DQ13" t="b">
        <f t="shared" si="30"/>
        <v>0</v>
      </c>
      <c r="DR13" t="b">
        <f t="shared" si="30"/>
        <v>0</v>
      </c>
      <c r="DS13" t="b">
        <f t="shared" si="30"/>
        <v>0</v>
      </c>
      <c r="DT13" t="b">
        <f t="shared" si="30"/>
        <v>0</v>
      </c>
      <c r="DU13" t="b">
        <f t="shared" si="30"/>
        <v>0</v>
      </c>
      <c r="DV13" t="b">
        <f t="shared" si="30"/>
        <v>0</v>
      </c>
      <c r="DW13" t="b">
        <f t="shared" si="30"/>
        <v>0</v>
      </c>
      <c r="DX13" t="b">
        <f t="shared" si="31"/>
        <v>0</v>
      </c>
      <c r="DY13" t="b">
        <f t="shared" si="31"/>
        <v>0</v>
      </c>
      <c r="DZ13" t="b">
        <f t="shared" si="31"/>
        <v>0</v>
      </c>
      <c r="EA13" t="b">
        <f t="shared" si="31"/>
        <v>0</v>
      </c>
      <c r="EB13" t="b">
        <f t="shared" si="31"/>
        <v>0</v>
      </c>
      <c r="EC13" t="b">
        <f t="shared" si="31"/>
        <v>0</v>
      </c>
      <c r="ED13" t="b">
        <f t="shared" si="31"/>
        <v>0</v>
      </c>
      <c r="EE13" t="b">
        <f t="shared" si="31"/>
        <v>0</v>
      </c>
      <c r="EF13" t="b">
        <f t="shared" si="31"/>
        <v>0</v>
      </c>
      <c r="EG13" t="b">
        <f t="shared" si="31"/>
        <v>0</v>
      </c>
      <c r="EH13" t="b">
        <f t="shared" si="32"/>
        <v>0</v>
      </c>
      <c r="EI13" t="b">
        <f t="shared" si="32"/>
        <v>0</v>
      </c>
      <c r="EJ13" t="b">
        <f t="shared" si="32"/>
        <v>0</v>
      </c>
      <c r="EK13" t="b">
        <f t="shared" si="32"/>
        <v>0</v>
      </c>
      <c r="EL13" t="b">
        <f t="shared" si="32"/>
        <v>0</v>
      </c>
      <c r="EM13" t="b">
        <f t="shared" si="32"/>
        <v>0</v>
      </c>
      <c r="EN13" t="b">
        <f t="shared" si="32"/>
        <v>0</v>
      </c>
      <c r="EO13" t="b">
        <f t="shared" si="32"/>
        <v>0</v>
      </c>
      <c r="EP13" t="b">
        <f t="shared" si="32"/>
        <v>0</v>
      </c>
      <c r="EQ13" t="b">
        <f t="shared" si="32"/>
        <v>0</v>
      </c>
      <c r="ER13" t="b">
        <f t="shared" si="33"/>
        <v>0</v>
      </c>
      <c r="ES13" t="b">
        <f t="shared" si="33"/>
        <v>0</v>
      </c>
      <c r="ET13" t="b">
        <f t="shared" si="33"/>
        <v>0</v>
      </c>
      <c r="EU13" t="b">
        <f t="shared" si="33"/>
        <v>0</v>
      </c>
      <c r="EV13" t="b">
        <f t="shared" si="33"/>
        <v>0</v>
      </c>
      <c r="EW13" t="b">
        <f t="shared" si="33"/>
        <v>0</v>
      </c>
      <c r="EX13" t="b">
        <f t="shared" si="33"/>
        <v>0</v>
      </c>
      <c r="EY13" t="b">
        <f t="shared" si="33"/>
        <v>0</v>
      </c>
      <c r="EZ13" t="b">
        <f t="shared" si="33"/>
        <v>0</v>
      </c>
      <c r="FA13" t="b">
        <f t="shared" si="33"/>
        <v>0</v>
      </c>
      <c r="FB13" t="b">
        <f t="shared" si="34"/>
        <v>0</v>
      </c>
      <c r="FC13" t="b">
        <f t="shared" si="34"/>
        <v>0</v>
      </c>
      <c r="FD13" t="b">
        <f t="shared" si="34"/>
        <v>0</v>
      </c>
      <c r="FE13" t="b">
        <f t="shared" si="34"/>
        <v>0</v>
      </c>
      <c r="FF13" t="b">
        <f t="shared" si="34"/>
        <v>0</v>
      </c>
      <c r="FG13" t="b">
        <f t="shared" si="34"/>
        <v>0</v>
      </c>
      <c r="FH13" t="b">
        <f t="shared" si="34"/>
        <v>0</v>
      </c>
      <c r="FI13" t="b">
        <f t="shared" si="34"/>
        <v>0</v>
      </c>
      <c r="FJ13" t="b">
        <f t="shared" si="34"/>
        <v>0</v>
      </c>
      <c r="FK13" t="b">
        <f t="shared" si="34"/>
        <v>0</v>
      </c>
      <c r="FL13" t="b">
        <f t="shared" si="35"/>
        <v>0</v>
      </c>
      <c r="FM13" t="b">
        <f t="shared" si="35"/>
        <v>0</v>
      </c>
      <c r="FN13" t="b">
        <f t="shared" si="35"/>
        <v>0</v>
      </c>
      <c r="FO13" t="b">
        <f t="shared" si="35"/>
        <v>0</v>
      </c>
      <c r="FP13" t="b">
        <f t="shared" si="35"/>
        <v>0</v>
      </c>
      <c r="FQ13" t="b">
        <f t="shared" si="35"/>
        <v>0</v>
      </c>
      <c r="FR13" t="b">
        <f t="shared" si="35"/>
        <v>0</v>
      </c>
      <c r="FS13" t="b">
        <f t="shared" si="35"/>
        <v>0</v>
      </c>
      <c r="FT13" t="b">
        <f t="shared" si="35"/>
        <v>0</v>
      </c>
      <c r="FU13" t="b">
        <f t="shared" si="35"/>
        <v>0</v>
      </c>
      <c r="FV13" t="b">
        <f t="shared" si="36"/>
        <v>0</v>
      </c>
      <c r="FW13" t="b">
        <f t="shared" si="36"/>
        <v>0</v>
      </c>
      <c r="FX13" t="b">
        <f t="shared" si="36"/>
        <v>0</v>
      </c>
      <c r="FY13" t="b">
        <f t="shared" si="36"/>
        <v>0</v>
      </c>
      <c r="FZ13" t="b">
        <f t="shared" si="36"/>
        <v>0</v>
      </c>
      <c r="GA13" t="b">
        <f t="shared" si="36"/>
        <v>0</v>
      </c>
      <c r="GB13" t="b">
        <f t="shared" si="36"/>
        <v>0</v>
      </c>
      <c r="GC13" t="b">
        <f t="shared" si="36"/>
        <v>0</v>
      </c>
      <c r="GD13" t="b">
        <f t="shared" si="36"/>
        <v>0</v>
      </c>
      <c r="GE13" t="b">
        <f t="shared" si="36"/>
        <v>0</v>
      </c>
      <c r="GF13" t="b">
        <f t="shared" si="37"/>
        <v>0</v>
      </c>
      <c r="GG13" t="b">
        <f t="shared" si="37"/>
        <v>0</v>
      </c>
      <c r="GH13" t="b">
        <f t="shared" si="37"/>
        <v>0</v>
      </c>
      <c r="GI13" t="b">
        <f t="shared" si="37"/>
        <v>0</v>
      </c>
      <c r="GJ13" t="b">
        <f t="shared" si="37"/>
        <v>0</v>
      </c>
      <c r="GK13" t="b">
        <f t="shared" si="37"/>
        <v>0</v>
      </c>
      <c r="GL13" t="b">
        <f t="shared" si="37"/>
        <v>0</v>
      </c>
      <c r="GM13" t="b">
        <f t="shared" si="37"/>
        <v>0</v>
      </c>
      <c r="GN13" t="b">
        <f t="shared" si="37"/>
        <v>0</v>
      </c>
      <c r="GO13" t="b">
        <f t="shared" si="37"/>
        <v>0</v>
      </c>
      <c r="GP13" t="b">
        <f t="shared" si="38"/>
        <v>0</v>
      </c>
      <c r="GQ13" t="b">
        <f t="shared" si="38"/>
        <v>0</v>
      </c>
      <c r="GR13" t="b">
        <f t="shared" si="38"/>
        <v>0</v>
      </c>
      <c r="GS13" t="b">
        <f t="shared" si="38"/>
        <v>0</v>
      </c>
      <c r="GT13" t="b">
        <f t="shared" si="38"/>
        <v>0</v>
      </c>
      <c r="GU13" t="b">
        <f t="shared" si="38"/>
        <v>0</v>
      </c>
      <c r="GV13" t="b">
        <f t="shared" si="38"/>
        <v>0</v>
      </c>
      <c r="GW13" t="b">
        <f t="shared" si="38"/>
        <v>0</v>
      </c>
      <c r="GX13" t="b">
        <f t="shared" si="38"/>
        <v>0</v>
      </c>
      <c r="GY13" t="b">
        <f t="shared" si="38"/>
        <v>0</v>
      </c>
      <c r="GZ13" t="b">
        <f t="shared" si="38"/>
        <v>0</v>
      </c>
    </row>
    <row r="14" spans="1:208" hidden="1" x14ac:dyDescent="0.3">
      <c r="A14" t="s">
        <v>456</v>
      </c>
      <c r="B14" t="s">
        <v>457</v>
      </c>
      <c r="C14" t="s">
        <v>465</v>
      </c>
      <c r="D14" s="3">
        <v>29</v>
      </c>
      <c r="E14" s="3">
        <v>2</v>
      </c>
      <c r="F14" s="3">
        <v>13</v>
      </c>
      <c r="G14" s="3">
        <v>100</v>
      </c>
      <c r="H14" t="str">
        <f t="shared" si="19"/>
        <v>29-2</v>
      </c>
      <c r="I14" t="b">
        <v>1</v>
      </c>
      <c r="Q14" s="6">
        <v>14</v>
      </c>
      <c r="R14" t="b">
        <f t="shared" si="20"/>
        <v>0</v>
      </c>
      <c r="S14" t="b">
        <f t="shared" si="20"/>
        <v>0</v>
      </c>
      <c r="T14" t="b">
        <f t="shared" si="20"/>
        <v>0</v>
      </c>
      <c r="U14" t="b">
        <f t="shared" si="20"/>
        <v>0</v>
      </c>
      <c r="V14" t="b">
        <f t="shared" si="20"/>
        <v>0</v>
      </c>
      <c r="W14" t="b">
        <f t="shared" si="20"/>
        <v>0</v>
      </c>
      <c r="X14" t="b">
        <f t="shared" si="20"/>
        <v>0</v>
      </c>
      <c r="Y14" t="b">
        <f t="shared" si="20"/>
        <v>0</v>
      </c>
      <c r="Z14" t="b">
        <f t="shared" si="20"/>
        <v>0</v>
      </c>
      <c r="AA14" t="b">
        <f t="shared" si="20"/>
        <v>0</v>
      </c>
      <c r="AB14" t="b">
        <f t="shared" si="21"/>
        <v>0</v>
      </c>
      <c r="AC14" t="b">
        <f t="shared" si="21"/>
        <v>0</v>
      </c>
      <c r="AD14" t="b">
        <f t="shared" si="21"/>
        <v>0</v>
      </c>
      <c r="AE14" t="b">
        <f t="shared" si="21"/>
        <v>0</v>
      </c>
      <c r="AF14" t="b">
        <f t="shared" si="21"/>
        <v>0</v>
      </c>
      <c r="AG14" t="b">
        <f t="shared" si="21"/>
        <v>0</v>
      </c>
      <c r="AH14" t="b">
        <f t="shared" si="21"/>
        <v>0</v>
      </c>
      <c r="AI14" t="b">
        <f t="shared" si="21"/>
        <v>0</v>
      </c>
      <c r="AJ14" t="b">
        <f t="shared" si="21"/>
        <v>0</v>
      </c>
      <c r="AK14" t="b">
        <f t="shared" si="21"/>
        <v>0</v>
      </c>
      <c r="AL14" t="b">
        <f t="shared" si="22"/>
        <v>0</v>
      </c>
      <c r="AM14" t="b">
        <f t="shared" si="22"/>
        <v>0</v>
      </c>
      <c r="AN14" t="b">
        <f t="shared" si="22"/>
        <v>0</v>
      </c>
      <c r="AO14" t="b">
        <f t="shared" si="22"/>
        <v>0</v>
      </c>
      <c r="AP14" t="b">
        <f t="shared" si="22"/>
        <v>0</v>
      </c>
      <c r="AQ14" t="b">
        <f t="shared" si="22"/>
        <v>0</v>
      </c>
      <c r="AR14" t="b">
        <f t="shared" si="22"/>
        <v>0</v>
      </c>
      <c r="AS14" t="b">
        <f t="shared" si="22"/>
        <v>0</v>
      </c>
      <c r="AT14" t="b">
        <f t="shared" si="22"/>
        <v>0</v>
      </c>
      <c r="AU14" t="b">
        <f t="shared" si="22"/>
        <v>0</v>
      </c>
      <c r="AV14" t="b">
        <f t="shared" si="23"/>
        <v>0</v>
      </c>
      <c r="AW14" t="b">
        <f t="shared" si="23"/>
        <v>0</v>
      </c>
      <c r="AX14" t="b">
        <f t="shared" si="23"/>
        <v>0</v>
      </c>
      <c r="AY14" t="b">
        <f t="shared" si="23"/>
        <v>0</v>
      </c>
      <c r="AZ14" t="b">
        <f t="shared" si="23"/>
        <v>0</v>
      </c>
      <c r="BA14" t="b">
        <f t="shared" si="23"/>
        <v>0</v>
      </c>
      <c r="BB14" t="b">
        <f t="shared" si="23"/>
        <v>0</v>
      </c>
      <c r="BC14" t="b">
        <f t="shared" si="23"/>
        <v>0</v>
      </c>
      <c r="BD14" t="b">
        <f t="shared" si="23"/>
        <v>0</v>
      </c>
      <c r="BE14" t="b">
        <f t="shared" si="23"/>
        <v>0</v>
      </c>
      <c r="BF14" t="b">
        <f t="shared" si="24"/>
        <v>0</v>
      </c>
      <c r="BG14" t="b">
        <f t="shared" si="24"/>
        <v>0</v>
      </c>
      <c r="BH14" t="b">
        <f t="shared" si="24"/>
        <v>0</v>
      </c>
      <c r="BI14" t="b">
        <f t="shared" si="24"/>
        <v>0</v>
      </c>
      <c r="BJ14" t="b">
        <f t="shared" si="24"/>
        <v>0</v>
      </c>
      <c r="BK14" t="b">
        <f t="shared" si="24"/>
        <v>0</v>
      </c>
      <c r="BL14" t="b">
        <f t="shared" si="24"/>
        <v>0</v>
      </c>
      <c r="BM14" t="b">
        <f t="shared" si="24"/>
        <v>0</v>
      </c>
      <c r="BN14" t="b">
        <f t="shared" si="24"/>
        <v>0</v>
      </c>
      <c r="BO14" t="b">
        <f t="shared" si="24"/>
        <v>0</v>
      </c>
      <c r="BP14" t="b">
        <f t="shared" si="25"/>
        <v>0</v>
      </c>
      <c r="BQ14" t="b">
        <f t="shared" si="25"/>
        <v>0</v>
      </c>
      <c r="BR14" t="b">
        <f t="shared" si="25"/>
        <v>0</v>
      </c>
      <c r="BS14" t="b">
        <f t="shared" si="25"/>
        <v>0</v>
      </c>
      <c r="BT14" t="b">
        <f t="shared" si="25"/>
        <v>0</v>
      </c>
      <c r="BU14" t="b">
        <f t="shared" si="25"/>
        <v>0</v>
      </c>
      <c r="BV14" t="b">
        <f t="shared" si="25"/>
        <v>0</v>
      </c>
      <c r="BW14" t="b">
        <f t="shared" si="25"/>
        <v>0</v>
      </c>
      <c r="BX14" t="b">
        <f t="shared" si="25"/>
        <v>0</v>
      </c>
      <c r="BY14" t="b">
        <f t="shared" si="25"/>
        <v>0</v>
      </c>
      <c r="BZ14" t="b">
        <f t="shared" si="26"/>
        <v>0</v>
      </c>
      <c r="CA14" t="b">
        <f t="shared" si="26"/>
        <v>0</v>
      </c>
      <c r="CB14" t="b">
        <f t="shared" si="26"/>
        <v>0</v>
      </c>
      <c r="CC14" t="b">
        <f t="shared" si="26"/>
        <v>0</v>
      </c>
      <c r="CD14" t="b">
        <f t="shared" si="26"/>
        <v>0</v>
      </c>
      <c r="CE14" t="b">
        <f t="shared" si="26"/>
        <v>0</v>
      </c>
      <c r="CF14" t="b">
        <f t="shared" si="26"/>
        <v>0</v>
      </c>
      <c r="CG14" t="b">
        <f t="shared" si="26"/>
        <v>0</v>
      </c>
      <c r="CH14" t="b">
        <f t="shared" si="26"/>
        <v>0</v>
      </c>
      <c r="CI14" t="b">
        <f t="shared" si="26"/>
        <v>0</v>
      </c>
      <c r="CJ14" t="b">
        <f t="shared" si="27"/>
        <v>0</v>
      </c>
      <c r="CK14" t="b">
        <f t="shared" si="27"/>
        <v>0</v>
      </c>
      <c r="CL14" t="b">
        <f t="shared" si="27"/>
        <v>0</v>
      </c>
      <c r="CM14" t="b">
        <f t="shared" si="27"/>
        <v>0</v>
      </c>
      <c r="CN14" t="b">
        <f t="shared" si="27"/>
        <v>0</v>
      </c>
      <c r="CO14" t="b">
        <f t="shared" si="27"/>
        <v>0</v>
      </c>
      <c r="CP14" t="b">
        <f t="shared" si="27"/>
        <v>0</v>
      </c>
      <c r="CQ14" t="b">
        <f t="shared" si="27"/>
        <v>0</v>
      </c>
      <c r="CR14" t="b">
        <f t="shared" si="27"/>
        <v>0</v>
      </c>
      <c r="CS14" t="b">
        <f t="shared" si="27"/>
        <v>0</v>
      </c>
      <c r="CT14" t="b">
        <f t="shared" si="28"/>
        <v>0</v>
      </c>
      <c r="CU14" t="b">
        <f t="shared" si="28"/>
        <v>1</v>
      </c>
      <c r="CV14" t="b">
        <f t="shared" si="28"/>
        <v>0</v>
      </c>
      <c r="CW14" t="b">
        <f t="shared" si="28"/>
        <v>0</v>
      </c>
      <c r="CX14" t="b">
        <f t="shared" si="28"/>
        <v>0</v>
      </c>
      <c r="CY14" t="b">
        <f t="shared" si="28"/>
        <v>0</v>
      </c>
      <c r="CZ14" t="b">
        <f t="shared" si="28"/>
        <v>0</v>
      </c>
      <c r="DA14" t="b">
        <f t="shared" si="28"/>
        <v>0</v>
      </c>
      <c r="DB14" t="b">
        <f t="shared" si="28"/>
        <v>0</v>
      </c>
      <c r="DC14" t="b">
        <f t="shared" si="28"/>
        <v>0</v>
      </c>
      <c r="DD14" t="b">
        <f t="shared" si="29"/>
        <v>0</v>
      </c>
      <c r="DE14" t="b">
        <f t="shared" si="29"/>
        <v>0</v>
      </c>
      <c r="DF14" t="b">
        <f t="shared" si="29"/>
        <v>0</v>
      </c>
      <c r="DG14" t="b">
        <f t="shared" si="29"/>
        <v>0</v>
      </c>
      <c r="DH14" t="b">
        <f t="shared" si="29"/>
        <v>0</v>
      </c>
      <c r="DI14" t="b">
        <f t="shared" si="29"/>
        <v>0</v>
      </c>
      <c r="DJ14" t="b">
        <f t="shared" si="29"/>
        <v>0</v>
      </c>
      <c r="DK14" t="b">
        <f t="shared" si="29"/>
        <v>0</v>
      </c>
      <c r="DL14" t="b">
        <f t="shared" si="29"/>
        <v>0</v>
      </c>
      <c r="DM14" t="b">
        <f t="shared" si="29"/>
        <v>0</v>
      </c>
      <c r="DN14" t="b">
        <f t="shared" si="30"/>
        <v>0</v>
      </c>
      <c r="DO14" t="b">
        <f t="shared" si="30"/>
        <v>0</v>
      </c>
      <c r="DP14" t="b">
        <f t="shared" si="30"/>
        <v>0</v>
      </c>
      <c r="DQ14" t="b">
        <f t="shared" si="30"/>
        <v>0</v>
      </c>
      <c r="DR14" t="b">
        <f t="shared" si="30"/>
        <v>0</v>
      </c>
      <c r="DS14" t="b">
        <f t="shared" si="30"/>
        <v>0</v>
      </c>
      <c r="DT14" t="b">
        <f t="shared" si="30"/>
        <v>0</v>
      </c>
      <c r="DU14" t="b">
        <f t="shared" si="30"/>
        <v>0</v>
      </c>
      <c r="DV14" t="b">
        <f t="shared" si="30"/>
        <v>0</v>
      </c>
      <c r="DW14" t="b">
        <f t="shared" si="30"/>
        <v>0</v>
      </c>
      <c r="DX14" t="b">
        <f t="shared" si="31"/>
        <v>0</v>
      </c>
      <c r="DY14" t="b">
        <f t="shared" si="31"/>
        <v>0</v>
      </c>
      <c r="DZ14" t="b">
        <f t="shared" si="31"/>
        <v>0</v>
      </c>
      <c r="EA14" t="b">
        <f t="shared" si="31"/>
        <v>0</v>
      </c>
      <c r="EB14" t="b">
        <f t="shared" si="31"/>
        <v>0</v>
      </c>
      <c r="EC14" t="b">
        <f t="shared" si="31"/>
        <v>0</v>
      </c>
      <c r="ED14" t="b">
        <f t="shared" si="31"/>
        <v>0</v>
      </c>
      <c r="EE14" t="b">
        <f t="shared" si="31"/>
        <v>0</v>
      </c>
      <c r="EF14" t="b">
        <f t="shared" si="31"/>
        <v>0</v>
      </c>
      <c r="EG14" t="b">
        <f t="shared" si="31"/>
        <v>0</v>
      </c>
      <c r="EH14" t="b">
        <f t="shared" si="32"/>
        <v>0</v>
      </c>
      <c r="EI14" t="b">
        <f t="shared" si="32"/>
        <v>0</v>
      </c>
      <c r="EJ14" t="b">
        <f t="shared" si="32"/>
        <v>0</v>
      </c>
      <c r="EK14" t="b">
        <f t="shared" si="32"/>
        <v>0</v>
      </c>
      <c r="EL14" t="b">
        <f t="shared" si="32"/>
        <v>0</v>
      </c>
      <c r="EM14" t="b">
        <f t="shared" si="32"/>
        <v>0</v>
      </c>
      <c r="EN14" t="b">
        <f t="shared" si="32"/>
        <v>0</v>
      </c>
      <c r="EO14" t="b">
        <f t="shared" si="32"/>
        <v>0</v>
      </c>
      <c r="EP14" t="b">
        <f t="shared" si="32"/>
        <v>0</v>
      </c>
      <c r="EQ14" t="b">
        <f t="shared" si="32"/>
        <v>0</v>
      </c>
      <c r="ER14" t="b">
        <f t="shared" si="33"/>
        <v>0</v>
      </c>
      <c r="ES14" t="b">
        <f t="shared" si="33"/>
        <v>0</v>
      </c>
      <c r="ET14" t="b">
        <f t="shared" si="33"/>
        <v>0</v>
      </c>
      <c r="EU14" t="b">
        <f t="shared" si="33"/>
        <v>0</v>
      </c>
      <c r="EV14" t="b">
        <f t="shared" si="33"/>
        <v>0</v>
      </c>
      <c r="EW14" t="b">
        <f t="shared" si="33"/>
        <v>0</v>
      </c>
      <c r="EX14" t="b">
        <f t="shared" si="33"/>
        <v>0</v>
      </c>
      <c r="EY14" t="b">
        <f t="shared" si="33"/>
        <v>0</v>
      </c>
      <c r="EZ14" t="b">
        <f t="shared" si="33"/>
        <v>0</v>
      </c>
      <c r="FA14" t="b">
        <f t="shared" si="33"/>
        <v>0</v>
      </c>
      <c r="FB14" t="b">
        <f t="shared" si="34"/>
        <v>0</v>
      </c>
      <c r="FC14" t="b">
        <f t="shared" si="34"/>
        <v>0</v>
      </c>
      <c r="FD14" t="b">
        <f t="shared" si="34"/>
        <v>0</v>
      </c>
      <c r="FE14" t="b">
        <f t="shared" si="34"/>
        <v>0</v>
      </c>
      <c r="FF14" t="b">
        <f t="shared" si="34"/>
        <v>0</v>
      </c>
      <c r="FG14" t="b">
        <f t="shared" si="34"/>
        <v>0</v>
      </c>
      <c r="FH14" t="b">
        <f t="shared" si="34"/>
        <v>0</v>
      </c>
      <c r="FI14" t="b">
        <f t="shared" si="34"/>
        <v>0</v>
      </c>
      <c r="FJ14" t="b">
        <f t="shared" si="34"/>
        <v>0</v>
      </c>
      <c r="FK14" t="b">
        <f t="shared" si="34"/>
        <v>0</v>
      </c>
      <c r="FL14" t="b">
        <f t="shared" si="35"/>
        <v>0</v>
      </c>
      <c r="FM14" t="b">
        <f t="shared" si="35"/>
        <v>0</v>
      </c>
      <c r="FN14" t="b">
        <f t="shared" si="35"/>
        <v>0</v>
      </c>
      <c r="FO14" t="b">
        <f t="shared" si="35"/>
        <v>0</v>
      </c>
      <c r="FP14" t="b">
        <f t="shared" si="35"/>
        <v>0</v>
      </c>
      <c r="FQ14" t="b">
        <f t="shared" si="35"/>
        <v>0</v>
      </c>
      <c r="FR14" t="b">
        <f t="shared" si="35"/>
        <v>0</v>
      </c>
      <c r="FS14" t="b">
        <f t="shared" si="35"/>
        <v>0</v>
      </c>
      <c r="FT14" t="b">
        <f t="shared" si="35"/>
        <v>0</v>
      </c>
      <c r="FU14" t="b">
        <f t="shared" si="35"/>
        <v>0</v>
      </c>
      <c r="FV14" t="b">
        <f t="shared" si="36"/>
        <v>0</v>
      </c>
      <c r="FW14" t="b">
        <f t="shared" si="36"/>
        <v>0</v>
      </c>
      <c r="FX14" t="b">
        <f t="shared" si="36"/>
        <v>0</v>
      </c>
      <c r="FY14" t="b">
        <f t="shared" si="36"/>
        <v>0</v>
      </c>
      <c r="FZ14" t="b">
        <f t="shared" si="36"/>
        <v>0</v>
      </c>
      <c r="GA14" t="b">
        <f t="shared" si="36"/>
        <v>0</v>
      </c>
      <c r="GB14" t="b">
        <f t="shared" si="36"/>
        <v>0</v>
      </c>
      <c r="GC14" t="b">
        <f t="shared" si="36"/>
        <v>0</v>
      </c>
      <c r="GD14" t="b">
        <f t="shared" si="36"/>
        <v>0</v>
      </c>
      <c r="GE14" t="b">
        <f t="shared" si="36"/>
        <v>0</v>
      </c>
      <c r="GF14" t="b">
        <f t="shared" si="37"/>
        <v>0</v>
      </c>
      <c r="GG14" t="b">
        <f t="shared" si="37"/>
        <v>0</v>
      </c>
      <c r="GH14" t="b">
        <f t="shared" si="37"/>
        <v>0</v>
      </c>
      <c r="GI14" t="b">
        <f t="shared" si="37"/>
        <v>0</v>
      </c>
      <c r="GJ14" t="b">
        <f t="shared" si="37"/>
        <v>0</v>
      </c>
      <c r="GK14" t="b">
        <f t="shared" si="37"/>
        <v>0</v>
      </c>
      <c r="GL14" t="b">
        <f t="shared" si="37"/>
        <v>0</v>
      </c>
      <c r="GM14" t="b">
        <f t="shared" si="37"/>
        <v>0</v>
      </c>
      <c r="GN14" t="b">
        <f t="shared" si="37"/>
        <v>0</v>
      </c>
      <c r="GO14" t="b">
        <f t="shared" si="37"/>
        <v>0</v>
      </c>
      <c r="GP14" t="b">
        <f t="shared" si="38"/>
        <v>0</v>
      </c>
      <c r="GQ14" t="b">
        <f t="shared" si="38"/>
        <v>0</v>
      </c>
      <c r="GR14" t="b">
        <f t="shared" si="38"/>
        <v>0</v>
      </c>
      <c r="GS14" t="b">
        <f t="shared" si="38"/>
        <v>0</v>
      </c>
      <c r="GT14" t="b">
        <f t="shared" si="38"/>
        <v>0</v>
      </c>
      <c r="GU14" t="b">
        <f t="shared" si="38"/>
        <v>0</v>
      </c>
      <c r="GV14" t="b">
        <f t="shared" si="38"/>
        <v>0</v>
      </c>
      <c r="GW14" t="b">
        <f t="shared" si="38"/>
        <v>0</v>
      </c>
      <c r="GX14" t="b">
        <f t="shared" si="38"/>
        <v>0</v>
      </c>
      <c r="GY14" t="b">
        <f t="shared" si="38"/>
        <v>0</v>
      </c>
      <c r="GZ14" t="b">
        <f t="shared" si="38"/>
        <v>0</v>
      </c>
    </row>
    <row r="15" spans="1:208" hidden="1" x14ac:dyDescent="0.3">
      <c r="A15" t="s">
        <v>456</v>
      </c>
      <c r="B15" t="s">
        <v>457</v>
      </c>
      <c r="C15" t="s">
        <v>466</v>
      </c>
      <c r="D15" s="3">
        <v>29</v>
      </c>
      <c r="E15" s="3">
        <v>2</v>
      </c>
      <c r="F15" s="3">
        <v>14</v>
      </c>
      <c r="G15" s="3">
        <v>90</v>
      </c>
      <c r="H15" t="str">
        <f t="shared" si="19"/>
        <v>29-2</v>
      </c>
      <c r="I15" t="b">
        <v>1</v>
      </c>
      <c r="Q15" s="6">
        <v>15</v>
      </c>
      <c r="R15" t="b">
        <f t="shared" si="20"/>
        <v>0</v>
      </c>
      <c r="S15" t="b">
        <f t="shared" si="20"/>
        <v>0</v>
      </c>
      <c r="T15" t="b">
        <f t="shared" si="20"/>
        <v>0</v>
      </c>
      <c r="U15" t="b">
        <f t="shared" si="20"/>
        <v>0</v>
      </c>
      <c r="V15" t="b">
        <f t="shared" si="20"/>
        <v>0</v>
      </c>
      <c r="W15" t="b">
        <f t="shared" si="20"/>
        <v>0</v>
      </c>
      <c r="X15" t="b">
        <f t="shared" si="20"/>
        <v>0</v>
      </c>
      <c r="Y15" t="b">
        <f t="shared" si="20"/>
        <v>0</v>
      </c>
      <c r="Z15" t="b">
        <f t="shared" si="20"/>
        <v>0</v>
      </c>
      <c r="AA15" t="b">
        <f t="shared" si="20"/>
        <v>0</v>
      </c>
      <c r="AB15" t="b">
        <f t="shared" si="21"/>
        <v>0</v>
      </c>
      <c r="AC15" t="b">
        <f t="shared" si="21"/>
        <v>0</v>
      </c>
      <c r="AD15" t="b">
        <f t="shared" si="21"/>
        <v>0</v>
      </c>
      <c r="AE15" t="b">
        <f t="shared" si="21"/>
        <v>0</v>
      </c>
      <c r="AF15" t="b">
        <f t="shared" si="21"/>
        <v>0</v>
      </c>
      <c r="AG15" t="b">
        <f t="shared" si="21"/>
        <v>0</v>
      </c>
      <c r="AH15" t="b">
        <f t="shared" si="21"/>
        <v>0</v>
      </c>
      <c r="AI15" t="b">
        <f t="shared" si="21"/>
        <v>0</v>
      </c>
      <c r="AJ15" t="b">
        <f t="shared" si="21"/>
        <v>0</v>
      </c>
      <c r="AK15" t="b">
        <f t="shared" si="21"/>
        <v>0</v>
      </c>
      <c r="AL15" t="b">
        <f t="shared" si="22"/>
        <v>0</v>
      </c>
      <c r="AM15" t="b">
        <f t="shared" si="22"/>
        <v>0</v>
      </c>
      <c r="AN15" t="b">
        <f t="shared" si="22"/>
        <v>0</v>
      </c>
      <c r="AO15" t="b">
        <f t="shared" si="22"/>
        <v>0</v>
      </c>
      <c r="AP15" t="b">
        <f t="shared" si="22"/>
        <v>0</v>
      </c>
      <c r="AQ15" t="b">
        <f t="shared" si="22"/>
        <v>0</v>
      </c>
      <c r="AR15" t="b">
        <f t="shared" si="22"/>
        <v>0</v>
      </c>
      <c r="AS15" t="b">
        <f t="shared" si="22"/>
        <v>0</v>
      </c>
      <c r="AT15" t="b">
        <f t="shared" si="22"/>
        <v>0</v>
      </c>
      <c r="AU15" t="b">
        <f t="shared" si="22"/>
        <v>0</v>
      </c>
      <c r="AV15" t="b">
        <f t="shared" si="23"/>
        <v>0</v>
      </c>
      <c r="AW15" t="b">
        <f t="shared" si="23"/>
        <v>0</v>
      </c>
      <c r="AX15" t="b">
        <f t="shared" si="23"/>
        <v>0</v>
      </c>
      <c r="AY15" t="b">
        <f t="shared" si="23"/>
        <v>0</v>
      </c>
      <c r="AZ15" t="b">
        <f t="shared" si="23"/>
        <v>0</v>
      </c>
      <c r="BA15" t="b">
        <f t="shared" si="23"/>
        <v>0</v>
      </c>
      <c r="BB15" t="b">
        <f t="shared" si="23"/>
        <v>0</v>
      </c>
      <c r="BC15" t="b">
        <f t="shared" si="23"/>
        <v>0</v>
      </c>
      <c r="BD15" t="b">
        <f t="shared" si="23"/>
        <v>0</v>
      </c>
      <c r="BE15" t="b">
        <f t="shared" si="23"/>
        <v>0</v>
      </c>
      <c r="BF15" t="b">
        <f t="shared" si="24"/>
        <v>0</v>
      </c>
      <c r="BG15" t="b">
        <f t="shared" si="24"/>
        <v>0</v>
      </c>
      <c r="BH15" t="b">
        <f t="shared" si="24"/>
        <v>0</v>
      </c>
      <c r="BI15" t="b">
        <f t="shared" si="24"/>
        <v>0</v>
      </c>
      <c r="BJ15" t="b">
        <f t="shared" si="24"/>
        <v>0</v>
      </c>
      <c r="BK15" t="b">
        <f t="shared" si="24"/>
        <v>0</v>
      </c>
      <c r="BL15" t="b">
        <f t="shared" si="24"/>
        <v>0</v>
      </c>
      <c r="BM15" t="b">
        <f t="shared" si="24"/>
        <v>0</v>
      </c>
      <c r="BN15" t="b">
        <f t="shared" si="24"/>
        <v>0</v>
      </c>
      <c r="BO15" t="b">
        <f t="shared" si="24"/>
        <v>0</v>
      </c>
      <c r="BP15" t="b">
        <f t="shared" si="25"/>
        <v>0</v>
      </c>
      <c r="BQ15" t="b">
        <f t="shared" si="25"/>
        <v>0</v>
      </c>
      <c r="BR15" t="b">
        <f t="shared" si="25"/>
        <v>0</v>
      </c>
      <c r="BS15" t="b">
        <f t="shared" si="25"/>
        <v>0</v>
      </c>
      <c r="BT15" t="b">
        <f t="shared" si="25"/>
        <v>0</v>
      </c>
      <c r="BU15" t="b">
        <f t="shared" si="25"/>
        <v>0</v>
      </c>
      <c r="BV15" t="b">
        <f t="shared" si="25"/>
        <v>0</v>
      </c>
      <c r="BW15" t="b">
        <f t="shared" si="25"/>
        <v>0</v>
      </c>
      <c r="BX15" t="b">
        <f t="shared" si="25"/>
        <v>0</v>
      </c>
      <c r="BY15" t="b">
        <f t="shared" si="25"/>
        <v>0</v>
      </c>
      <c r="BZ15" t="b">
        <f t="shared" si="26"/>
        <v>0</v>
      </c>
      <c r="CA15" t="b">
        <f t="shared" si="26"/>
        <v>0</v>
      </c>
      <c r="CB15" t="b">
        <f t="shared" si="26"/>
        <v>0</v>
      </c>
      <c r="CC15" t="b">
        <f t="shared" si="26"/>
        <v>0</v>
      </c>
      <c r="CD15" t="b">
        <f t="shared" si="26"/>
        <v>0</v>
      </c>
      <c r="CE15" t="b">
        <f t="shared" si="26"/>
        <v>0</v>
      </c>
      <c r="CF15" t="b">
        <f t="shared" si="26"/>
        <v>0</v>
      </c>
      <c r="CG15" t="b">
        <f t="shared" si="26"/>
        <v>0</v>
      </c>
      <c r="CH15" t="b">
        <f t="shared" si="26"/>
        <v>0</v>
      </c>
      <c r="CI15" t="b">
        <f t="shared" si="26"/>
        <v>0</v>
      </c>
      <c r="CJ15" t="b">
        <f t="shared" si="27"/>
        <v>0</v>
      </c>
      <c r="CK15" t="b">
        <f t="shared" si="27"/>
        <v>0</v>
      </c>
      <c r="CL15" t="b">
        <f t="shared" si="27"/>
        <v>0</v>
      </c>
      <c r="CM15" t="b">
        <f t="shared" si="27"/>
        <v>0</v>
      </c>
      <c r="CN15" t="b">
        <f t="shared" si="27"/>
        <v>0</v>
      </c>
      <c r="CO15" t="b">
        <f t="shared" si="27"/>
        <v>0</v>
      </c>
      <c r="CP15" t="b">
        <f t="shared" si="27"/>
        <v>0</v>
      </c>
      <c r="CQ15" t="b">
        <f t="shared" si="27"/>
        <v>0</v>
      </c>
      <c r="CR15" t="b">
        <f t="shared" si="27"/>
        <v>0</v>
      </c>
      <c r="CS15" t="b">
        <f t="shared" si="27"/>
        <v>0</v>
      </c>
      <c r="CT15" t="b">
        <f t="shared" si="28"/>
        <v>0</v>
      </c>
      <c r="CU15" t="b">
        <f t="shared" si="28"/>
        <v>0</v>
      </c>
      <c r="CV15" t="b">
        <f t="shared" si="28"/>
        <v>0</v>
      </c>
      <c r="CW15" t="b">
        <f t="shared" si="28"/>
        <v>0</v>
      </c>
      <c r="CX15" t="b">
        <f t="shared" si="28"/>
        <v>0</v>
      </c>
      <c r="CY15" t="b">
        <f t="shared" si="28"/>
        <v>0</v>
      </c>
      <c r="CZ15" t="b">
        <f t="shared" si="28"/>
        <v>0</v>
      </c>
      <c r="DA15" t="b">
        <f t="shared" si="28"/>
        <v>1</v>
      </c>
      <c r="DB15" t="b">
        <f t="shared" si="28"/>
        <v>0</v>
      </c>
      <c r="DC15" t="b">
        <f t="shared" si="28"/>
        <v>0</v>
      </c>
      <c r="DD15" t="b">
        <f t="shared" si="29"/>
        <v>0</v>
      </c>
      <c r="DE15" t="b">
        <f t="shared" si="29"/>
        <v>0</v>
      </c>
      <c r="DF15" t="b">
        <f t="shared" si="29"/>
        <v>0</v>
      </c>
      <c r="DG15" t="b">
        <f t="shared" si="29"/>
        <v>0</v>
      </c>
      <c r="DH15" t="b">
        <f t="shared" si="29"/>
        <v>0</v>
      </c>
      <c r="DI15" t="b">
        <f t="shared" si="29"/>
        <v>0</v>
      </c>
      <c r="DJ15" t="b">
        <f t="shared" si="29"/>
        <v>0</v>
      </c>
      <c r="DK15" t="b">
        <f t="shared" si="29"/>
        <v>0</v>
      </c>
      <c r="DL15" t="b">
        <f t="shared" si="29"/>
        <v>0</v>
      </c>
      <c r="DM15" t="b">
        <f t="shared" si="29"/>
        <v>0</v>
      </c>
      <c r="DN15" t="b">
        <f t="shared" si="30"/>
        <v>0</v>
      </c>
      <c r="DO15" t="b">
        <f t="shared" si="30"/>
        <v>0</v>
      </c>
      <c r="DP15" t="b">
        <f t="shared" si="30"/>
        <v>0</v>
      </c>
      <c r="DQ15" t="b">
        <f t="shared" si="30"/>
        <v>1</v>
      </c>
      <c r="DR15" t="b">
        <f t="shared" si="30"/>
        <v>0</v>
      </c>
      <c r="DS15" t="b">
        <f t="shared" si="30"/>
        <v>0</v>
      </c>
      <c r="DT15" t="b">
        <f t="shared" si="30"/>
        <v>0</v>
      </c>
      <c r="DU15" t="b">
        <f t="shared" si="30"/>
        <v>0</v>
      </c>
      <c r="DV15" t="b">
        <f t="shared" si="30"/>
        <v>0</v>
      </c>
      <c r="DW15" t="b">
        <f t="shared" si="30"/>
        <v>0</v>
      </c>
      <c r="DX15" t="b">
        <f t="shared" si="31"/>
        <v>0</v>
      </c>
      <c r="DY15" t="b">
        <f t="shared" si="31"/>
        <v>0</v>
      </c>
      <c r="DZ15" t="b">
        <f t="shared" si="31"/>
        <v>0</v>
      </c>
      <c r="EA15" t="b">
        <f t="shared" si="31"/>
        <v>0</v>
      </c>
      <c r="EB15" t="b">
        <f t="shared" si="31"/>
        <v>0</v>
      </c>
      <c r="EC15" t="b">
        <f t="shared" si="31"/>
        <v>0</v>
      </c>
      <c r="ED15" t="b">
        <f t="shared" si="31"/>
        <v>0</v>
      </c>
      <c r="EE15" t="b">
        <f t="shared" si="31"/>
        <v>0</v>
      </c>
      <c r="EF15" t="b">
        <f t="shared" si="31"/>
        <v>0</v>
      </c>
      <c r="EG15" t="b">
        <f t="shared" si="31"/>
        <v>0</v>
      </c>
      <c r="EH15" t="b">
        <f t="shared" si="32"/>
        <v>0</v>
      </c>
      <c r="EI15" t="b">
        <f t="shared" si="32"/>
        <v>0</v>
      </c>
      <c r="EJ15" t="b">
        <f t="shared" si="32"/>
        <v>0</v>
      </c>
      <c r="EK15" t="b">
        <f t="shared" si="32"/>
        <v>0</v>
      </c>
      <c r="EL15" t="b">
        <f t="shared" si="32"/>
        <v>0</v>
      </c>
      <c r="EM15" t="b">
        <f t="shared" si="32"/>
        <v>0</v>
      </c>
      <c r="EN15" t="b">
        <f t="shared" si="32"/>
        <v>0</v>
      </c>
      <c r="EO15" t="b">
        <f t="shared" si="32"/>
        <v>0</v>
      </c>
      <c r="EP15" t="b">
        <f t="shared" si="32"/>
        <v>0</v>
      </c>
      <c r="EQ15" t="b">
        <f t="shared" si="32"/>
        <v>0</v>
      </c>
      <c r="ER15" t="b">
        <f t="shared" si="33"/>
        <v>0</v>
      </c>
      <c r="ES15" t="b">
        <f t="shared" si="33"/>
        <v>0</v>
      </c>
      <c r="ET15" t="b">
        <f t="shared" si="33"/>
        <v>0</v>
      </c>
      <c r="EU15" t="b">
        <f t="shared" si="33"/>
        <v>0</v>
      </c>
      <c r="EV15" t="b">
        <f t="shared" si="33"/>
        <v>0</v>
      </c>
      <c r="EW15" t="b">
        <f t="shared" si="33"/>
        <v>0</v>
      </c>
      <c r="EX15" t="b">
        <f t="shared" si="33"/>
        <v>0</v>
      </c>
      <c r="EY15" t="b">
        <f t="shared" si="33"/>
        <v>0</v>
      </c>
      <c r="EZ15" t="b">
        <f t="shared" si="33"/>
        <v>0</v>
      </c>
      <c r="FA15" t="b">
        <f t="shared" si="33"/>
        <v>0</v>
      </c>
      <c r="FB15" t="b">
        <f t="shared" si="34"/>
        <v>0</v>
      </c>
      <c r="FC15" t="b">
        <f t="shared" si="34"/>
        <v>0</v>
      </c>
      <c r="FD15" t="b">
        <f t="shared" si="34"/>
        <v>0</v>
      </c>
      <c r="FE15" t="b">
        <f t="shared" si="34"/>
        <v>0</v>
      </c>
      <c r="FF15" t="b">
        <f t="shared" si="34"/>
        <v>0</v>
      </c>
      <c r="FG15" t="b">
        <f t="shared" si="34"/>
        <v>0</v>
      </c>
      <c r="FH15" t="b">
        <f t="shared" si="34"/>
        <v>0</v>
      </c>
      <c r="FI15" t="b">
        <f t="shared" si="34"/>
        <v>0</v>
      </c>
      <c r="FJ15" t="b">
        <f t="shared" si="34"/>
        <v>0</v>
      </c>
      <c r="FK15" t="b">
        <f t="shared" si="34"/>
        <v>0</v>
      </c>
      <c r="FL15" t="b">
        <f t="shared" si="35"/>
        <v>0</v>
      </c>
      <c r="FM15" t="b">
        <f t="shared" si="35"/>
        <v>0</v>
      </c>
      <c r="FN15" t="b">
        <f t="shared" si="35"/>
        <v>0</v>
      </c>
      <c r="FO15" t="b">
        <f t="shared" si="35"/>
        <v>0</v>
      </c>
      <c r="FP15" t="b">
        <f t="shared" si="35"/>
        <v>0</v>
      </c>
      <c r="FQ15" t="b">
        <f t="shared" si="35"/>
        <v>0</v>
      </c>
      <c r="FR15" t="b">
        <f t="shared" si="35"/>
        <v>0</v>
      </c>
      <c r="FS15" t="b">
        <f t="shared" si="35"/>
        <v>0</v>
      </c>
      <c r="FT15" t="b">
        <f t="shared" si="35"/>
        <v>0</v>
      </c>
      <c r="FU15" t="b">
        <f t="shared" si="35"/>
        <v>0</v>
      </c>
      <c r="FV15" t="b">
        <f t="shared" si="36"/>
        <v>0</v>
      </c>
      <c r="FW15" t="b">
        <f t="shared" si="36"/>
        <v>0</v>
      </c>
      <c r="FX15" t="b">
        <f t="shared" si="36"/>
        <v>0</v>
      </c>
      <c r="FY15" t="b">
        <f t="shared" si="36"/>
        <v>0</v>
      </c>
      <c r="FZ15" t="b">
        <f t="shared" si="36"/>
        <v>0</v>
      </c>
      <c r="GA15" t="b">
        <f t="shared" si="36"/>
        <v>0</v>
      </c>
      <c r="GB15" t="b">
        <f t="shared" si="36"/>
        <v>0</v>
      </c>
      <c r="GC15" t="b">
        <f t="shared" si="36"/>
        <v>0</v>
      </c>
      <c r="GD15" t="b">
        <f t="shared" si="36"/>
        <v>0</v>
      </c>
      <c r="GE15" t="b">
        <f t="shared" si="36"/>
        <v>0</v>
      </c>
      <c r="GF15" t="b">
        <f t="shared" si="37"/>
        <v>0</v>
      </c>
      <c r="GG15" t="b">
        <f t="shared" si="37"/>
        <v>0</v>
      </c>
      <c r="GH15" t="b">
        <f t="shared" si="37"/>
        <v>0</v>
      </c>
      <c r="GI15" t="b">
        <f t="shared" si="37"/>
        <v>0</v>
      </c>
      <c r="GJ15" t="b">
        <f t="shared" si="37"/>
        <v>0</v>
      </c>
      <c r="GK15" t="b">
        <f t="shared" si="37"/>
        <v>0</v>
      </c>
      <c r="GL15" t="b">
        <f t="shared" si="37"/>
        <v>0</v>
      </c>
      <c r="GM15" t="b">
        <f t="shared" si="37"/>
        <v>0</v>
      </c>
      <c r="GN15" t="b">
        <f t="shared" si="37"/>
        <v>0</v>
      </c>
      <c r="GO15" t="b">
        <f t="shared" si="37"/>
        <v>0</v>
      </c>
      <c r="GP15" t="b">
        <f t="shared" si="38"/>
        <v>0</v>
      </c>
      <c r="GQ15" t="b">
        <f t="shared" si="38"/>
        <v>0</v>
      </c>
      <c r="GR15" t="b">
        <f t="shared" si="38"/>
        <v>0</v>
      </c>
      <c r="GS15" t="b">
        <f t="shared" si="38"/>
        <v>0</v>
      </c>
      <c r="GT15" t="b">
        <f t="shared" si="38"/>
        <v>0</v>
      </c>
      <c r="GU15" t="b">
        <f t="shared" si="38"/>
        <v>0</v>
      </c>
      <c r="GV15" t="b">
        <f t="shared" si="38"/>
        <v>0</v>
      </c>
      <c r="GW15" t="b">
        <f t="shared" si="38"/>
        <v>0</v>
      </c>
      <c r="GX15" t="b">
        <f t="shared" si="38"/>
        <v>0</v>
      </c>
      <c r="GY15" t="b">
        <f t="shared" si="38"/>
        <v>0</v>
      </c>
      <c r="GZ15" t="b">
        <f t="shared" si="38"/>
        <v>0</v>
      </c>
    </row>
    <row r="16" spans="1:208" hidden="1" x14ac:dyDescent="0.3">
      <c r="A16" t="s">
        <v>536</v>
      </c>
      <c r="B16" t="s">
        <v>542</v>
      </c>
      <c r="C16" t="s">
        <v>543</v>
      </c>
      <c r="D16" s="3">
        <v>30</v>
      </c>
      <c r="E16" s="3">
        <v>3</v>
      </c>
      <c r="F16" s="3">
        <v>15</v>
      </c>
      <c r="G16" s="3">
        <v>380</v>
      </c>
      <c r="H16" t="str">
        <f t="shared" si="19"/>
        <v>30-3</v>
      </c>
      <c r="I16" t="b">
        <v>1</v>
      </c>
      <c r="Q16" s="6">
        <v>16</v>
      </c>
      <c r="R16" t="b">
        <f t="shared" si="20"/>
        <v>0</v>
      </c>
      <c r="S16" t="b">
        <f t="shared" si="20"/>
        <v>0</v>
      </c>
      <c r="T16" t="b">
        <f t="shared" si="20"/>
        <v>0</v>
      </c>
      <c r="U16" t="b">
        <f t="shared" si="20"/>
        <v>0</v>
      </c>
      <c r="V16" t="b">
        <f t="shared" si="20"/>
        <v>0</v>
      </c>
      <c r="W16" t="b">
        <f t="shared" si="20"/>
        <v>0</v>
      </c>
      <c r="X16" t="b">
        <f t="shared" si="20"/>
        <v>0</v>
      </c>
      <c r="Y16" t="b">
        <f t="shared" si="20"/>
        <v>0</v>
      </c>
      <c r="Z16" t="b">
        <f t="shared" si="20"/>
        <v>0</v>
      </c>
      <c r="AA16" t="b">
        <f t="shared" si="20"/>
        <v>0</v>
      </c>
      <c r="AB16" t="b">
        <f t="shared" si="21"/>
        <v>0</v>
      </c>
      <c r="AC16" t="b">
        <f t="shared" si="21"/>
        <v>0</v>
      </c>
      <c r="AD16" t="b">
        <f t="shared" si="21"/>
        <v>0</v>
      </c>
      <c r="AE16" t="b">
        <f t="shared" si="21"/>
        <v>0</v>
      </c>
      <c r="AF16" t="b">
        <f t="shared" si="21"/>
        <v>0</v>
      </c>
      <c r="AG16" t="b">
        <f t="shared" si="21"/>
        <v>0</v>
      </c>
      <c r="AH16" t="b">
        <f t="shared" si="21"/>
        <v>0</v>
      </c>
      <c r="AI16" t="b">
        <f t="shared" si="21"/>
        <v>0</v>
      </c>
      <c r="AJ16" t="b">
        <f t="shared" si="21"/>
        <v>0</v>
      </c>
      <c r="AK16" t="b">
        <f t="shared" si="21"/>
        <v>0</v>
      </c>
      <c r="AL16" t="b">
        <f t="shared" si="22"/>
        <v>0</v>
      </c>
      <c r="AM16" t="b">
        <f t="shared" si="22"/>
        <v>0</v>
      </c>
      <c r="AN16" t="b">
        <f t="shared" si="22"/>
        <v>0</v>
      </c>
      <c r="AO16" t="b">
        <f t="shared" si="22"/>
        <v>0</v>
      </c>
      <c r="AP16" t="b">
        <f t="shared" si="22"/>
        <v>0</v>
      </c>
      <c r="AQ16" t="b">
        <f t="shared" si="22"/>
        <v>0</v>
      </c>
      <c r="AR16" t="b">
        <f t="shared" si="22"/>
        <v>0</v>
      </c>
      <c r="AS16" t="b">
        <f t="shared" si="22"/>
        <v>0</v>
      </c>
      <c r="AT16" t="b">
        <f t="shared" si="22"/>
        <v>0</v>
      </c>
      <c r="AU16" t="b">
        <f t="shared" si="22"/>
        <v>0</v>
      </c>
      <c r="AV16" t="b">
        <f t="shared" si="23"/>
        <v>1</v>
      </c>
      <c r="AW16" t="b">
        <f t="shared" si="23"/>
        <v>1</v>
      </c>
      <c r="AX16" t="b">
        <f t="shared" si="23"/>
        <v>0</v>
      </c>
      <c r="AY16" t="b">
        <f t="shared" si="23"/>
        <v>0</v>
      </c>
      <c r="AZ16" t="b">
        <f t="shared" si="23"/>
        <v>0</v>
      </c>
      <c r="BA16" t="b">
        <f t="shared" si="23"/>
        <v>0</v>
      </c>
      <c r="BB16" t="b">
        <f t="shared" si="23"/>
        <v>0</v>
      </c>
      <c r="BC16" t="b">
        <f t="shared" si="23"/>
        <v>0</v>
      </c>
      <c r="BD16" t="b">
        <f t="shared" si="23"/>
        <v>0</v>
      </c>
      <c r="BE16" t="b">
        <f t="shared" si="23"/>
        <v>0</v>
      </c>
      <c r="BF16" t="b">
        <f t="shared" si="24"/>
        <v>0</v>
      </c>
      <c r="BG16" t="b">
        <f t="shared" si="24"/>
        <v>0</v>
      </c>
      <c r="BH16" t="b">
        <f t="shared" si="24"/>
        <v>0</v>
      </c>
      <c r="BI16" t="b">
        <f t="shared" si="24"/>
        <v>0</v>
      </c>
      <c r="BJ16" t="b">
        <f t="shared" si="24"/>
        <v>0</v>
      </c>
      <c r="BK16" t="b">
        <f t="shared" si="24"/>
        <v>0</v>
      </c>
      <c r="BL16" t="b">
        <f t="shared" si="24"/>
        <v>0</v>
      </c>
      <c r="BM16" t="b">
        <f t="shared" si="24"/>
        <v>0</v>
      </c>
      <c r="BN16" t="b">
        <f t="shared" si="24"/>
        <v>0</v>
      </c>
      <c r="BO16" t="b">
        <f t="shared" si="24"/>
        <v>0</v>
      </c>
      <c r="BP16" t="b">
        <f t="shared" si="25"/>
        <v>0</v>
      </c>
      <c r="BQ16" t="b">
        <f t="shared" si="25"/>
        <v>0</v>
      </c>
      <c r="BR16" t="b">
        <f t="shared" si="25"/>
        <v>0</v>
      </c>
      <c r="BS16" t="b">
        <f t="shared" si="25"/>
        <v>0</v>
      </c>
      <c r="BT16" t="b">
        <f t="shared" si="25"/>
        <v>0</v>
      </c>
      <c r="BU16" t="b">
        <f t="shared" si="25"/>
        <v>0</v>
      </c>
      <c r="BV16" t="b">
        <f t="shared" si="25"/>
        <v>0</v>
      </c>
      <c r="BW16" t="b">
        <f t="shared" si="25"/>
        <v>0</v>
      </c>
      <c r="BX16" t="b">
        <f t="shared" si="25"/>
        <v>0</v>
      </c>
      <c r="BY16" t="b">
        <f t="shared" si="25"/>
        <v>0</v>
      </c>
      <c r="BZ16" t="b">
        <f t="shared" si="26"/>
        <v>0</v>
      </c>
      <c r="CA16" t="b">
        <f t="shared" si="26"/>
        <v>0</v>
      </c>
      <c r="CB16" t="b">
        <f t="shared" si="26"/>
        <v>0</v>
      </c>
      <c r="CC16" t="b">
        <f t="shared" si="26"/>
        <v>0</v>
      </c>
      <c r="CD16" t="b">
        <f t="shared" si="26"/>
        <v>0</v>
      </c>
      <c r="CE16" t="b">
        <f t="shared" si="26"/>
        <v>0</v>
      </c>
      <c r="CF16" t="b">
        <f t="shared" si="26"/>
        <v>0</v>
      </c>
      <c r="CG16" t="b">
        <f t="shared" si="26"/>
        <v>0</v>
      </c>
      <c r="CH16" t="b">
        <f t="shared" si="26"/>
        <v>0</v>
      </c>
      <c r="CI16" t="b">
        <f t="shared" si="26"/>
        <v>0</v>
      </c>
      <c r="CJ16" t="b">
        <f t="shared" si="27"/>
        <v>0</v>
      </c>
      <c r="CK16" t="b">
        <f t="shared" si="27"/>
        <v>0</v>
      </c>
      <c r="CL16" t="b">
        <f t="shared" si="27"/>
        <v>0</v>
      </c>
      <c r="CM16" t="b">
        <f t="shared" si="27"/>
        <v>0</v>
      </c>
      <c r="CN16" t="b">
        <f t="shared" si="27"/>
        <v>0</v>
      </c>
      <c r="CO16" t="b">
        <f t="shared" si="27"/>
        <v>0</v>
      </c>
      <c r="CP16" t="b">
        <f t="shared" si="27"/>
        <v>0</v>
      </c>
      <c r="CQ16" t="b">
        <f t="shared" si="27"/>
        <v>0</v>
      </c>
      <c r="CR16" t="b">
        <f t="shared" si="27"/>
        <v>0</v>
      </c>
      <c r="CS16" t="b">
        <f t="shared" si="27"/>
        <v>0</v>
      </c>
      <c r="CT16" t="b">
        <f t="shared" si="28"/>
        <v>0</v>
      </c>
      <c r="CU16" t="b">
        <f t="shared" si="28"/>
        <v>0</v>
      </c>
      <c r="CV16" t="b">
        <f t="shared" si="28"/>
        <v>0</v>
      </c>
      <c r="CW16" t="b">
        <f t="shared" si="28"/>
        <v>0</v>
      </c>
      <c r="CX16" t="b">
        <f t="shared" si="28"/>
        <v>0</v>
      </c>
      <c r="CY16" t="b">
        <f t="shared" si="28"/>
        <v>0</v>
      </c>
      <c r="CZ16" t="b">
        <f t="shared" si="28"/>
        <v>0</v>
      </c>
      <c r="DA16" t="b">
        <f t="shared" si="28"/>
        <v>0</v>
      </c>
      <c r="DB16" t="b">
        <f t="shared" si="28"/>
        <v>0</v>
      </c>
      <c r="DC16" t="b">
        <f t="shared" si="28"/>
        <v>0</v>
      </c>
      <c r="DD16" t="b">
        <f t="shared" si="29"/>
        <v>0</v>
      </c>
      <c r="DE16" t="b">
        <f t="shared" si="29"/>
        <v>0</v>
      </c>
      <c r="DF16" t="b">
        <f t="shared" si="29"/>
        <v>0</v>
      </c>
      <c r="DG16" t="b">
        <f t="shared" si="29"/>
        <v>0</v>
      </c>
      <c r="DH16" t="b">
        <f t="shared" si="29"/>
        <v>0</v>
      </c>
      <c r="DI16" t="b">
        <f t="shared" si="29"/>
        <v>0</v>
      </c>
      <c r="DJ16" t="b">
        <f t="shared" si="29"/>
        <v>0</v>
      </c>
      <c r="DK16" t="b">
        <f t="shared" si="29"/>
        <v>0</v>
      </c>
      <c r="DL16" t="b">
        <f t="shared" si="29"/>
        <v>0</v>
      </c>
      <c r="DM16" t="b">
        <f t="shared" si="29"/>
        <v>0</v>
      </c>
      <c r="DN16" t="b">
        <f t="shared" si="30"/>
        <v>0</v>
      </c>
      <c r="DO16" t="b">
        <f t="shared" si="30"/>
        <v>0</v>
      </c>
      <c r="DP16" t="b">
        <f t="shared" si="30"/>
        <v>0</v>
      </c>
      <c r="DQ16" t="b">
        <f t="shared" si="30"/>
        <v>0</v>
      </c>
      <c r="DR16" t="b">
        <f t="shared" si="30"/>
        <v>0</v>
      </c>
      <c r="DS16" t="b">
        <f t="shared" si="30"/>
        <v>0</v>
      </c>
      <c r="DT16" t="b">
        <f t="shared" si="30"/>
        <v>0</v>
      </c>
      <c r="DU16" t="b">
        <f t="shared" si="30"/>
        <v>0</v>
      </c>
      <c r="DV16" t="b">
        <f t="shared" si="30"/>
        <v>0</v>
      </c>
      <c r="DW16" t="b">
        <f t="shared" si="30"/>
        <v>0</v>
      </c>
      <c r="DX16" t="b">
        <f t="shared" si="31"/>
        <v>0</v>
      </c>
      <c r="DY16" t="b">
        <f t="shared" si="31"/>
        <v>0</v>
      </c>
      <c r="DZ16" t="b">
        <f t="shared" si="31"/>
        <v>0</v>
      </c>
      <c r="EA16" t="b">
        <f t="shared" si="31"/>
        <v>0</v>
      </c>
      <c r="EB16" t="b">
        <f t="shared" si="31"/>
        <v>0</v>
      </c>
      <c r="EC16" t="b">
        <f t="shared" si="31"/>
        <v>0</v>
      </c>
      <c r="ED16" t="b">
        <f t="shared" si="31"/>
        <v>0</v>
      </c>
      <c r="EE16" t="b">
        <f t="shared" si="31"/>
        <v>0</v>
      </c>
      <c r="EF16" t="b">
        <f t="shared" si="31"/>
        <v>0</v>
      </c>
      <c r="EG16" t="b">
        <f t="shared" si="31"/>
        <v>0</v>
      </c>
      <c r="EH16" t="b">
        <f t="shared" si="32"/>
        <v>0</v>
      </c>
      <c r="EI16" t="b">
        <f t="shared" si="32"/>
        <v>0</v>
      </c>
      <c r="EJ16" t="b">
        <f t="shared" si="32"/>
        <v>0</v>
      </c>
      <c r="EK16" t="b">
        <f t="shared" si="32"/>
        <v>0</v>
      </c>
      <c r="EL16" t="b">
        <f t="shared" si="32"/>
        <v>0</v>
      </c>
      <c r="EM16" t="b">
        <f t="shared" si="32"/>
        <v>0</v>
      </c>
      <c r="EN16" t="b">
        <f t="shared" si="32"/>
        <v>0</v>
      </c>
      <c r="EO16" t="b">
        <f t="shared" si="32"/>
        <v>0</v>
      </c>
      <c r="EP16" t="b">
        <f t="shared" si="32"/>
        <v>0</v>
      </c>
      <c r="EQ16" t="b">
        <f t="shared" si="32"/>
        <v>0</v>
      </c>
      <c r="ER16" t="b">
        <f t="shared" si="33"/>
        <v>0</v>
      </c>
      <c r="ES16" t="b">
        <f t="shared" si="33"/>
        <v>0</v>
      </c>
      <c r="ET16" t="b">
        <f t="shared" si="33"/>
        <v>0</v>
      </c>
      <c r="EU16" t="b">
        <f t="shared" si="33"/>
        <v>0</v>
      </c>
      <c r="EV16" t="b">
        <f t="shared" si="33"/>
        <v>0</v>
      </c>
      <c r="EW16" t="b">
        <f t="shared" si="33"/>
        <v>0</v>
      </c>
      <c r="EX16" t="b">
        <f t="shared" si="33"/>
        <v>0</v>
      </c>
      <c r="EY16" t="b">
        <f t="shared" si="33"/>
        <v>0</v>
      </c>
      <c r="EZ16" t="b">
        <f t="shared" si="33"/>
        <v>0</v>
      </c>
      <c r="FA16" t="b">
        <f t="shared" si="33"/>
        <v>0</v>
      </c>
      <c r="FB16" t="b">
        <f t="shared" si="34"/>
        <v>0</v>
      </c>
      <c r="FC16" t="b">
        <f t="shared" si="34"/>
        <v>1</v>
      </c>
      <c r="FD16" t="b">
        <f t="shared" si="34"/>
        <v>0</v>
      </c>
      <c r="FE16" t="b">
        <f t="shared" si="34"/>
        <v>0</v>
      </c>
      <c r="FF16" t="b">
        <f t="shared" si="34"/>
        <v>0</v>
      </c>
      <c r="FG16" t="b">
        <f t="shared" si="34"/>
        <v>0</v>
      </c>
      <c r="FH16" t="b">
        <f t="shared" si="34"/>
        <v>0</v>
      </c>
      <c r="FI16" t="b">
        <f t="shared" si="34"/>
        <v>0</v>
      </c>
      <c r="FJ16" t="b">
        <f t="shared" si="34"/>
        <v>0</v>
      </c>
      <c r="FK16" t="b">
        <f t="shared" si="34"/>
        <v>0</v>
      </c>
      <c r="FL16" t="b">
        <f t="shared" si="35"/>
        <v>0</v>
      </c>
      <c r="FM16" t="b">
        <f t="shared" si="35"/>
        <v>0</v>
      </c>
      <c r="FN16" t="b">
        <f t="shared" si="35"/>
        <v>0</v>
      </c>
      <c r="FO16" t="b">
        <f t="shared" si="35"/>
        <v>0</v>
      </c>
      <c r="FP16" t="b">
        <f t="shared" si="35"/>
        <v>0</v>
      </c>
      <c r="FQ16" t="b">
        <f t="shared" si="35"/>
        <v>0</v>
      </c>
      <c r="FR16" t="b">
        <f t="shared" si="35"/>
        <v>0</v>
      </c>
      <c r="FS16" t="b">
        <f t="shared" si="35"/>
        <v>1</v>
      </c>
      <c r="FT16" t="b">
        <f t="shared" si="35"/>
        <v>0</v>
      </c>
      <c r="FU16" t="b">
        <f t="shared" si="35"/>
        <v>0</v>
      </c>
      <c r="FV16" t="b">
        <f t="shared" si="36"/>
        <v>0</v>
      </c>
      <c r="FW16" t="b">
        <f t="shared" si="36"/>
        <v>0</v>
      </c>
      <c r="FX16" t="b">
        <f t="shared" si="36"/>
        <v>0</v>
      </c>
      <c r="FY16" t="b">
        <f t="shared" si="36"/>
        <v>0</v>
      </c>
      <c r="FZ16" t="b">
        <f t="shared" si="36"/>
        <v>0</v>
      </c>
      <c r="GA16" t="b">
        <f t="shared" si="36"/>
        <v>0</v>
      </c>
      <c r="GB16" t="b">
        <f t="shared" si="36"/>
        <v>0</v>
      </c>
      <c r="GC16" t="b">
        <f t="shared" si="36"/>
        <v>0</v>
      </c>
      <c r="GD16" t="b">
        <f t="shared" si="36"/>
        <v>0</v>
      </c>
      <c r="GE16" t="b">
        <f t="shared" si="36"/>
        <v>0</v>
      </c>
      <c r="GF16" t="b">
        <f t="shared" si="37"/>
        <v>1</v>
      </c>
      <c r="GG16" t="b">
        <f t="shared" si="37"/>
        <v>0</v>
      </c>
      <c r="GH16" t="b">
        <f t="shared" si="37"/>
        <v>0</v>
      </c>
      <c r="GI16" t="b">
        <f t="shared" si="37"/>
        <v>0</v>
      </c>
      <c r="GJ16" t="b">
        <f t="shared" si="37"/>
        <v>0</v>
      </c>
      <c r="GK16" t="b">
        <f t="shared" si="37"/>
        <v>0</v>
      </c>
      <c r="GL16" t="b">
        <f t="shared" si="37"/>
        <v>0</v>
      </c>
      <c r="GM16" t="b">
        <f t="shared" si="37"/>
        <v>0</v>
      </c>
      <c r="GN16" t="b">
        <f t="shared" si="37"/>
        <v>0</v>
      </c>
      <c r="GO16" t="b">
        <f t="shared" si="37"/>
        <v>0</v>
      </c>
      <c r="GP16" t="b">
        <f t="shared" si="38"/>
        <v>0</v>
      </c>
      <c r="GQ16" t="b">
        <f t="shared" si="38"/>
        <v>0</v>
      </c>
      <c r="GR16" t="b">
        <f t="shared" si="38"/>
        <v>0</v>
      </c>
      <c r="GS16" t="b">
        <f t="shared" si="38"/>
        <v>0</v>
      </c>
      <c r="GT16" t="b">
        <f t="shared" si="38"/>
        <v>0</v>
      </c>
      <c r="GU16" t="b">
        <f t="shared" si="38"/>
        <v>0</v>
      </c>
      <c r="GV16" t="b">
        <f t="shared" si="38"/>
        <v>0</v>
      </c>
      <c r="GW16" t="b">
        <f t="shared" si="38"/>
        <v>0</v>
      </c>
      <c r="GX16" t="b">
        <f t="shared" si="38"/>
        <v>0</v>
      </c>
      <c r="GY16" t="b">
        <f t="shared" si="38"/>
        <v>0</v>
      </c>
      <c r="GZ16" t="b">
        <f t="shared" si="38"/>
        <v>0</v>
      </c>
    </row>
    <row r="17" spans="1:208" hidden="1" x14ac:dyDescent="0.3">
      <c r="A17" t="s">
        <v>331</v>
      </c>
      <c r="B17" t="s">
        <v>332</v>
      </c>
      <c r="C17" t="s">
        <v>333</v>
      </c>
      <c r="D17" s="3">
        <v>22</v>
      </c>
      <c r="E17" s="3">
        <v>4</v>
      </c>
      <c r="F17" s="3">
        <v>16</v>
      </c>
      <c r="G17" s="3">
        <v>250</v>
      </c>
      <c r="H17" t="str">
        <f t="shared" si="19"/>
        <v>22-4</v>
      </c>
      <c r="I17" t="b">
        <v>1</v>
      </c>
      <c r="Q17" s="6">
        <v>17</v>
      </c>
      <c r="R17" t="b">
        <f t="shared" si="20"/>
        <v>0</v>
      </c>
      <c r="S17" t="b">
        <f t="shared" si="20"/>
        <v>0</v>
      </c>
      <c r="T17" t="b">
        <f t="shared" si="20"/>
        <v>0</v>
      </c>
      <c r="U17" t="b">
        <f t="shared" si="20"/>
        <v>0</v>
      </c>
      <c r="V17" t="b">
        <f t="shared" si="20"/>
        <v>0</v>
      </c>
      <c r="W17" t="b">
        <f t="shared" si="20"/>
        <v>0</v>
      </c>
      <c r="X17" t="b">
        <f t="shared" si="20"/>
        <v>0</v>
      </c>
      <c r="Y17" t="b">
        <f t="shared" si="20"/>
        <v>0</v>
      </c>
      <c r="Z17" t="b">
        <f t="shared" si="20"/>
        <v>0</v>
      </c>
      <c r="AA17" t="b">
        <f t="shared" si="20"/>
        <v>0</v>
      </c>
      <c r="AB17" t="b">
        <f t="shared" si="21"/>
        <v>0</v>
      </c>
      <c r="AC17" t="b">
        <f t="shared" si="21"/>
        <v>0</v>
      </c>
      <c r="AD17" t="b">
        <f t="shared" si="21"/>
        <v>0</v>
      </c>
      <c r="AE17" t="b">
        <f t="shared" si="21"/>
        <v>0</v>
      </c>
      <c r="AF17" t="b">
        <f t="shared" si="21"/>
        <v>0</v>
      </c>
      <c r="AG17" t="b">
        <f t="shared" si="21"/>
        <v>0</v>
      </c>
      <c r="AH17" t="b">
        <f t="shared" si="21"/>
        <v>0</v>
      </c>
      <c r="AI17" t="b">
        <f t="shared" si="21"/>
        <v>0</v>
      </c>
      <c r="AJ17" t="b">
        <f t="shared" si="21"/>
        <v>0</v>
      </c>
      <c r="AK17" t="b">
        <f t="shared" si="21"/>
        <v>0</v>
      </c>
      <c r="AL17" t="b">
        <f t="shared" si="22"/>
        <v>0</v>
      </c>
      <c r="AM17" t="b">
        <f t="shared" si="22"/>
        <v>0</v>
      </c>
      <c r="AN17" t="b">
        <f t="shared" si="22"/>
        <v>0</v>
      </c>
      <c r="AO17" t="b">
        <f t="shared" si="22"/>
        <v>0</v>
      </c>
      <c r="AP17" t="b">
        <f t="shared" si="22"/>
        <v>1</v>
      </c>
      <c r="AQ17" t="b">
        <f t="shared" si="22"/>
        <v>0</v>
      </c>
      <c r="AR17" t="b">
        <f t="shared" si="22"/>
        <v>0</v>
      </c>
      <c r="AS17" t="b">
        <f t="shared" si="22"/>
        <v>0</v>
      </c>
      <c r="AT17" t="b">
        <f t="shared" si="22"/>
        <v>0</v>
      </c>
      <c r="AU17" t="b">
        <f t="shared" si="22"/>
        <v>0</v>
      </c>
      <c r="AV17" t="b">
        <f t="shared" si="23"/>
        <v>0</v>
      </c>
      <c r="AW17" t="b">
        <f t="shared" si="23"/>
        <v>0</v>
      </c>
      <c r="AX17" t="b">
        <f t="shared" si="23"/>
        <v>0</v>
      </c>
      <c r="AY17" t="b">
        <f t="shared" si="23"/>
        <v>0</v>
      </c>
      <c r="AZ17" t="b">
        <f t="shared" si="23"/>
        <v>0</v>
      </c>
      <c r="BA17" t="b">
        <f t="shared" si="23"/>
        <v>0</v>
      </c>
      <c r="BB17" t="b">
        <f t="shared" si="23"/>
        <v>0</v>
      </c>
      <c r="BC17" t="b">
        <f t="shared" si="23"/>
        <v>0</v>
      </c>
      <c r="BD17" t="b">
        <f t="shared" si="23"/>
        <v>0</v>
      </c>
      <c r="BE17" t="b">
        <f t="shared" si="23"/>
        <v>0</v>
      </c>
      <c r="BF17" t="b">
        <f t="shared" si="24"/>
        <v>0</v>
      </c>
      <c r="BG17" t="b">
        <f t="shared" si="24"/>
        <v>0</v>
      </c>
      <c r="BH17" t="b">
        <f t="shared" si="24"/>
        <v>0</v>
      </c>
      <c r="BI17" t="b">
        <f t="shared" si="24"/>
        <v>0</v>
      </c>
      <c r="BJ17" t="b">
        <f t="shared" si="24"/>
        <v>0</v>
      </c>
      <c r="BK17" t="b">
        <f t="shared" si="24"/>
        <v>0</v>
      </c>
      <c r="BL17" t="b">
        <f t="shared" si="24"/>
        <v>0</v>
      </c>
      <c r="BM17" t="b">
        <f t="shared" si="24"/>
        <v>0</v>
      </c>
      <c r="BN17" t="b">
        <f t="shared" si="24"/>
        <v>0</v>
      </c>
      <c r="BO17" t="b">
        <f t="shared" si="24"/>
        <v>0</v>
      </c>
      <c r="BP17" t="b">
        <f t="shared" si="25"/>
        <v>0</v>
      </c>
      <c r="BQ17" t="b">
        <f t="shared" si="25"/>
        <v>0</v>
      </c>
      <c r="BR17" t="b">
        <f t="shared" si="25"/>
        <v>0</v>
      </c>
      <c r="BS17" t="b">
        <f t="shared" si="25"/>
        <v>0</v>
      </c>
      <c r="BT17" t="b">
        <f t="shared" si="25"/>
        <v>0</v>
      </c>
      <c r="BU17" t="b">
        <f t="shared" si="25"/>
        <v>0</v>
      </c>
      <c r="BV17" t="b">
        <f t="shared" si="25"/>
        <v>0</v>
      </c>
      <c r="BW17" t="b">
        <f t="shared" si="25"/>
        <v>0</v>
      </c>
      <c r="BX17" t="b">
        <f t="shared" si="25"/>
        <v>0</v>
      </c>
      <c r="BY17" t="b">
        <f t="shared" si="25"/>
        <v>0</v>
      </c>
      <c r="BZ17" t="b">
        <f t="shared" si="26"/>
        <v>0</v>
      </c>
      <c r="CA17" t="b">
        <f t="shared" si="26"/>
        <v>0</v>
      </c>
      <c r="CB17" t="b">
        <f t="shared" si="26"/>
        <v>0</v>
      </c>
      <c r="CC17" t="b">
        <f t="shared" si="26"/>
        <v>0</v>
      </c>
      <c r="CD17" t="b">
        <f t="shared" si="26"/>
        <v>0</v>
      </c>
      <c r="CE17" t="b">
        <f t="shared" si="26"/>
        <v>0</v>
      </c>
      <c r="CF17" t="b">
        <f t="shared" si="26"/>
        <v>0</v>
      </c>
      <c r="CG17" t="b">
        <f t="shared" si="26"/>
        <v>0</v>
      </c>
      <c r="CH17" t="b">
        <f t="shared" si="26"/>
        <v>0</v>
      </c>
      <c r="CI17" t="b">
        <f t="shared" si="26"/>
        <v>0</v>
      </c>
      <c r="CJ17" t="b">
        <f t="shared" si="27"/>
        <v>0</v>
      </c>
      <c r="CK17" t="b">
        <f t="shared" si="27"/>
        <v>0</v>
      </c>
      <c r="CL17" t="b">
        <f t="shared" si="27"/>
        <v>0</v>
      </c>
      <c r="CM17" t="b">
        <f t="shared" si="27"/>
        <v>0</v>
      </c>
      <c r="CN17" t="b">
        <f t="shared" si="27"/>
        <v>0</v>
      </c>
      <c r="CO17" t="b">
        <f t="shared" si="27"/>
        <v>0</v>
      </c>
      <c r="CP17" t="b">
        <f t="shared" si="27"/>
        <v>0</v>
      </c>
      <c r="CQ17" t="b">
        <f t="shared" si="27"/>
        <v>0</v>
      </c>
      <c r="CR17" t="b">
        <f t="shared" si="27"/>
        <v>0</v>
      </c>
      <c r="CS17" t="b">
        <f t="shared" si="27"/>
        <v>0</v>
      </c>
      <c r="CT17" t="b">
        <f t="shared" si="28"/>
        <v>0</v>
      </c>
      <c r="CU17" t="b">
        <f t="shared" si="28"/>
        <v>0</v>
      </c>
      <c r="CV17" t="b">
        <f t="shared" si="28"/>
        <v>0</v>
      </c>
      <c r="CW17" t="b">
        <f t="shared" si="28"/>
        <v>0</v>
      </c>
      <c r="CX17" t="b">
        <f t="shared" si="28"/>
        <v>0</v>
      </c>
      <c r="CY17" t="b">
        <f t="shared" si="28"/>
        <v>0</v>
      </c>
      <c r="CZ17" t="b">
        <f t="shared" si="28"/>
        <v>0</v>
      </c>
      <c r="DA17" t="b">
        <f t="shared" si="28"/>
        <v>0</v>
      </c>
      <c r="DB17" t="b">
        <f t="shared" si="28"/>
        <v>0</v>
      </c>
      <c r="DC17" t="b">
        <f t="shared" si="28"/>
        <v>0</v>
      </c>
      <c r="DD17" t="b">
        <f t="shared" si="29"/>
        <v>0</v>
      </c>
      <c r="DE17" t="b">
        <f t="shared" si="29"/>
        <v>0</v>
      </c>
      <c r="DF17" t="b">
        <f t="shared" si="29"/>
        <v>0</v>
      </c>
      <c r="DG17" t="b">
        <f t="shared" si="29"/>
        <v>0</v>
      </c>
      <c r="DH17" t="b">
        <f t="shared" si="29"/>
        <v>0</v>
      </c>
      <c r="DI17" t="b">
        <f t="shared" si="29"/>
        <v>0</v>
      </c>
      <c r="DJ17" t="b">
        <f t="shared" si="29"/>
        <v>0</v>
      </c>
      <c r="DK17" t="b">
        <f t="shared" si="29"/>
        <v>0</v>
      </c>
      <c r="DL17" t="b">
        <f t="shared" si="29"/>
        <v>0</v>
      </c>
      <c r="DM17" t="b">
        <f t="shared" si="29"/>
        <v>0</v>
      </c>
      <c r="DN17" t="b">
        <f t="shared" si="30"/>
        <v>0</v>
      </c>
      <c r="DO17" t="b">
        <f t="shared" si="30"/>
        <v>0</v>
      </c>
      <c r="DP17" t="b">
        <f t="shared" si="30"/>
        <v>0</v>
      </c>
      <c r="DQ17" t="b">
        <f t="shared" si="30"/>
        <v>0</v>
      </c>
      <c r="DR17" t="b">
        <f t="shared" si="30"/>
        <v>0</v>
      </c>
      <c r="DS17" t="b">
        <f t="shared" si="30"/>
        <v>0</v>
      </c>
      <c r="DT17" t="b">
        <f t="shared" si="30"/>
        <v>0</v>
      </c>
      <c r="DU17" t="b">
        <f t="shared" si="30"/>
        <v>0</v>
      </c>
      <c r="DV17" t="b">
        <f t="shared" si="30"/>
        <v>0</v>
      </c>
      <c r="DW17" t="b">
        <f t="shared" si="30"/>
        <v>0</v>
      </c>
      <c r="DX17" t="b">
        <f t="shared" si="31"/>
        <v>0</v>
      </c>
      <c r="DY17" t="b">
        <f t="shared" si="31"/>
        <v>0</v>
      </c>
      <c r="DZ17" t="b">
        <f t="shared" si="31"/>
        <v>0</v>
      </c>
      <c r="EA17" t="b">
        <f t="shared" si="31"/>
        <v>0</v>
      </c>
      <c r="EB17" t="b">
        <f t="shared" si="31"/>
        <v>0</v>
      </c>
      <c r="EC17" t="b">
        <f t="shared" si="31"/>
        <v>0</v>
      </c>
      <c r="ED17" t="b">
        <f t="shared" si="31"/>
        <v>0</v>
      </c>
      <c r="EE17" t="b">
        <f t="shared" si="31"/>
        <v>0</v>
      </c>
      <c r="EF17" t="b">
        <f t="shared" si="31"/>
        <v>0</v>
      </c>
      <c r="EG17" t="b">
        <f t="shared" si="31"/>
        <v>0</v>
      </c>
      <c r="EH17" t="b">
        <f t="shared" si="32"/>
        <v>0</v>
      </c>
      <c r="EI17" t="b">
        <f t="shared" si="32"/>
        <v>0</v>
      </c>
      <c r="EJ17" t="b">
        <f t="shared" si="32"/>
        <v>0</v>
      </c>
      <c r="EK17" t="b">
        <f t="shared" si="32"/>
        <v>0</v>
      </c>
      <c r="EL17" t="b">
        <f t="shared" si="32"/>
        <v>0</v>
      </c>
      <c r="EM17" t="b">
        <f t="shared" si="32"/>
        <v>0</v>
      </c>
      <c r="EN17" t="b">
        <f t="shared" si="32"/>
        <v>0</v>
      </c>
      <c r="EO17" t="b">
        <f t="shared" si="32"/>
        <v>0</v>
      </c>
      <c r="EP17" t="b">
        <f t="shared" si="32"/>
        <v>0</v>
      </c>
      <c r="EQ17" t="b">
        <f t="shared" si="32"/>
        <v>0</v>
      </c>
      <c r="ER17" t="b">
        <f t="shared" si="33"/>
        <v>0</v>
      </c>
      <c r="ES17" t="b">
        <f t="shared" si="33"/>
        <v>0</v>
      </c>
      <c r="ET17" t="b">
        <f t="shared" si="33"/>
        <v>0</v>
      </c>
      <c r="EU17" t="b">
        <f t="shared" si="33"/>
        <v>0</v>
      </c>
      <c r="EV17" t="b">
        <f t="shared" si="33"/>
        <v>0</v>
      </c>
      <c r="EW17" t="b">
        <f t="shared" si="33"/>
        <v>0</v>
      </c>
      <c r="EX17" t="b">
        <f t="shared" si="33"/>
        <v>0</v>
      </c>
      <c r="EY17" t="b">
        <f t="shared" si="33"/>
        <v>0</v>
      </c>
      <c r="EZ17" t="b">
        <f t="shared" si="33"/>
        <v>0</v>
      </c>
      <c r="FA17" t="b">
        <f t="shared" si="33"/>
        <v>0</v>
      </c>
      <c r="FB17" t="b">
        <f t="shared" si="34"/>
        <v>0</v>
      </c>
      <c r="FC17" t="b">
        <f t="shared" si="34"/>
        <v>0</v>
      </c>
      <c r="FD17" t="b">
        <f t="shared" si="34"/>
        <v>0</v>
      </c>
      <c r="FE17" t="b">
        <f t="shared" si="34"/>
        <v>0</v>
      </c>
      <c r="FF17" t="b">
        <f t="shared" si="34"/>
        <v>0</v>
      </c>
      <c r="FG17" t="b">
        <f t="shared" si="34"/>
        <v>0</v>
      </c>
      <c r="FH17" t="b">
        <f t="shared" si="34"/>
        <v>0</v>
      </c>
      <c r="FI17" t="b">
        <f t="shared" si="34"/>
        <v>0</v>
      </c>
      <c r="FJ17" t="b">
        <f t="shared" si="34"/>
        <v>0</v>
      </c>
      <c r="FK17" t="b">
        <f t="shared" si="34"/>
        <v>0</v>
      </c>
      <c r="FL17" t="b">
        <f t="shared" si="35"/>
        <v>0</v>
      </c>
      <c r="FM17" t="b">
        <f t="shared" si="35"/>
        <v>0</v>
      </c>
      <c r="FN17" t="b">
        <f t="shared" si="35"/>
        <v>0</v>
      </c>
      <c r="FO17" t="b">
        <f t="shared" si="35"/>
        <v>0</v>
      </c>
      <c r="FP17" t="b">
        <f t="shared" si="35"/>
        <v>0</v>
      </c>
      <c r="FQ17" t="b">
        <f t="shared" si="35"/>
        <v>0</v>
      </c>
      <c r="FR17" t="b">
        <f t="shared" si="35"/>
        <v>0</v>
      </c>
      <c r="FS17" t="b">
        <f t="shared" si="35"/>
        <v>0</v>
      </c>
      <c r="FT17" t="b">
        <f t="shared" si="35"/>
        <v>0</v>
      </c>
      <c r="FU17" t="b">
        <f t="shared" si="35"/>
        <v>0</v>
      </c>
      <c r="FV17" t="b">
        <f t="shared" si="36"/>
        <v>0</v>
      </c>
      <c r="FW17" t="b">
        <f t="shared" si="36"/>
        <v>0</v>
      </c>
      <c r="FX17" t="b">
        <f t="shared" si="36"/>
        <v>0</v>
      </c>
      <c r="FY17" t="b">
        <f t="shared" si="36"/>
        <v>0</v>
      </c>
      <c r="FZ17" t="b">
        <f t="shared" si="36"/>
        <v>0</v>
      </c>
      <c r="GA17" t="b">
        <f t="shared" si="36"/>
        <v>0</v>
      </c>
      <c r="GB17" t="b">
        <f t="shared" si="36"/>
        <v>0</v>
      </c>
      <c r="GC17" t="b">
        <f t="shared" si="36"/>
        <v>0</v>
      </c>
      <c r="GD17" t="b">
        <f t="shared" si="36"/>
        <v>0</v>
      </c>
      <c r="GE17" t="b">
        <f t="shared" si="36"/>
        <v>0</v>
      </c>
      <c r="GF17" t="b">
        <f t="shared" si="37"/>
        <v>0</v>
      </c>
      <c r="GG17" t="b">
        <f t="shared" si="37"/>
        <v>0</v>
      </c>
      <c r="GH17" t="b">
        <f t="shared" si="37"/>
        <v>0</v>
      </c>
      <c r="GI17" t="b">
        <f t="shared" si="37"/>
        <v>0</v>
      </c>
      <c r="GJ17" t="b">
        <f t="shared" si="37"/>
        <v>0</v>
      </c>
      <c r="GK17" t="b">
        <f t="shared" si="37"/>
        <v>0</v>
      </c>
      <c r="GL17" t="b">
        <f t="shared" si="37"/>
        <v>0</v>
      </c>
      <c r="GM17" t="b">
        <f t="shared" si="37"/>
        <v>0</v>
      </c>
      <c r="GN17" t="b">
        <f t="shared" si="37"/>
        <v>0</v>
      </c>
      <c r="GO17" t="b">
        <f t="shared" si="37"/>
        <v>1</v>
      </c>
      <c r="GP17" t="b">
        <f t="shared" si="38"/>
        <v>0</v>
      </c>
      <c r="GQ17" t="b">
        <f t="shared" si="38"/>
        <v>0</v>
      </c>
      <c r="GR17" t="b">
        <f t="shared" si="38"/>
        <v>0</v>
      </c>
      <c r="GS17" t="b">
        <f t="shared" si="38"/>
        <v>0</v>
      </c>
      <c r="GT17" t="b">
        <f t="shared" si="38"/>
        <v>0</v>
      </c>
      <c r="GU17" t="b">
        <f t="shared" si="38"/>
        <v>0</v>
      </c>
      <c r="GV17" t="b">
        <f t="shared" si="38"/>
        <v>0</v>
      </c>
      <c r="GW17" t="b">
        <f t="shared" si="38"/>
        <v>0</v>
      </c>
      <c r="GX17" t="b">
        <f t="shared" si="38"/>
        <v>0</v>
      </c>
      <c r="GY17" t="b">
        <f t="shared" si="38"/>
        <v>0</v>
      </c>
      <c r="GZ17" t="b">
        <f t="shared" si="38"/>
        <v>0</v>
      </c>
    </row>
    <row r="18" spans="1:208" hidden="1" x14ac:dyDescent="0.3">
      <c r="A18" t="s">
        <v>28</v>
      </c>
      <c r="B18" t="s">
        <v>29</v>
      </c>
      <c r="C18" t="s">
        <v>30</v>
      </c>
      <c r="D18" s="3">
        <v>4</v>
      </c>
      <c r="E18" s="3">
        <v>5</v>
      </c>
      <c r="F18" s="3">
        <v>17</v>
      </c>
      <c r="G18" s="3">
        <v>260</v>
      </c>
      <c r="H18" t="str">
        <f t="shared" si="19"/>
        <v>4-5</v>
      </c>
      <c r="I18" t="b">
        <v>1</v>
      </c>
      <c r="Q18" s="6">
        <v>18</v>
      </c>
      <c r="R18" t="b">
        <f t="shared" si="20"/>
        <v>0</v>
      </c>
      <c r="S18" t="b">
        <f t="shared" si="20"/>
        <v>0</v>
      </c>
      <c r="T18" t="b">
        <f t="shared" si="20"/>
        <v>0</v>
      </c>
      <c r="U18" t="b">
        <f t="shared" si="20"/>
        <v>0</v>
      </c>
      <c r="V18" t="b">
        <f t="shared" si="20"/>
        <v>0</v>
      </c>
      <c r="W18" t="b">
        <f t="shared" si="20"/>
        <v>0</v>
      </c>
      <c r="X18" t="b">
        <f t="shared" si="20"/>
        <v>0</v>
      </c>
      <c r="Y18" t="b">
        <f t="shared" si="20"/>
        <v>0</v>
      </c>
      <c r="Z18" t="b">
        <f t="shared" si="20"/>
        <v>0</v>
      </c>
      <c r="AA18" t="b">
        <f t="shared" si="20"/>
        <v>0</v>
      </c>
      <c r="AB18" t="b">
        <f t="shared" si="21"/>
        <v>0</v>
      </c>
      <c r="AC18" t="b">
        <f t="shared" si="21"/>
        <v>0</v>
      </c>
      <c r="AD18" t="b">
        <f t="shared" si="21"/>
        <v>0</v>
      </c>
      <c r="AE18" t="b">
        <f t="shared" si="21"/>
        <v>0</v>
      </c>
      <c r="AF18" t="b">
        <f t="shared" si="21"/>
        <v>0</v>
      </c>
      <c r="AG18" t="b">
        <f t="shared" si="21"/>
        <v>0</v>
      </c>
      <c r="AH18" t="b">
        <f t="shared" si="21"/>
        <v>0</v>
      </c>
      <c r="AI18" t="b">
        <f t="shared" si="21"/>
        <v>0</v>
      </c>
      <c r="AJ18" t="b">
        <f t="shared" si="21"/>
        <v>0</v>
      </c>
      <c r="AK18" t="b">
        <f t="shared" si="21"/>
        <v>0</v>
      </c>
      <c r="AL18" t="b">
        <f t="shared" si="22"/>
        <v>0</v>
      </c>
      <c r="AM18" t="b">
        <f t="shared" si="22"/>
        <v>0</v>
      </c>
      <c r="AN18" t="b">
        <f t="shared" si="22"/>
        <v>0</v>
      </c>
      <c r="AO18" t="b">
        <f t="shared" si="22"/>
        <v>0</v>
      </c>
      <c r="AP18" t="b">
        <f t="shared" si="22"/>
        <v>0</v>
      </c>
      <c r="AQ18" t="b">
        <f t="shared" si="22"/>
        <v>0</v>
      </c>
      <c r="AR18" t="b">
        <f t="shared" si="22"/>
        <v>0</v>
      </c>
      <c r="AS18" t="b">
        <f t="shared" si="22"/>
        <v>0</v>
      </c>
      <c r="AT18" t="b">
        <f t="shared" si="22"/>
        <v>0</v>
      </c>
      <c r="AU18" t="b">
        <f t="shared" si="22"/>
        <v>0</v>
      </c>
      <c r="AV18" t="b">
        <f t="shared" si="23"/>
        <v>0</v>
      </c>
      <c r="AW18" t="b">
        <f t="shared" si="23"/>
        <v>0</v>
      </c>
      <c r="AX18" t="b">
        <f t="shared" si="23"/>
        <v>0</v>
      </c>
      <c r="AY18" t="b">
        <f t="shared" si="23"/>
        <v>0</v>
      </c>
      <c r="AZ18" t="b">
        <f t="shared" si="23"/>
        <v>0</v>
      </c>
      <c r="BA18" t="b">
        <f t="shared" si="23"/>
        <v>0</v>
      </c>
      <c r="BB18" t="b">
        <f t="shared" si="23"/>
        <v>0</v>
      </c>
      <c r="BC18" t="b">
        <f t="shared" si="23"/>
        <v>0</v>
      </c>
      <c r="BD18" t="b">
        <f t="shared" si="23"/>
        <v>0</v>
      </c>
      <c r="BE18" t="b">
        <f t="shared" si="23"/>
        <v>0</v>
      </c>
      <c r="BF18" t="b">
        <f t="shared" si="24"/>
        <v>0</v>
      </c>
      <c r="BG18" t="b">
        <f t="shared" si="24"/>
        <v>0</v>
      </c>
      <c r="BH18" t="b">
        <f t="shared" si="24"/>
        <v>0</v>
      </c>
      <c r="BI18" t="b">
        <f t="shared" si="24"/>
        <v>0</v>
      </c>
      <c r="BJ18" t="b">
        <f t="shared" si="24"/>
        <v>0</v>
      </c>
      <c r="BK18" t="b">
        <f t="shared" si="24"/>
        <v>0</v>
      </c>
      <c r="BL18" t="b">
        <f t="shared" si="24"/>
        <v>0</v>
      </c>
      <c r="BM18" t="b">
        <f t="shared" si="24"/>
        <v>0</v>
      </c>
      <c r="BN18" t="b">
        <f t="shared" si="24"/>
        <v>0</v>
      </c>
      <c r="BO18" t="b">
        <f t="shared" si="24"/>
        <v>1</v>
      </c>
      <c r="BP18" t="b">
        <f t="shared" si="25"/>
        <v>0</v>
      </c>
      <c r="BQ18" t="b">
        <f t="shared" si="25"/>
        <v>0</v>
      </c>
      <c r="BR18" t="b">
        <f t="shared" si="25"/>
        <v>0</v>
      </c>
      <c r="BS18" t="b">
        <f t="shared" si="25"/>
        <v>0</v>
      </c>
      <c r="BT18" t="b">
        <f t="shared" si="25"/>
        <v>0</v>
      </c>
      <c r="BU18" t="b">
        <f t="shared" si="25"/>
        <v>0</v>
      </c>
      <c r="BV18" t="b">
        <f t="shared" si="25"/>
        <v>0</v>
      </c>
      <c r="BW18" t="b">
        <f t="shared" si="25"/>
        <v>0</v>
      </c>
      <c r="BX18" t="b">
        <f t="shared" si="25"/>
        <v>0</v>
      </c>
      <c r="BY18" t="b">
        <f t="shared" si="25"/>
        <v>0</v>
      </c>
      <c r="BZ18" t="b">
        <f t="shared" si="26"/>
        <v>0</v>
      </c>
      <c r="CA18" t="b">
        <f t="shared" si="26"/>
        <v>0</v>
      </c>
      <c r="CB18" t="b">
        <f t="shared" si="26"/>
        <v>0</v>
      </c>
      <c r="CC18" t="b">
        <f t="shared" si="26"/>
        <v>0</v>
      </c>
      <c r="CD18" t="b">
        <f t="shared" si="26"/>
        <v>0</v>
      </c>
      <c r="CE18" t="b">
        <f t="shared" si="26"/>
        <v>0</v>
      </c>
      <c r="CF18" t="b">
        <f t="shared" si="26"/>
        <v>0</v>
      </c>
      <c r="CG18" t="b">
        <f t="shared" si="26"/>
        <v>0</v>
      </c>
      <c r="CH18" t="b">
        <f t="shared" si="26"/>
        <v>0</v>
      </c>
      <c r="CI18" t="b">
        <f t="shared" si="26"/>
        <v>0</v>
      </c>
      <c r="CJ18" t="b">
        <f t="shared" si="27"/>
        <v>0</v>
      </c>
      <c r="CK18" t="b">
        <f t="shared" si="27"/>
        <v>0</v>
      </c>
      <c r="CL18" t="b">
        <f t="shared" si="27"/>
        <v>0</v>
      </c>
      <c r="CM18" t="b">
        <f t="shared" si="27"/>
        <v>0</v>
      </c>
      <c r="CN18" t="b">
        <f t="shared" si="27"/>
        <v>0</v>
      </c>
      <c r="CO18" t="b">
        <f t="shared" si="27"/>
        <v>0</v>
      </c>
      <c r="CP18" t="b">
        <f t="shared" si="27"/>
        <v>1</v>
      </c>
      <c r="CQ18" t="b">
        <f t="shared" si="27"/>
        <v>0</v>
      </c>
      <c r="CR18" t="b">
        <f t="shared" si="27"/>
        <v>0</v>
      </c>
      <c r="CS18" t="b">
        <f t="shared" si="27"/>
        <v>0</v>
      </c>
      <c r="CT18" t="b">
        <f t="shared" si="28"/>
        <v>0</v>
      </c>
      <c r="CU18" t="b">
        <f t="shared" si="28"/>
        <v>0</v>
      </c>
      <c r="CV18" t="b">
        <f t="shared" si="28"/>
        <v>0</v>
      </c>
      <c r="CW18" t="b">
        <f t="shared" si="28"/>
        <v>0</v>
      </c>
      <c r="CX18" t="b">
        <f t="shared" si="28"/>
        <v>0</v>
      </c>
      <c r="CY18" t="b">
        <f t="shared" si="28"/>
        <v>0</v>
      </c>
      <c r="CZ18" t="b">
        <f t="shared" si="28"/>
        <v>0</v>
      </c>
      <c r="DA18" t="b">
        <f t="shared" si="28"/>
        <v>0</v>
      </c>
      <c r="DB18" t="b">
        <f t="shared" si="28"/>
        <v>0</v>
      </c>
      <c r="DC18" t="b">
        <f t="shared" si="28"/>
        <v>0</v>
      </c>
      <c r="DD18" t="b">
        <f t="shared" si="29"/>
        <v>0</v>
      </c>
      <c r="DE18" t="b">
        <f t="shared" si="29"/>
        <v>0</v>
      </c>
      <c r="DF18" t="b">
        <f t="shared" si="29"/>
        <v>0</v>
      </c>
      <c r="DG18" t="b">
        <f t="shared" si="29"/>
        <v>0</v>
      </c>
      <c r="DH18" t="b">
        <f t="shared" si="29"/>
        <v>0</v>
      </c>
      <c r="DI18" t="b">
        <f t="shared" si="29"/>
        <v>0</v>
      </c>
      <c r="DJ18" t="b">
        <f t="shared" si="29"/>
        <v>0</v>
      </c>
      <c r="DK18" t="b">
        <f t="shared" si="29"/>
        <v>0</v>
      </c>
      <c r="DL18" t="b">
        <f t="shared" si="29"/>
        <v>0</v>
      </c>
      <c r="DM18" t="b">
        <f t="shared" si="29"/>
        <v>0</v>
      </c>
      <c r="DN18" t="b">
        <f t="shared" si="30"/>
        <v>0</v>
      </c>
      <c r="DO18" t="b">
        <f t="shared" si="30"/>
        <v>0</v>
      </c>
      <c r="DP18" t="b">
        <f t="shared" si="30"/>
        <v>0</v>
      </c>
      <c r="DQ18" t="b">
        <f t="shared" si="30"/>
        <v>0</v>
      </c>
      <c r="DR18" t="b">
        <f t="shared" si="30"/>
        <v>0</v>
      </c>
      <c r="DS18" t="b">
        <f t="shared" si="30"/>
        <v>0</v>
      </c>
      <c r="DT18" t="b">
        <f t="shared" si="30"/>
        <v>0</v>
      </c>
      <c r="DU18" t="b">
        <f t="shared" si="30"/>
        <v>0</v>
      </c>
      <c r="DV18" t="b">
        <f t="shared" si="30"/>
        <v>0</v>
      </c>
      <c r="DW18" t="b">
        <f t="shared" si="30"/>
        <v>0</v>
      </c>
      <c r="DX18" t="b">
        <f t="shared" si="31"/>
        <v>0</v>
      </c>
      <c r="DY18" t="b">
        <f t="shared" si="31"/>
        <v>0</v>
      </c>
      <c r="DZ18" t="b">
        <f t="shared" si="31"/>
        <v>0</v>
      </c>
      <c r="EA18" t="b">
        <f t="shared" si="31"/>
        <v>0</v>
      </c>
      <c r="EB18" t="b">
        <f t="shared" si="31"/>
        <v>0</v>
      </c>
      <c r="EC18" t="b">
        <f t="shared" si="31"/>
        <v>0</v>
      </c>
      <c r="ED18" t="b">
        <f t="shared" si="31"/>
        <v>0</v>
      </c>
      <c r="EE18" t="b">
        <f t="shared" si="31"/>
        <v>0</v>
      </c>
      <c r="EF18" t="b">
        <f t="shared" si="31"/>
        <v>0</v>
      </c>
      <c r="EG18" t="b">
        <f t="shared" si="31"/>
        <v>0</v>
      </c>
      <c r="EH18" t="b">
        <f t="shared" si="32"/>
        <v>0</v>
      </c>
      <c r="EI18" t="b">
        <f t="shared" si="32"/>
        <v>0</v>
      </c>
      <c r="EJ18" t="b">
        <f t="shared" si="32"/>
        <v>0</v>
      </c>
      <c r="EK18" t="b">
        <f t="shared" si="32"/>
        <v>0</v>
      </c>
      <c r="EL18" t="b">
        <f t="shared" si="32"/>
        <v>0</v>
      </c>
      <c r="EM18" t="b">
        <f t="shared" si="32"/>
        <v>0</v>
      </c>
      <c r="EN18" t="b">
        <f t="shared" si="32"/>
        <v>0</v>
      </c>
      <c r="EO18" t="b">
        <f t="shared" si="32"/>
        <v>0</v>
      </c>
      <c r="EP18" t="b">
        <f t="shared" si="32"/>
        <v>0</v>
      </c>
      <c r="EQ18" t="b">
        <f t="shared" si="32"/>
        <v>0</v>
      </c>
      <c r="ER18" t="b">
        <f t="shared" si="33"/>
        <v>0</v>
      </c>
      <c r="ES18" t="b">
        <f t="shared" si="33"/>
        <v>0</v>
      </c>
      <c r="ET18" t="b">
        <f t="shared" si="33"/>
        <v>0</v>
      </c>
      <c r="EU18" t="b">
        <f t="shared" si="33"/>
        <v>0</v>
      </c>
      <c r="EV18" t="b">
        <f t="shared" si="33"/>
        <v>1</v>
      </c>
      <c r="EW18" t="b">
        <f t="shared" si="33"/>
        <v>0</v>
      </c>
      <c r="EX18" t="b">
        <f t="shared" si="33"/>
        <v>0</v>
      </c>
      <c r="EY18" t="b">
        <f t="shared" si="33"/>
        <v>0</v>
      </c>
      <c r="EZ18" t="b">
        <f t="shared" si="33"/>
        <v>0</v>
      </c>
      <c r="FA18" t="b">
        <f t="shared" si="33"/>
        <v>0</v>
      </c>
      <c r="FB18" t="b">
        <f t="shared" si="34"/>
        <v>0</v>
      </c>
      <c r="FC18" t="b">
        <f t="shared" si="34"/>
        <v>0</v>
      </c>
      <c r="FD18" t="b">
        <f t="shared" si="34"/>
        <v>0</v>
      </c>
      <c r="FE18" t="b">
        <f t="shared" si="34"/>
        <v>0</v>
      </c>
      <c r="FF18" t="b">
        <f t="shared" si="34"/>
        <v>0</v>
      </c>
      <c r="FG18" t="b">
        <f t="shared" si="34"/>
        <v>0</v>
      </c>
      <c r="FH18" t="b">
        <f t="shared" si="34"/>
        <v>0</v>
      </c>
      <c r="FI18" t="b">
        <f t="shared" si="34"/>
        <v>0</v>
      </c>
      <c r="FJ18" t="b">
        <f t="shared" si="34"/>
        <v>0</v>
      </c>
      <c r="FK18" t="b">
        <f t="shared" si="34"/>
        <v>0</v>
      </c>
      <c r="FL18" t="b">
        <f t="shared" si="35"/>
        <v>0</v>
      </c>
      <c r="FM18" t="b">
        <f t="shared" si="35"/>
        <v>0</v>
      </c>
      <c r="FN18" t="b">
        <f t="shared" si="35"/>
        <v>0</v>
      </c>
      <c r="FO18" t="b">
        <f t="shared" si="35"/>
        <v>0</v>
      </c>
      <c r="FP18" t="b">
        <f t="shared" si="35"/>
        <v>0</v>
      </c>
      <c r="FQ18" t="b">
        <f t="shared" si="35"/>
        <v>0</v>
      </c>
      <c r="FR18" t="b">
        <f t="shared" si="35"/>
        <v>0</v>
      </c>
      <c r="FS18" t="b">
        <f t="shared" si="35"/>
        <v>0</v>
      </c>
      <c r="FT18" t="b">
        <f t="shared" si="35"/>
        <v>0</v>
      </c>
      <c r="FU18" t="b">
        <f t="shared" si="35"/>
        <v>0</v>
      </c>
      <c r="FV18" t="b">
        <f t="shared" si="36"/>
        <v>0</v>
      </c>
      <c r="FW18" t="b">
        <f t="shared" si="36"/>
        <v>0</v>
      </c>
      <c r="FX18" t="b">
        <f t="shared" si="36"/>
        <v>0</v>
      </c>
      <c r="FY18" t="b">
        <f t="shared" si="36"/>
        <v>0</v>
      </c>
      <c r="FZ18" t="b">
        <f t="shared" si="36"/>
        <v>0</v>
      </c>
      <c r="GA18" t="b">
        <f t="shared" si="36"/>
        <v>0</v>
      </c>
      <c r="GB18" t="b">
        <f t="shared" si="36"/>
        <v>0</v>
      </c>
      <c r="GC18" t="b">
        <f t="shared" si="36"/>
        <v>0</v>
      </c>
      <c r="GD18" t="b">
        <f t="shared" si="36"/>
        <v>0</v>
      </c>
      <c r="GE18" t="b">
        <f t="shared" si="36"/>
        <v>0</v>
      </c>
      <c r="GF18" t="b">
        <f t="shared" si="37"/>
        <v>0</v>
      </c>
      <c r="GG18" t="b">
        <f t="shared" si="37"/>
        <v>0</v>
      </c>
      <c r="GH18" t="b">
        <f t="shared" si="37"/>
        <v>0</v>
      </c>
      <c r="GI18" t="b">
        <f t="shared" si="37"/>
        <v>0</v>
      </c>
      <c r="GJ18" t="b">
        <f t="shared" si="37"/>
        <v>0</v>
      </c>
      <c r="GK18" t="b">
        <f t="shared" si="37"/>
        <v>0</v>
      </c>
      <c r="GL18" t="b">
        <f t="shared" si="37"/>
        <v>0</v>
      </c>
      <c r="GM18" t="b">
        <f t="shared" si="37"/>
        <v>0</v>
      </c>
      <c r="GN18" t="b">
        <f t="shared" si="37"/>
        <v>0</v>
      </c>
      <c r="GO18" t="b">
        <f t="shared" si="37"/>
        <v>0</v>
      </c>
      <c r="GP18" t="b">
        <f t="shared" si="38"/>
        <v>0</v>
      </c>
      <c r="GQ18" t="b">
        <f t="shared" si="38"/>
        <v>0</v>
      </c>
      <c r="GR18" t="b">
        <f t="shared" si="38"/>
        <v>0</v>
      </c>
      <c r="GS18" t="b">
        <f t="shared" si="38"/>
        <v>0</v>
      </c>
      <c r="GT18" t="b">
        <f t="shared" si="38"/>
        <v>0</v>
      </c>
      <c r="GU18" t="b">
        <f t="shared" si="38"/>
        <v>0</v>
      </c>
      <c r="GV18" t="b">
        <f t="shared" si="38"/>
        <v>0</v>
      </c>
      <c r="GW18" t="b">
        <f t="shared" si="38"/>
        <v>0</v>
      </c>
      <c r="GX18" t="b">
        <f t="shared" si="38"/>
        <v>0</v>
      </c>
      <c r="GY18" t="b">
        <f t="shared" si="38"/>
        <v>0</v>
      </c>
      <c r="GZ18" t="b">
        <f t="shared" si="38"/>
        <v>0</v>
      </c>
    </row>
    <row r="19" spans="1:208" hidden="1" x14ac:dyDescent="0.3">
      <c r="A19" t="s">
        <v>28</v>
      </c>
      <c r="B19" t="s">
        <v>29</v>
      </c>
      <c r="C19" t="s">
        <v>31</v>
      </c>
      <c r="D19" s="3">
        <v>4</v>
      </c>
      <c r="E19" s="3">
        <v>5</v>
      </c>
      <c r="F19" s="3">
        <v>18</v>
      </c>
      <c r="G19" s="3">
        <v>220</v>
      </c>
      <c r="H19" t="str">
        <f t="shared" si="19"/>
        <v>4-5</v>
      </c>
      <c r="I19" t="b">
        <v>1</v>
      </c>
      <c r="Q19" s="6">
        <v>19</v>
      </c>
      <c r="R19" t="b">
        <f t="shared" si="20"/>
        <v>0</v>
      </c>
      <c r="S19" t="b">
        <f t="shared" si="20"/>
        <v>0</v>
      </c>
      <c r="T19" t="b">
        <f t="shared" si="20"/>
        <v>0</v>
      </c>
      <c r="U19" t="b">
        <f t="shared" si="20"/>
        <v>0</v>
      </c>
      <c r="V19" t="b">
        <f t="shared" si="20"/>
        <v>0</v>
      </c>
      <c r="W19" t="b">
        <f t="shared" si="20"/>
        <v>0</v>
      </c>
      <c r="X19" t="b">
        <f t="shared" si="20"/>
        <v>0</v>
      </c>
      <c r="Y19" t="b">
        <f t="shared" si="20"/>
        <v>0</v>
      </c>
      <c r="Z19" t="b">
        <f t="shared" si="20"/>
        <v>0</v>
      </c>
      <c r="AA19" t="b">
        <f t="shared" si="20"/>
        <v>0</v>
      </c>
      <c r="AB19" t="b">
        <f t="shared" si="21"/>
        <v>0</v>
      </c>
      <c r="AC19" t="b">
        <f t="shared" si="21"/>
        <v>0</v>
      </c>
      <c r="AD19" t="b">
        <f t="shared" si="21"/>
        <v>0</v>
      </c>
      <c r="AE19" t="b">
        <f t="shared" si="21"/>
        <v>0</v>
      </c>
      <c r="AF19" t="b">
        <f t="shared" si="21"/>
        <v>0</v>
      </c>
      <c r="AG19" t="b">
        <f t="shared" si="21"/>
        <v>0</v>
      </c>
      <c r="AH19" t="b">
        <f t="shared" si="21"/>
        <v>0</v>
      </c>
      <c r="AI19" t="b">
        <f t="shared" si="21"/>
        <v>0</v>
      </c>
      <c r="AJ19" t="b">
        <f t="shared" si="21"/>
        <v>0</v>
      </c>
      <c r="AK19" t="b">
        <f t="shared" si="21"/>
        <v>0</v>
      </c>
      <c r="AL19" t="b">
        <f t="shared" si="22"/>
        <v>0</v>
      </c>
      <c r="AM19" t="b">
        <f t="shared" si="22"/>
        <v>0</v>
      </c>
      <c r="AN19" t="b">
        <f t="shared" si="22"/>
        <v>0</v>
      </c>
      <c r="AO19" t="b">
        <f t="shared" si="22"/>
        <v>0</v>
      </c>
      <c r="AP19" t="b">
        <f t="shared" si="22"/>
        <v>0</v>
      </c>
      <c r="AQ19" t="b">
        <f t="shared" si="22"/>
        <v>0</v>
      </c>
      <c r="AR19" t="b">
        <f t="shared" si="22"/>
        <v>0</v>
      </c>
      <c r="AS19" t="b">
        <f t="shared" si="22"/>
        <v>0</v>
      </c>
      <c r="AT19" t="b">
        <f t="shared" si="22"/>
        <v>0</v>
      </c>
      <c r="AU19" t="b">
        <f t="shared" si="22"/>
        <v>0</v>
      </c>
      <c r="AV19" t="b">
        <f t="shared" si="23"/>
        <v>0</v>
      </c>
      <c r="AW19" t="b">
        <f t="shared" si="23"/>
        <v>0</v>
      </c>
      <c r="AX19" t="b">
        <f t="shared" si="23"/>
        <v>0</v>
      </c>
      <c r="AY19" t="b">
        <f t="shared" si="23"/>
        <v>0</v>
      </c>
      <c r="AZ19" t="b">
        <f t="shared" si="23"/>
        <v>0</v>
      </c>
      <c r="BA19" t="b">
        <f t="shared" si="23"/>
        <v>0</v>
      </c>
      <c r="BB19" t="b">
        <f t="shared" si="23"/>
        <v>0</v>
      </c>
      <c r="BC19" t="b">
        <f t="shared" si="23"/>
        <v>0</v>
      </c>
      <c r="BD19" t="b">
        <f t="shared" si="23"/>
        <v>0</v>
      </c>
      <c r="BE19" t="b">
        <f t="shared" si="23"/>
        <v>0</v>
      </c>
      <c r="BF19" t="b">
        <f t="shared" si="24"/>
        <v>0</v>
      </c>
      <c r="BG19" t="b">
        <f t="shared" si="24"/>
        <v>0</v>
      </c>
      <c r="BH19" t="b">
        <f t="shared" si="24"/>
        <v>0</v>
      </c>
      <c r="BI19" t="b">
        <f t="shared" si="24"/>
        <v>0</v>
      </c>
      <c r="BJ19" t="b">
        <f t="shared" si="24"/>
        <v>0</v>
      </c>
      <c r="BK19" t="b">
        <f t="shared" si="24"/>
        <v>0</v>
      </c>
      <c r="BL19" t="b">
        <f t="shared" si="24"/>
        <v>0</v>
      </c>
      <c r="BM19" t="b">
        <f t="shared" si="24"/>
        <v>0</v>
      </c>
      <c r="BN19" t="b">
        <f t="shared" si="24"/>
        <v>0</v>
      </c>
      <c r="BO19" t="b">
        <f t="shared" si="24"/>
        <v>0</v>
      </c>
      <c r="BP19" t="b">
        <f t="shared" si="25"/>
        <v>1</v>
      </c>
      <c r="BQ19" t="b">
        <f t="shared" si="25"/>
        <v>0</v>
      </c>
      <c r="BR19" t="b">
        <f t="shared" si="25"/>
        <v>0</v>
      </c>
      <c r="BS19" t="b">
        <f t="shared" si="25"/>
        <v>0</v>
      </c>
      <c r="BT19" t="b">
        <f t="shared" si="25"/>
        <v>0</v>
      </c>
      <c r="BU19" t="b">
        <f t="shared" si="25"/>
        <v>0</v>
      </c>
      <c r="BV19" t="b">
        <f t="shared" si="25"/>
        <v>0</v>
      </c>
      <c r="BW19" t="b">
        <f t="shared" si="25"/>
        <v>0</v>
      </c>
      <c r="BX19" t="b">
        <f t="shared" si="25"/>
        <v>0</v>
      </c>
      <c r="BY19" t="b">
        <f t="shared" si="25"/>
        <v>0</v>
      </c>
      <c r="BZ19" t="b">
        <f t="shared" si="26"/>
        <v>0</v>
      </c>
      <c r="CA19" t="b">
        <f t="shared" si="26"/>
        <v>0</v>
      </c>
      <c r="CB19" t="b">
        <f t="shared" si="26"/>
        <v>0</v>
      </c>
      <c r="CC19" t="b">
        <f t="shared" si="26"/>
        <v>0</v>
      </c>
      <c r="CD19" t="b">
        <f t="shared" si="26"/>
        <v>0</v>
      </c>
      <c r="CE19" t="b">
        <f t="shared" si="26"/>
        <v>0</v>
      </c>
      <c r="CF19" t="b">
        <f t="shared" si="26"/>
        <v>0</v>
      </c>
      <c r="CG19" t="b">
        <f t="shared" si="26"/>
        <v>0</v>
      </c>
      <c r="CH19" t="b">
        <f t="shared" si="26"/>
        <v>0</v>
      </c>
      <c r="CI19" t="b">
        <f t="shared" si="26"/>
        <v>0</v>
      </c>
      <c r="CJ19" t="b">
        <f t="shared" si="27"/>
        <v>0</v>
      </c>
      <c r="CK19" t="b">
        <f t="shared" si="27"/>
        <v>0</v>
      </c>
      <c r="CL19" t="b">
        <f t="shared" si="27"/>
        <v>0</v>
      </c>
      <c r="CM19" t="b">
        <f t="shared" si="27"/>
        <v>0</v>
      </c>
      <c r="CN19" t="b">
        <f t="shared" si="27"/>
        <v>0</v>
      </c>
      <c r="CO19" t="b">
        <f t="shared" si="27"/>
        <v>0</v>
      </c>
      <c r="CP19" t="b">
        <f t="shared" si="27"/>
        <v>0</v>
      </c>
      <c r="CQ19" t="b">
        <f t="shared" si="27"/>
        <v>0</v>
      </c>
      <c r="CR19" t="b">
        <f t="shared" si="27"/>
        <v>0</v>
      </c>
      <c r="CS19" t="b">
        <f t="shared" si="27"/>
        <v>0</v>
      </c>
      <c r="CT19" t="b">
        <f t="shared" si="28"/>
        <v>0</v>
      </c>
      <c r="CU19" t="b">
        <f t="shared" si="28"/>
        <v>0</v>
      </c>
      <c r="CV19" t="b">
        <f t="shared" si="28"/>
        <v>0</v>
      </c>
      <c r="CW19" t="b">
        <f t="shared" si="28"/>
        <v>0</v>
      </c>
      <c r="CX19" t="b">
        <f t="shared" si="28"/>
        <v>0</v>
      </c>
      <c r="CY19" t="b">
        <f t="shared" si="28"/>
        <v>0</v>
      </c>
      <c r="CZ19" t="b">
        <f t="shared" si="28"/>
        <v>0</v>
      </c>
      <c r="DA19" t="b">
        <f t="shared" si="28"/>
        <v>0</v>
      </c>
      <c r="DB19" t="b">
        <f t="shared" si="28"/>
        <v>0</v>
      </c>
      <c r="DC19" t="b">
        <f t="shared" si="28"/>
        <v>0</v>
      </c>
      <c r="DD19" t="b">
        <f t="shared" si="29"/>
        <v>0</v>
      </c>
      <c r="DE19" t="b">
        <f t="shared" si="29"/>
        <v>0</v>
      </c>
      <c r="DF19" t="b">
        <f t="shared" si="29"/>
        <v>0</v>
      </c>
      <c r="DG19" t="b">
        <f t="shared" si="29"/>
        <v>0</v>
      </c>
      <c r="DH19" t="b">
        <f t="shared" si="29"/>
        <v>0</v>
      </c>
      <c r="DI19" t="b">
        <f t="shared" si="29"/>
        <v>0</v>
      </c>
      <c r="DJ19" t="b">
        <f t="shared" si="29"/>
        <v>0</v>
      </c>
      <c r="DK19" t="b">
        <f t="shared" si="29"/>
        <v>0</v>
      </c>
      <c r="DL19" t="b">
        <f t="shared" si="29"/>
        <v>0</v>
      </c>
      <c r="DM19" t="b">
        <f t="shared" si="29"/>
        <v>0</v>
      </c>
      <c r="DN19" t="b">
        <f t="shared" si="30"/>
        <v>0</v>
      </c>
      <c r="DO19" t="b">
        <f t="shared" si="30"/>
        <v>0</v>
      </c>
      <c r="DP19" t="b">
        <f t="shared" si="30"/>
        <v>0</v>
      </c>
      <c r="DQ19" t="b">
        <f t="shared" si="30"/>
        <v>0</v>
      </c>
      <c r="DR19" t="b">
        <f t="shared" si="30"/>
        <v>0</v>
      </c>
      <c r="DS19" t="b">
        <f t="shared" si="30"/>
        <v>0</v>
      </c>
      <c r="DT19" t="b">
        <f t="shared" si="30"/>
        <v>0</v>
      </c>
      <c r="DU19" t="b">
        <f t="shared" si="30"/>
        <v>0</v>
      </c>
      <c r="DV19" t="b">
        <f t="shared" si="30"/>
        <v>0</v>
      </c>
      <c r="DW19" t="b">
        <f t="shared" si="30"/>
        <v>0</v>
      </c>
      <c r="DX19" t="b">
        <f t="shared" si="31"/>
        <v>0</v>
      </c>
      <c r="DY19" t="b">
        <f t="shared" si="31"/>
        <v>0</v>
      </c>
      <c r="DZ19" t="b">
        <f t="shared" si="31"/>
        <v>0</v>
      </c>
      <c r="EA19" t="b">
        <f t="shared" si="31"/>
        <v>0</v>
      </c>
      <c r="EB19" t="b">
        <f t="shared" si="31"/>
        <v>0</v>
      </c>
      <c r="EC19" t="b">
        <f t="shared" si="31"/>
        <v>0</v>
      </c>
      <c r="ED19" t="b">
        <f t="shared" si="31"/>
        <v>0</v>
      </c>
      <c r="EE19" t="b">
        <f t="shared" si="31"/>
        <v>0</v>
      </c>
      <c r="EF19" t="b">
        <f t="shared" si="31"/>
        <v>0</v>
      </c>
      <c r="EG19" t="b">
        <f t="shared" si="31"/>
        <v>0</v>
      </c>
      <c r="EH19" t="b">
        <f t="shared" si="32"/>
        <v>0</v>
      </c>
      <c r="EI19" t="b">
        <f t="shared" si="32"/>
        <v>0</v>
      </c>
      <c r="EJ19" t="b">
        <f t="shared" si="32"/>
        <v>0</v>
      </c>
      <c r="EK19" t="b">
        <f t="shared" si="32"/>
        <v>0</v>
      </c>
      <c r="EL19" t="b">
        <f t="shared" si="32"/>
        <v>0</v>
      </c>
      <c r="EM19" t="b">
        <f t="shared" si="32"/>
        <v>0</v>
      </c>
      <c r="EN19" t="b">
        <f t="shared" si="32"/>
        <v>0</v>
      </c>
      <c r="EO19" t="b">
        <f t="shared" si="32"/>
        <v>0</v>
      </c>
      <c r="EP19" t="b">
        <f t="shared" si="32"/>
        <v>0</v>
      </c>
      <c r="EQ19" t="b">
        <f t="shared" si="32"/>
        <v>0</v>
      </c>
      <c r="ER19" t="b">
        <f t="shared" si="33"/>
        <v>0</v>
      </c>
      <c r="ES19" t="b">
        <f t="shared" si="33"/>
        <v>0</v>
      </c>
      <c r="ET19" t="b">
        <f t="shared" si="33"/>
        <v>0</v>
      </c>
      <c r="EU19" t="b">
        <f t="shared" si="33"/>
        <v>0</v>
      </c>
      <c r="EV19" t="b">
        <f t="shared" si="33"/>
        <v>0</v>
      </c>
      <c r="EW19" t="b">
        <f t="shared" si="33"/>
        <v>0</v>
      </c>
      <c r="EX19" t="b">
        <f t="shared" si="33"/>
        <v>0</v>
      </c>
      <c r="EY19" t="b">
        <f t="shared" si="33"/>
        <v>0</v>
      </c>
      <c r="EZ19" t="b">
        <f t="shared" si="33"/>
        <v>0</v>
      </c>
      <c r="FA19" t="b">
        <f t="shared" si="33"/>
        <v>0</v>
      </c>
      <c r="FB19" t="b">
        <f t="shared" si="34"/>
        <v>0</v>
      </c>
      <c r="FC19" t="b">
        <f t="shared" si="34"/>
        <v>0</v>
      </c>
      <c r="FD19" t="b">
        <f t="shared" si="34"/>
        <v>0</v>
      </c>
      <c r="FE19" t="b">
        <f t="shared" si="34"/>
        <v>0</v>
      </c>
      <c r="FF19" t="b">
        <f t="shared" si="34"/>
        <v>0</v>
      </c>
      <c r="FG19" t="b">
        <f t="shared" si="34"/>
        <v>0</v>
      </c>
      <c r="FH19" t="b">
        <f t="shared" si="34"/>
        <v>0</v>
      </c>
      <c r="FI19" t="b">
        <f t="shared" si="34"/>
        <v>0</v>
      </c>
      <c r="FJ19" t="b">
        <f t="shared" si="34"/>
        <v>0</v>
      </c>
      <c r="FK19" t="b">
        <f t="shared" si="34"/>
        <v>0</v>
      </c>
      <c r="FL19" t="b">
        <f t="shared" si="35"/>
        <v>0</v>
      </c>
      <c r="FM19" t="b">
        <f t="shared" si="35"/>
        <v>0</v>
      </c>
      <c r="FN19" t="b">
        <f t="shared" si="35"/>
        <v>0</v>
      </c>
      <c r="FO19" t="b">
        <f t="shared" si="35"/>
        <v>0</v>
      </c>
      <c r="FP19" t="b">
        <f t="shared" si="35"/>
        <v>0</v>
      </c>
      <c r="FQ19" t="b">
        <f t="shared" si="35"/>
        <v>0</v>
      </c>
      <c r="FR19" t="b">
        <f t="shared" si="35"/>
        <v>0</v>
      </c>
      <c r="FS19" t="b">
        <f t="shared" si="35"/>
        <v>0</v>
      </c>
      <c r="FT19" t="b">
        <f t="shared" si="35"/>
        <v>0</v>
      </c>
      <c r="FU19" t="b">
        <f t="shared" si="35"/>
        <v>0</v>
      </c>
      <c r="FV19" t="b">
        <f t="shared" si="36"/>
        <v>0</v>
      </c>
      <c r="FW19" t="b">
        <f t="shared" si="36"/>
        <v>0</v>
      </c>
      <c r="FX19" t="b">
        <f t="shared" si="36"/>
        <v>0</v>
      </c>
      <c r="FY19" t="b">
        <f t="shared" si="36"/>
        <v>0</v>
      </c>
      <c r="FZ19" t="b">
        <f t="shared" si="36"/>
        <v>0</v>
      </c>
      <c r="GA19" t="b">
        <f t="shared" si="36"/>
        <v>0</v>
      </c>
      <c r="GB19" t="b">
        <f t="shared" si="36"/>
        <v>0</v>
      </c>
      <c r="GC19" t="b">
        <f t="shared" si="36"/>
        <v>0</v>
      </c>
      <c r="GD19" t="b">
        <f t="shared" si="36"/>
        <v>0</v>
      </c>
      <c r="GE19" t="b">
        <f t="shared" si="36"/>
        <v>0</v>
      </c>
      <c r="GF19" t="b">
        <f t="shared" si="37"/>
        <v>0</v>
      </c>
      <c r="GG19" t="b">
        <f t="shared" si="37"/>
        <v>0</v>
      </c>
      <c r="GH19" t="b">
        <f t="shared" si="37"/>
        <v>0</v>
      </c>
      <c r="GI19" t="b">
        <f t="shared" si="37"/>
        <v>0</v>
      </c>
      <c r="GJ19" t="b">
        <f t="shared" si="37"/>
        <v>0</v>
      </c>
      <c r="GK19" t="b">
        <f t="shared" si="37"/>
        <v>0</v>
      </c>
      <c r="GL19" t="b">
        <f t="shared" si="37"/>
        <v>0</v>
      </c>
      <c r="GM19" t="b">
        <f t="shared" si="37"/>
        <v>0</v>
      </c>
      <c r="GN19" t="b">
        <f t="shared" si="37"/>
        <v>0</v>
      </c>
      <c r="GO19" t="b">
        <f t="shared" si="37"/>
        <v>0</v>
      </c>
      <c r="GP19" t="b">
        <f t="shared" si="38"/>
        <v>0</v>
      </c>
      <c r="GQ19" t="b">
        <f t="shared" si="38"/>
        <v>0</v>
      </c>
      <c r="GR19" t="b">
        <f t="shared" si="38"/>
        <v>0</v>
      </c>
      <c r="GS19" t="b">
        <f t="shared" si="38"/>
        <v>0</v>
      </c>
      <c r="GT19" t="b">
        <f t="shared" si="38"/>
        <v>0</v>
      </c>
      <c r="GU19" t="b">
        <f t="shared" si="38"/>
        <v>0</v>
      </c>
      <c r="GV19" t="b">
        <f t="shared" si="38"/>
        <v>0</v>
      </c>
      <c r="GW19" t="b">
        <f t="shared" si="38"/>
        <v>0</v>
      </c>
      <c r="GX19" t="b">
        <f t="shared" si="38"/>
        <v>0</v>
      </c>
      <c r="GY19" t="b">
        <f t="shared" si="38"/>
        <v>0</v>
      </c>
      <c r="GZ19" t="b">
        <f t="shared" si="38"/>
        <v>0</v>
      </c>
    </row>
    <row r="20" spans="1:208" hidden="1" x14ac:dyDescent="0.3">
      <c r="A20" t="s">
        <v>28</v>
      </c>
      <c r="B20" t="s">
        <v>29</v>
      </c>
      <c r="C20" t="s">
        <v>32</v>
      </c>
      <c r="D20" s="3">
        <v>4</v>
      </c>
      <c r="E20" s="3">
        <v>5</v>
      </c>
      <c r="F20" s="3">
        <v>19</v>
      </c>
      <c r="G20" s="3">
        <v>480</v>
      </c>
      <c r="H20" t="str">
        <f t="shared" si="19"/>
        <v>4-5</v>
      </c>
      <c r="I20" t="b">
        <v>1</v>
      </c>
      <c r="Q20" s="6">
        <v>20</v>
      </c>
      <c r="R20" t="b">
        <f t="shared" si="20"/>
        <v>0</v>
      </c>
      <c r="S20" t="b">
        <f t="shared" si="20"/>
        <v>0</v>
      </c>
      <c r="T20" t="b">
        <f t="shared" si="20"/>
        <v>0</v>
      </c>
      <c r="U20" t="b">
        <f t="shared" si="20"/>
        <v>0</v>
      </c>
      <c r="V20" t="b">
        <f t="shared" si="20"/>
        <v>0</v>
      </c>
      <c r="W20" t="b">
        <f t="shared" si="20"/>
        <v>0</v>
      </c>
      <c r="X20" t="b">
        <f t="shared" si="20"/>
        <v>0</v>
      </c>
      <c r="Y20" t="b">
        <f t="shared" si="20"/>
        <v>0</v>
      </c>
      <c r="Z20" t="b">
        <f t="shared" si="20"/>
        <v>0</v>
      </c>
      <c r="AA20" t="b">
        <f t="shared" si="20"/>
        <v>0</v>
      </c>
      <c r="AB20" t="b">
        <f t="shared" si="21"/>
        <v>0</v>
      </c>
      <c r="AC20" t="b">
        <f t="shared" si="21"/>
        <v>0</v>
      </c>
      <c r="AD20" t="b">
        <f t="shared" si="21"/>
        <v>0</v>
      </c>
      <c r="AE20" t="b">
        <f t="shared" si="21"/>
        <v>0</v>
      </c>
      <c r="AF20" t="b">
        <f t="shared" si="21"/>
        <v>0</v>
      </c>
      <c r="AG20" t="b">
        <f t="shared" si="21"/>
        <v>0</v>
      </c>
      <c r="AH20" t="b">
        <f t="shared" si="21"/>
        <v>0</v>
      </c>
      <c r="AI20" t="b">
        <f t="shared" si="21"/>
        <v>0</v>
      </c>
      <c r="AJ20" t="b">
        <f t="shared" si="21"/>
        <v>0</v>
      </c>
      <c r="AK20" t="b">
        <f t="shared" si="21"/>
        <v>0</v>
      </c>
      <c r="AL20" t="b">
        <f t="shared" si="22"/>
        <v>0</v>
      </c>
      <c r="AM20" t="b">
        <f t="shared" si="22"/>
        <v>0</v>
      </c>
      <c r="AN20" t="b">
        <f t="shared" si="22"/>
        <v>0</v>
      </c>
      <c r="AO20" t="b">
        <f t="shared" si="22"/>
        <v>0</v>
      </c>
      <c r="AP20" t="b">
        <f t="shared" si="22"/>
        <v>0</v>
      </c>
      <c r="AQ20" t="b">
        <f t="shared" si="22"/>
        <v>0</v>
      </c>
      <c r="AR20" t="b">
        <f t="shared" si="22"/>
        <v>0</v>
      </c>
      <c r="AS20" t="b">
        <f t="shared" si="22"/>
        <v>0</v>
      </c>
      <c r="AT20" t="b">
        <f t="shared" si="22"/>
        <v>0</v>
      </c>
      <c r="AU20" t="b">
        <f t="shared" si="22"/>
        <v>0</v>
      </c>
      <c r="AV20" t="b">
        <f t="shared" si="23"/>
        <v>0</v>
      </c>
      <c r="AW20" t="b">
        <f t="shared" si="23"/>
        <v>0</v>
      </c>
      <c r="AX20" t="b">
        <f t="shared" si="23"/>
        <v>0</v>
      </c>
      <c r="AY20" t="b">
        <f t="shared" si="23"/>
        <v>0</v>
      </c>
      <c r="AZ20" t="b">
        <f t="shared" si="23"/>
        <v>0</v>
      </c>
      <c r="BA20" t="b">
        <f t="shared" si="23"/>
        <v>0</v>
      </c>
      <c r="BB20" t="b">
        <f t="shared" si="23"/>
        <v>0</v>
      </c>
      <c r="BC20" t="b">
        <f t="shared" si="23"/>
        <v>0</v>
      </c>
      <c r="BD20" t="b">
        <f t="shared" si="23"/>
        <v>0</v>
      </c>
      <c r="BE20" t="b">
        <f t="shared" si="23"/>
        <v>0</v>
      </c>
      <c r="BF20" t="b">
        <f t="shared" si="24"/>
        <v>0</v>
      </c>
      <c r="BG20" t="b">
        <f t="shared" si="24"/>
        <v>0</v>
      </c>
      <c r="BH20" t="b">
        <f t="shared" si="24"/>
        <v>0</v>
      </c>
      <c r="BI20" t="b">
        <f t="shared" si="24"/>
        <v>0</v>
      </c>
      <c r="BJ20" t="b">
        <f t="shared" si="24"/>
        <v>0</v>
      </c>
      <c r="BK20" t="b">
        <f t="shared" si="24"/>
        <v>0</v>
      </c>
      <c r="BL20" t="b">
        <f t="shared" si="24"/>
        <v>0</v>
      </c>
      <c r="BM20" t="b">
        <f t="shared" si="24"/>
        <v>0</v>
      </c>
      <c r="BN20" t="b">
        <f t="shared" si="24"/>
        <v>0</v>
      </c>
      <c r="BO20" t="b">
        <f t="shared" si="24"/>
        <v>0</v>
      </c>
      <c r="BP20" t="b">
        <f t="shared" si="25"/>
        <v>0</v>
      </c>
      <c r="BQ20" t="b">
        <f t="shared" si="25"/>
        <v>0</v>
      </c>
      <c r="BR20" t="b">
        <f t="shared" si="25"/>
        <v>0</v>
      </c>
      <c r="BS20" t="b">
        <f t="shared" si="25"/>
        <v>0</v>
      </c>
      <c r="BT20" t="b">
        <f t="shared" si="25"/>
        <v>0</v>
      </c>
      <c r="BU20" t="b">
        <f t="shared" si="25"/>
        <v>0</v>
      </c>
      <c r="BV20" t="b">
        <f t="shared" si="25"/>
        <v>0</v>
      </c>
      <c r="BW20" t="b">
        <f t="shared" si="25"/>
        <v>0</v>
      </c>
      <c r="BX20" t="b">
        <f t="shared" si="25"/>
        <v>1</v>
      </c>
      <c r="BY20" t="b">
        <f t="shared" si="25"/>
        <v>0</v>
      </c>
      <c r="BZ20" t="b">
        <f t="shared" si="26"/>
        <v>0</v>
      </c>
      <c r="CA20" t="b">
        <f t="shared" si="26"/>
        <v>0</v>
      </c>
      <c r="CB20" t="b">
        <f t="shared" si="26"/>
        <v>0</v>
      </c>
      <c r="CC20" t="b">
        <f t="shared" si="26"/>
        <v>0</v>
      </c>
      <c r="CD20" t="b">
        <f t="shared" si="26"/>
        <v>0</v>
      </c>
      <c r="CE20" t="b">
        <f t="shared" si="26"/>
        <v>0</v>
      </c>
      <c r="CF20" t="b">
        <f t="shared" si="26"/>
        <v>0</v>
      </c>
      <c r="CG20" t="b">
        <f t="shared" si="26"/>
        <v>0</v>
      </c>
      <c r="CH20" t="b">
        <f t="shared" si="26"/>
        <v>0</v>
      </c>
      <c r="CI20" t="b">
        <f t="shared" si="26"/>
        <v>0</v>
      </c>
      <c r="CJ20" t="b">
        <f t="shared" si="27"/>
        <v>0</v>
      </c>
      <c r="CK20" t="b">
        <f t="shared" si="27"/>
        <v>0</v>
      </c>
      <c r="CL20" t="b">
        <f t="shared" si="27"/>
        <v>0</v>
      </c>
      <c r="CM20" t="b">
        <f t="shared" si="27"/>
        <v>0</v>
      </c>
      <c r="CN20" t="b">
        <f t="shared" si="27"/>
        <v>0</v>
      </c>
      <c r="CO20" t="b">
        <f t="shared" si="27"/>
        <v>0</v>
      </c>
      <c r="CP20" t="b">
        <f t="shared" si="27"/>
        <v>0</v>
      </c>
      <c r="CQ20" t="b">
        <f t="shared" si="27"/>
        <v>0</v>
      </c>
      <c r="CR20" t="b">
        <f t="shared" si="27"/>
        <v>0</v>
      </c>
      <c r="CS20" t="b">
        <f t="shared" si="27"/>
        <v>0</v>
      </c>
      <c r="CT20" t="b">
        <f t="shared" si="28"/>
        <v>0</v>
      </c>
      <c r="CU20" t="b">
        <f t="shared" si="28"/>
        <v>0</v>
      </c>
      <c r="CV20" t="b">
        <f t="shared" si="28"/>
        <v>0</v>
      </c>
      <c r="CW20" t="b">
        <f t="shared" si="28"/>
        <v>0</v>
      </c>
      <c r="CX20" t="b">
        <f t="shared" si="28"/>
        <v>0</v>
      </c>
      <c r="CY20" t="b">
        <f t="shared" si="28"/>
        <v>0</v>
      </c>
      <c r="CZ20" t="b">
        <f t="shared" si="28"/>
        <v>0</v>
      </c>
      <c r="DA20" t="b">
        <f t="shared" si="28"/>
        <v>0</v>
      </c>
      <c r="DB20" t="b">
        <f t="shared" si="28"/>
        <v>0</v>
      </c>
      <c r="DC20" t="b">
        <f t="shared" si="28"/>
        <v>0</v>
      </c>
      <c r="DD20" t="b">
        <f t="shared" si="29"/>
        <v>0</v>
      </c>
      <c r="DE20" t="b">
        <f t="shared" si="29"/>
        <v>0</v>
      </c>
      <c r="DF20" t="b">
        <f t="shared" si="29"/>
        <v>0</v>
      </c>
      <c r="DG20" t="b">
        <f t="shared" si="29"/>
        <v>0</v>
      </c>
      <c r="DH20" t="b">
        <f t="shared" si="29"/>
        <v>0</v>
      </c>
      <c r="DI20" t="b">
        <f t="shared" si="29"/>
        <v>0</v>
      </c>
      <c r="DJ20" t="b">
        <f t="shared" si="29"/>
        <v>0</v>
      </c>
      <c r="DK20" t="b">
        <f t="shared" si="29"/>
        <v>0</v>
      </c>
      <c r="DL20" t="b">
        <f t="shared" si="29"/>
        <v>0</v>
      </c>
      <c r="DM20" t="b">
        <f t="shared" si="29"/>
        <v>0</v>
      </c>
      <c r="DN20" t="b">
        <f t="shared" si="30"/>
        <v>0</v>
      </c>
      <c r="DO20" t="b">
        <f t="shared" si="30"/>
        <v>0</v>
      </c>
      <c r="DP20" t="b">
        <f t="shared" si="30"/>
        <v>0</v>
      </c>
      <c r="DQ20" t="b">
        <f t="shared" si="30"/>
        <v>0</v>
      </c>
      <c r="DR20" t="b">
        <f t="shared" si="30"/>
        <v>0</v>
      </c>
      <c r="DS20" t="b">
        <f t="shared" si="30"/>
        <v>0</v>
      </c>
      <c r="DT20" t="b">
        <f t="shared" si="30"/>
        <v>0</v>
      </c>
      <c r="DU20" t="b">
        <f t="shared" si="30"/>
        <v>0</v>
      </c>
      <c r="DV20" t="b">
        <f t="shared" si="30"/>
        <v>0</v>
      </c>
      <c r="DW20" t="b">
        <f t="shared" si="30"/>
        <v>0</v>
      </c>
      <c r="DX20" t="b">
        <f t="shared" si="31"/>
        <v>0</v>
      </c>
      <c r="DY20" t="b">
        <f t="shared" si="31"/>
        <v>0</v>
      </c>
      <c r="DZ20" t="b">
        <f t="shared" si="31"/>
        <v>0</v>
      </c>
      <c r="EA20" t="b">
        <f t="shared" si="31"/>
        <v>0</v>
      </c>
      <c r="EB20" t="b">
        <f t="shared" si="31"/>
        <v>0</v>
      </c>
      <c r="EC20" t="b">
        <f t="shared" si="31"/>
        <v>0</v>
      </c>
      <c r="ED20" t="b">
        <f t="shared" si="31"/>
        <v>0</v>
      </c>
      <c r="EE20" t="b">
        <f t="shared" si="31"/>
        <v>0</v>
      </c>
      <c r="EF20" t="b">
        <f t="shared" si="31"/>
        <v>0</v>
      </c>
      <c r="EG20" t="b">
        <f t="shared" si="31"/>
        <v>0</v>
      </c>
      <c r="EH20" t="b">
        <f t="shared" si="32"/>
        <v>0</v>
      </c>
      <c r="EI20" t="b">
        <f t="shared" si="32"/>
        <v>0</v>
      </c>
      <c r="EJ20" t="b">
        <f t="shared" si="32"/>
        <v>0</v>
      </c>
      <c r="EK20" t="b">
        <f t="shared" si="32"/>
        <v>0</v>
      </c>
      <c r="EL20" t="b">
        <f t="shared" si="32"/>
        <v>0</v>
      </c>
      <c r="EM20" t="b">
        <f t="shared" si="32"/>
        <v>0</v>
      </c>
      <c r="EN20" t="b">
        <f t="shared" si="32"/>
        <v>0</v>
      </c>
      <c r="EO20" t="b">
        <f t="shared" si="32"/>
        <v>0</v>
      </c>
      <c r="EP20" t="b">
        <f t="shared" si="32"/>
        <v>0</v>
      </c>
      <c r="EQ20" t="b">
        <f t="shared" si="32"/>
        <v>0</v>
      </c>
      <c r="ER20" t="b">
        <f t="shared" si="33"/>
        <v>0</v>
      </c>
      <c r="ES20" t="b">
        <f t="shared" si="33"/>
        <v>0</v>
      </c>
      <c r="ET20" t="b">
        <f t="shared" si="33"/>
        <v>0</v>
      </c>
      <c r="EU20" t="b">
        <f t="shared" si="33"/>
        <v>0</v>
      </c>
      <c r="EV20" t="b">
        <f t="shared" si="33"/>
        <v>0</v>
      </c>
      <c r="EW20" t="b">
        <f t="shared" si="33"/>
        <v>0</v>
      </c>
      <c r="EX20" t="b">
        <f t="shared" si="33"/>
        <v>0</v>
      </c>
      <c r="EY20" t="b">
        <f t="shared" si="33"/>
        <v>0</v>
      </c>
      <c r="EZ20" t="b">
        <f t="shared" si="33"/>
        <v>0</v>
      </c>
      <c r="FA20" t="b">
        <f t="shared" si="33"/>
        <v>0</v>
      </c>
      <c r="FB20" t="b">
        <f t="shared" si="34"/>
        <v>0</v>
      </c>
      <c r="FC20" t="b">
        <f t="shared" si="34"/>
        <v>0</v>
      </c>
      <c r="FD20" t="b">
        <f t="shared" si="34"/>
        <v>0</v>
      </c>
      <c r="FE20" t="b">
        <f t="shared" si="34"/>
        <v>0</v>
      </c>
      <c r="FF20" t="b">
        <f t="shared" si="34"/>
        <v>0</v>
      </c>
      <c r="FG20" t="b">
        <f t="shared" si="34"/>
        <v>0</v>
      </c>
      <c r="FH20" t="b">
        <f t="shared" si="34"/>
        <v>0</v>
      </c>
      <c r="FI20" t="b">
        <f t="shared" si="34"/>
        <v>0</v>
      </c>
      <c r="FJ20" t="b">
        <f t="shared" si="34"/>
        <v>0</v>
      </c>
      <c r="FK20" t="b">
        <f t="shared" si="34"/>
        <v>0</v>
      </c>
      <c r="FL20" t="b">
        <f t="shared" si="35"/>
        <v>0</v>
      </c>
      <c r="FM20" t="b">
        <f t="shared" si="35"/>
        <v>0</v>
      </c>
      <c r="FN20" t="b">
        <f t="shared" si="35"/>
        <v>0</v>
      </c>
      <c r="FO20" t="b">
        <f t="shared" si="35"/>
        <v>0</v>
      </c>
      <c r="FP20" t="b">
        <f t="shared" si="35"/>
        <v>0</v>
      </c>
      <c r="FQ20" t="b">
        <f t="shared" si="35"/>
        <v>0</v>
      </c>
      <c r="FR20" t="b">
        <f t="shared" si="35"/>
        <v>0</v>
      </c>
      <c r="FS20" t="b">
        <f t="shared" si="35"/>
        <v>0</v>
      </c>
      <c r="FT20" t="b">
        <f t="shared" si="35"/>
        <v>0</v>
      </c>
      <c r="FU20" t="b">
        <f t="shared" si="35"/>
        <v>0</v>
      </c>
      <c r="FV20" t="b">
        <f t="shared" si="36"/>
        <v>0</v>
      </c>
      <c r="FW20" t="b">
        <f t="shared" si="36"/>
        <v>0</v>
      </c>
      <c r="FX20" t="b">
        <f t="shared" si="36"/>
        <v>0</v>
      </c>
      <c r="FY20" t="b">
        <f t="shared" si="36"/>
        <v>0</v>
      </c>
      <c r="FZ20" t="b">
        <f t="shared" si="36"/>
        <v>0</v>
      </c>
      <c r="GA20" t="b">
        <f t="shared" si="36"/>
        <v>0</v>
      </c>
      <c r="GB20" t="b">
        <f t="shared" si="36"/>
        <v>0</v>
      </c>
      <c r="GC20" t="b">
        <f t="shared" si="36"/>
        <v>0</v>
      </c>
      <c r="GD20" t="b">
        <f t="shared" si="36"/>
        <v>0</v>
      </c>
      <c r="GE20" t="b">
        <f t="shared" si="36"/>
        <v>0</v>
      </c>
      <c r="GF20" t="b">
        <f t="shared" si="37"/>
        <v>0</v>
      </c>
      <c r="GG20" t="b">
        <f t="shared" si="37"/>
        <v>0</v>
      </c>
      <c r="GH20" t="b">
        <f t="shared" si="37"/>
        <v>0</v>
      </c>
      <c r="GI20" t="b">
        <f t="shared" si="37"/>
        <v>0</v>
      </c>
      <c r="GJ20" t="b">
        <f t="shared" si="37"/>
        <v>0</v>
      </c>
      <c r="GK20" t="b">
        <f t="shared" si="37"/>
        <v>0</v>
      </c>
      <c r="GL20" t="b">
        <f t="shared" si="37"/>
        <v>0</v>
      </c>
      <c r="GM20" t="b">
        <f t="shared" si="37"/>
        <v>0</v>
      </c>
      <c r="GN20" t="b">
        <f t="shared" si="37"/>
        <v>0</v>
      </c>
      <c r="GO20" t="b">
        <f t="shared" si="37"/>
        <v>0</v>
      </c>
      <c r="GP20" t="b">
        <f t="shared" si="38"/>
        <v>0</v>
      </c>
      <c r="GQ20" t="b">
        <f t="shared" si="38"/>
        <v>0</v>
      </c>
      <c r="GR20" t="b">
        <f t="shared" si="38"/>
        <v>0</v>
      </c>
      <c r="GS20" t="b">
        <f t="shared" si="38"/>
        <v>0</v>
      </c>
      <c r="GT20" t="b">
        <f t="shared" si="38"/>
        <v>0</v>
      </c>
      <c r="GU20" t="b">
        <f t="shared" si="38"/>
        <v>0</v>
      </c>
      <c r="GV20" t="b">
        <f t="shared" si="38"/>
        <v>0</v>
      </c>
      <c r="GW20" t="b">
        <f t="shared" si="38"/>
        <v>0</v>
      </c>
      <c r="GX20" t="b">
        <f t="shared" si="38"/>
        <v>0</v>
      </c>
      <c r="GY20" t="b">
        <f t="shared" si="38"/>
        <v>0</v>
      </c>
      <c r="GZ20" t="b">
        <f t="shared" si="38"/>
        <v>0</v>
      </c>
    </row>
    <row r="21" spans="1:208" hidden="1" x14ac:dyDescent="0.3">
      <c r="A21" t="s">
        <v>28</v>
      </c>
      <c r="B21" t="s">
        <v>29</v>
      </c>
      <c r="C21" t="s">
        <v>33</v>
      </c>
      <c r="D21" s="3">
        <v>4</v>
      </c>
      <c r="E21" s="3">
        <v>5</v>
      </c>
      <c r="F21" s="3">
        <v>20</v>
      </c>
      <c r="G21" s="3">
        <v>410</v>
      </c>
      <c r="H21" t="str">
        <f t="shared" si="19"/>
        <v>4-5</v>
      </c>
      <c r="I21" t="b">
        <v>1</v>
      </c>
      <c r="Q21" s="6">
        <v>21</v>
      </c>
      <c r="R21" t="b">
        <f t="shared" si="20"/>
        <v>0</v>
      </c>
      <c r="S21" t="b">
        <f t="shared" si="20"/>
        <v>0</v>
      </c>
      <c r="T21" t="b">
        <f t="shared" si="20"/>
        <v>0</v>
      </c>
      <c r="U21" t="b">
        <f t="shared" si="20"/>
        <v>0</v>
      </c>
      <c r="V21" t="b">
        <f t="shared" si="20"/>
        <v>0</v>
      </c>
      <c r="W21" t="b">
        <f t="shared" si="20"/>
        <v>0</v>
      </c>
      <c r="X21" t="b">
        <f t="shared" si="20"/>
        <v>0</v>
      </c>
      <c r="Y21" t="b">
        <f t="shared" si="20"/>
        <v>0</v>
      </c>
      <c r="Z21" t="b">
        <f t="shared" si="20"/>
        <v>0</v>
      </c>
      <c r="AA21" t="b">
        <f t="shared" si="20"/>
        <v>0</v>
      </c>
      <c r="AB21" t="b">
        <f t="shared" si="21"/>
        <v>0</v>
      </c>
      <c r="AC21" t="b">
        <f t="shared" si="21"/>
        <v>0</v>
      </c>
      <c r="AD21" t="b">
        <f t="shared" si="21"/>
        <v>0</v>
      </c>
      <c r="AE21" t="b">
        <f t="shared" si="21"/>
        <v>0</v>
      </c>
      <c r="AF21" t="b">
        <f t="shared" si="21"/>
        <v>0</v>
      </c>
      <c r="AG21" t="b">
        <f t="shared" si="21"/>
        <v>0</v>
      </c>
      <c r="AH21" t="b">
        <f t="shared" si="21"/>
        <v>0</v>
      </c>
      <c r="AI21" t="b">
        <f t="shared" si="21"/>
        <v>0</v>
      </c>
      <c r="AJ21" t="b">
        <f t="shared" si="21"/>
        <v>0</v>
      </c>
      <c r="AK21" t="b">
        <f t="shared" si="21"/>
        <v>0</v>
      </c>
      <c r="AL21" t="b">
        <f t="shared" si="22"/>
        <v>0</v>
      </c>
      <c r="AM21" t="b">
        <f t="shared" si="22"/>
        <v>0</v>
      </c>
      <c r="AN21" t="b">
        <f t="shared" si="22"/>
        <v>0</v>
      </c>
      <c r="AO21" t="b">
        <f t="shared" si="22"/>
        <v>0</v>
      </c>
      <c r="AP21" t="b">
        <f t="shared" si="22"/>
        <v>0</v>
      </c>
      <c r="AQ21" t="b">
        <f t="shared" si="22"/>
        <v>0</v>
      </c>
      <c r="AR21" t="b">
        <f t="shared" si="22"/>
        <v>0</v>
      </c>
      <c r="AS21" t="b">
        <f t="shared" si="22"/>
        <v>0</v>
      </c>
      <c r="AT21" t="b">
        <f t="shared" si="22"/>
        <v>0</v>
      </c>
      <c r="AU21" t="b">
        <f t="shared" si="22"/>
        <v>0</v>
      </c>
      <c r="AV21" t="b">
        <f t="shared" si="23"/>
        <v>0</v>
      </c>
      <c r="AW21" t="b">
        <f t="shared" si="23"/>
        <v>0</v>
      </c>
      <c r="AX21" t="b">
        <f t="shared" si="23"/>
        <v>0</v>
      </c>
      <c r="AY21" t="b">
        <f t="shared" si="23"/>
        <v>0</v>
      </c>
      <c r="AZ21" t="b">
        <f t="shared" si="23"/>
        <v>0</v>
      </c>
      <c r="BA21" t="b">
        <f t="shared" si="23"/>
        <v>0</v>
      </c>
      <c r="BB21" t="b">
        <f t="shared" si="23"/>
        <v>0</v>
      </c>
      <c r="BC21" t="b">
        <f t="shared" si="23"/>
        <v>0</v>
      </c>
      <c r="BD21" t="b">
        <f t="shared" si="23"/>
        <v>0</v>
      </c>
      <c r="BE21" t="b">
        <f t="shared" si="23"/>
        <v>0</v>
      </c>
      <c r="BF21" t="b">
        <f t="shared" si="24"/>
        <v>0</v>
      </c>
      <c r="BG21" t="b">
        <f t="shared" si="24"/>
        <v>0</v>
      </c>
      <c r="BH21" t="b">
        <f t="shared" si="24"/>
        <v>0</v>
      </c>
      <c r="BI21" t="b">
        <f t="shared" si="24"/>
        <v>0</v>
      </c>
      <c r="BJ21" t="b">
        <f t="shared" si="24"/>
        <v>0</v>
      </c>
      <c r="BK21" t="b">
        <f t="shared" si="24"/>
        <v>0</v>
      </c>
      <c r="BL21" t="b">
        <f t="shared" si="24"/>
        <v>0</v>
      </c>
      <c r="BM21" t="b">
        <f t="shared" si="24"/>
        <v>0</v>
      </c>
      <c r="BN21" t="b">
        <f t="shared" si="24"/>
        <v>0</v>
      </c>
      <c r="BO21" t="b">
        <f t="shared" si="24"/>
        <v>0</v>
      </c>
      <c r="BP21" t="b">
        <f t="shared" si="25"/>
        <v>0</v>
      </c>
      <c r="BQ21" t="b">
        <f t="shared" si="25"/>
        <v>0</v>
      </c>
      <c r="BR21" t="b">
        <f t="shared" si="25"/>
        <v>0</v>
      </c>
      <c r="BS21" t="b">
        <f t="shared" si="25"/>
        <v>0</v>
      </c>
      <c r="BT21" t="b">
        <f t="shared" si="25"/>
        <v>0</v>
      </c>
      <c r="BU21" t="b">
        <f t="shared" si="25"/>
        <v>0</v>
      </c>
      <c r="BV21" t="b">
        <f t="shared" si="25"/>
        <v>0</v>
      </c>
      <c r="BW21" t="b">
        <f t="shared" si="25"/>
        <v>0</v>
      </c>
      <c r="BX21" t="b">
        <f t="shared" si="25"/>
        <v>0</v>
      </c>
      <c r="BY21" t="b">
        <f t="shared" si="25"/>
        <v>0</v>
      </c>
      <c r="BZ21" t="b">
        <f t="shared" si="26"/>
        <v>0</v>
      </c>
      <c r="CA21" t="b">
        <f t="shared" si="26"/>
        <v>0</v>
      </c>
      <c r="CB21" t="b">
        <f t="shared" si="26"/>
        <v>0</v>
      </c>
      <c r="CC21" t="b">
        <f t="shared" si="26"/>
        <v>0</v>
      </c>
      <c r="CD21" t="b">
        <f t="shared" si="26"/>
        <v>0</v>
      </c>
      <c r="CE21" t="b">
        <f t="shared" si="26"/>
        <v>0</v>
      </c>
      <c r="CF21" t="b">
        <f t="shared" si="26"/>
        <v>0</v>
      </c>
      <c r="CG21" t="b">
        <f t="shared" si="26"/>
        <v>0</v>
      </c>
      <c r="CH21" t="b">
        <f t="shared" si="26"/>
        <v>0</v>
      </c>
      <c r="CI21" t="b">
        <f t="shared" si="26"/>
        <v>0</v>
      </c>
      <c r="CJ21" t="b">
        <f t="shared" si="27"/>
        <v>0</v>
      </c>
      <c r="CK21" t="b">
        <f t="shared" si="27"/>
        <v>0</v>
      </c>
      <c r="CL21" t="b">
        <f t="shared" si="27"/>
        <v>0</v>
      </c>
      <c r="CM21" t="b">
        <f t="shared" si="27"/>
        <v>0</v>
      </c>
      <c r="CN21" t="b">
        <f t="shared" si="27"/>
        <v>0</v>
      </c>
      <c r="CO21" t="b">
        <f t="shared" si="27"/>
        <v>0</v>
      </c>
      <c r="CP21" t="b">
        <f t="shared" si="27"/>
        <v>0</v>
      </c>
      <c r="CQ21" t="b">
        <f t="shared" si="27"/>
        <v>0</v>
      </c>
      <c r="CR21" t="b">
        <f t="shared" si="27"/>
        <v>0</v>
      </c>
      <c r="CS21" t="b">
        <f t="shared" si="27"/>
        <v>0</v>
      </c>
      <c r="CT21" t="b">
        <f t="shared" si="28"/>
        <v>0</v>
      </c>
      <c r="CU21" t="b">
        <f t="shared" si="28"/>
        <v>0</v>
      </c>
      <c r="CV21" t="b">
        <f t="shared" si="28"/>
        <v>0</v>
      </c>
      <c r="CW21" t="b">
        <f t="shared" si="28"/>
        <v>0</v>
      </c>
      <c r="CX21" t="b">
        <f t="shared" si="28"/>
        <v>0</v>
      </c>
      <c r="CY21" t="b">
        <f t="shared" si="28"/>
        <v>0</v>
      </c>
      <c r="CZ21" t="b">
        <f t="shared" si="28"/>
        <v>0</v>
      </c>
      <c r="DA21" t="b">
        <f t="shared" si="28"/>
        <v>0</v>
      </c>
      <c r="DB21" t="b">
        <f t="shared" si="28"/>
        <v>0</v>
      </c>
      <c r="DC21" t="b">
        <f t="shared" si="28"/>
        <v>0</v>
      </c>
      <c r="DD21" t="b">
        <f t="shared" si="29"/>
        <v>0</v>
      </c>
      <c r="DE21" t="b">
        <f t="shared" si="29"/>
        <v>0</v>
      </c>
      <c r="DF21" t="b">
        <f t="shared" si="29"/>
        <v>0</v>
      </c>
      <c r="DG21" t="b">
        <f t="shared" si="29"/>
        <v>0</v>
      </c>
      <c r="DH21" t="b">
        <f t="shared" si="29"/>
        <v>0</v>
      </c>
      <c r="DI21" t="b">
        <f t="shared" si="29"/>
        <v>0</v>
      </c>
      <c r="DJ21" t="b">
        <f t="shared" si="29"/>
        <v>0</v>
      </c>
      <c r="DK21" t="b">
        <f t="shared" si="29"/>
        <v>0</v>
      </c>
      <c r="DL21" t="b">
        <f t="shared" si="29"/>
        <v>0</v>
      </c>
      <c r="DM21" t="b">
        <f t="shared" si="29"/>
        <v>0</v>
      </c>
      <c r="DN21" t="b">
        <f t="shared" si="30"/>
        <v>0</v>
      </c>
      <c r="DO21" t="b">
        <f t="shared" si="30"/>
        <v>0</v>
      </c>
      <c r="DP21" t="b">
        <f t="shared" si="30"/>
        <v>0</v>
      </c>
      <c r="DQ21" t="b">
        <f t="shared" si="30"/>
        <v>0</v>
      </c>
      <c r="DR21" t="b">
        <f t="shared" si="30"/>
        <v>0</v>
      </c>
      <c r="DS21" t="b">
        <f t="shared" si="30"/>
        <v>0</v>
      </c>
      <c r="DT21" t="b">
        <f t="shared" si="30"/>
        <v>0</v>
      </c>
      <c r="DU21" t="b">
        <f t="shared" si="30"/>
        <v>0</v>
      </c>
      <c r="DV21" t="b">
        <f t="shared" si="30"/>
        <v>0</v>
      </c>
      <c r="DW21" t="b">
        <f t="shared" si="30"/>
        <v>0</v>
      </c>
      <c r="DX21" t="b">
        <f t="shared" si="31"/>
        <v>0</v>
      </c>
      <c r="DY21" t="b">
        <f t="shared" si="31"/>
        <v>0</v>
      </c>
      <c r="DZ21" t="b">
        <f t="shared" si="31"/>
        <v>0</v>
      </c>
      <c r="EA21" t="b">
        <f t="shared" si="31"/>
        <v>0</v>
      </c>
      <c r="EB21" t="b">
        <f t="shared" si="31"/>
        <v>0</v>
      </c>
      <c r="EC21" t="b">
        <f t="shared" si="31"/>
        <v>0</v>
      </c>
      <c r="ED21" t="b">
        <f t="shared" si="31"/>
        <v>0</v>
      </c>
      <c r="EE21" t="b">
        <f t="shared" si="31"/>
        <v>0</v>
      </c>
      <c r="EF21" t="b">
        <f t="shared" si="31"/>
        <v>0</v>
      </c>
      <c r="EG21" t="b">
        <f t="shared" si="31"/>
        <v>0</v>
      </c>
      <c r="EH21" t="b">
        <f t="shared" si="32"/>
        <v>0</v>
      </c>
      <c r="EI21" t="b">
        <f t="shared" si="32"/>
        <v>0</v>
      </c>
      <c r="EJ21" t="b">
        <f t="shared" si="32"/>
        <v>0</v>
      </c>
      <c r="EK21" t="b">
        <f t="shared" si="32"/>
        <v>0</v>
      </c>
      <c r="EL21" t="b">
        <f t="shared" si="32"/>
        <v>0</v>
      </c>
      <c r="EM21" t="b">
        <f t="shared" si="32"/>
        <v>0</v>
      </c>
      <c r="EN21" t="b">
        <f t="shared" si="32"/>
        <v>0</v>
      </c>
      <c r="EO21" t="b">
        <f t="shared" si="32"/>
        <v>0</v>
      </c>
      <c r="EP21" t="b">
        <f t="shared" si="32"/>
        <v>0</v>
      </c>
      <c r="EQ21" t="b">
        <f t="shared" si="32"/>
        <v>0</v>
      </c>
      <c r="ER21" t="b">
        <f t="shared" si="33"/>
        <v>0</v>
      </c>
      <c r="ES21" t="b">
        <f t="shared" si="33"/>
        <v>0</v>
      </c>
      <c r="ET21" t="b">
        <f t="shared" si="33"/>
        <v>0</v>
      </c>
      <c r="EU21" t="b">
        <f t="shared" si="33"/>
        <v>0</v>
      </c>
      <c r="EV21" t="b">
        <f t="shared" si="33"/>
        <v>0</v>
      </c>
      <c r="EW21" t="b">
        <f t="shared" si="33"/>
        <v>0</v>
      </c>
      <c r="EX21" t="b">
        <f t="shared" si="33"/>
        <v>0</v>
      </c>
      <c r="EY21" t="b">
        <f t="shared" si="33"/>
        <v>0</v>
      </c>
      <c r="EZ21" t="b">
        <f t="shared" si="33"/>
        <v>0</v>
      </c>
      <c r="FA21" t="b">
        <f t="shared" si="33"/>
        <v>0</v>
      </c>
      <c r="FB21" t="b">
        <f t="shared" si="34"/>
        <v>0</v>
      </c>
      <c r="FC21" t="b">
        <f t="shared" si="34"/>
        <v>0</v>
      </c>
      <c r="FD21" t="b">
        <f t="shared" si="34"/>
        <v>0</v>
      </c>
      <c r="FE21" t="b">
        <f t="shared" si="34"/>
        <v>0</v>
      </c>
      <c r="FF21" t="b">
        <f t="shared" si="34"/>
        <v>0</v>
      </c>
      <c r="FG21" t="b">
        <f t="shared" si="34"/>
        <v>0</v>
      </c>
      <c r="FH21" t="b">
        <f t="shared" si="34"/>
        <v>0</v>
      </c>
      <c r="FI21" t="b">
        <f t="shared" si="34"/>
        <v>0</v>
      </c>
      <c r="FJ21" t="b">
        <f t="shared" si="34"/>
        <v>0</v>
      </c>
      <c r="FK21" t="b">
        <f t="shared" si="34"/>
        <v>0</v>
      </c>
      <c r="FL21" t="b">
        <f t="shared" si="35"/>
        <v>0</v>
      </c>
      <c r="FM21" t="b">
        <f t="shared" si="35"/>
        <v>0</v>
      </c>
      <c r="FN21" t="b">
        <f t="shared" si="35"/>
        <v>0</v>
      </c>
      <c r="FO21" t="b">
        <f t="shared" si="35"/>
        <v>0</v>
      </c>
      <c r="FP21" t="b">
        <f t="shared" si="35"/>
        <v>0</v>
      </c>
      <c r="FQ21" t="b">
        <f t="shared" si="35"/>
        <v>0</v>
      </c>
      <c r="FR21" t="b">
        <f t="shared" si="35"/>
        <v>0</v>
      </c>
      <c r="FS21" t="b">
        <f t="shared" si="35"/>
        <v>0</v>
      </c>
      <c r="FT21" t="b">
        <f t="shared" si="35"/>
        <v>0</v>
      </c>
      <c r="FU21" t="b">
        <f t="shared" si="35"/>
        <v>0</v>
      </c>
      <c r="FV21" t="b">
        <f t="shared" si="36"/>
        <v>0</v>
      </c>
      <c r="FW21" t="b">
        <f t="shared" si="36"/>
        <v>0</v>
      </c>
      <c r="FX21" t="b">
        <f t="shared" si="36"/>
        <v>0</v>
      </c>
      <c r="FY21" t="b">
        <f t="shared" si="36"/>
        <v>0</v>
      </c>
      <c r="FZ21" t="b">
        <f t="shared" si="36"/>
        <v>0</v>
      </c>
      <c r="GA21" t="b">
        <f t="shared" si="36"/>
        <v>0</v>
      </c>
      <c r="GB21" t="b">
        <f t="shared" si="36"/>
        <v>0</v>
      </c>
      <c r="GC21" t="b">
        <f t="shared" si="36"/>
        <v>1</v>
      </c>
      <c r="GD21" t="b">
        <f t="shared" si="36"/>
        <v>0</v>
      </c>
      <c r="GE21" t="b">
        <f t="shared" si="36"/>
        <v>0</v>
      </c>
      <c r="GF21" t="b">
        <f t="shared" si="37"/>
        <v>0</v>
      </c>
      <c r="GG21" t="b">
        <f t="shared" si="37"/>
        <v>0</v>
      </c>
      <c r="GH21" t="b">
        <f t="shared" si="37"/>
        <v>0</v>
      </c>
      <c r="GI21" t="b">
        <f t="shared" si="37"/>
        <v>0</v>
      </c>
      <c r="GJ21" t="b">
        <f t="shared" si="37"/>
        <v>0</v>
      </c>
      <c r="GK21" t="b">
        <f t="shared" si="37"/>
        <v>0</v>
      </c>
      <c r="GL21" t="b">
        <f t="shared" si="37"/>
        <v>0</v>
      </c>
      <c r="GM21" t="b">
        <f t="shared" si="37"/>
        <v>0</v>
      </c>
      <c r="GN21" t="b">
        <f t="shared" si="37"/>
        <v>0</v>
      </c>
      <c r="GO21" t="b">
        <f t="shared" si="37"/>
        <v>0</v>
      </c>
      <c r="GP21" t="b">
        <f t="shared" si="38"/>
        <v>0</v>
      </c>
      <c r="GQ21" t="b">
        <f t="shared" si="38"/>
        <v>0</v>
      </c>
      <c r="GR21" t="b">
        <f t="shared" si="38"/>
        <v>0</v>
      </c>
      <c r="GS21" t="b">
        <f t="shared" si="38"/>
        <v>0</v>
      </c>
      <c r="GT21" t="b">
        <f t="shared" si="38"/>
        <v>0</v>
      </c>
      <c r="GU21" t="b">
        <f t="shared" si="38"/>
        <v>0</v>
      </c>
      <c r="GV21" t="b">
        <f t="shared" si="38"/>
        <v>0</v>
      </c>
      <c r="GW21" t="b">
        <f t="shared" si="38"/>
        <v>0</v>
      </c>
      <c r="GX21" t="b">
        <f t="shared" si="38"/>
        <v>0</v>
      </c>
      <c r="GY21" t="b">
        <f t="shared" si="38"/>
        <v>0</v>
      </c>
      <c r="GZ21" t="b">
        <f t="shared" si="38"/>
        <v>0</v>
      </c>
    </row>
    <row r="22" spans="1:208" hidden="1" x14ac:dyDescent="0.3">
      <c r="A22" t="s">
        <v>28</v>
      </c>
      <c r="B22" t="s">
        <v>29</v>
      </c>
      <c r="C22" t="s">
        <v>34</v>
      </c>
      <c r="D22" s="3">
        <v>4</v>
      </c>
      <c r="E22" s="3">
        <v>5</v>
      </c>
      <c r="F22" s="3">
        <v>21</v>
      </c>
      <c r="G22" s="3">
        <v>40</v>
      </c>
      <c r="H22" t="str">
        <f t="shared" si="19"/>
        <v>4-5</v>
      </c>
      <c r="I22" t="b">
        <v>1</v>
      </c>
      <c r="Q22" s="6">
        <v>22</v>
      </c>
      <c r="R22" t="b">
        <f t="shared" ref="R22:AA31" si="39">IFERROR(_xlfn.XLOOKUP(_xlfn.CONCAT($Q22,"-",R$1),$H$2:$H$926,$I$2:$I$926),FALSE)</f>
        <v>0</v>
      </c>
      <c r="S22" t="b">
        <f t="shared" si="39"/>
        <v>0</v>
      </c>
      <c r="T22" t="b">
        <f t="shared" si="39"/>
        <v>0</v>
      </c>
      <c r="U22" t="b">
        <f t="shared" si="39"/>
        <v>1</v>
      </c>
      <c r="V22" t="b">
        <f t="shared" si="39"/>
        <v>0</v>
      </c>
      <c r="W22" t="b">
        <f t="shared" si="39"/>
        <v>0</v>
      </c>
      <c r="X22" t="b">
        <f t="shared" si="39"/>
        <v>0</v>
      </c>
      <c r="Y22" t="b">
        <f t="shared" si="39"/>
        <v>0</v>
      </c>
      <c r="Z22" t="b">
        <f t="shared" si="39"/>
        <v>0</v>
      </c>
      <c r="AA22" t="b">
        <f t="shared" si="39"/>
        <v>0</v>
      </c>
      <c r="AB22" t="b">
        <f t="shared" ref="AB22:AK31" si="40">IFERROR(_xlfn.XLOOKUP(_xlfn.CONCAT($Q22,"-",AB$1),$H$2:$H$926,$I$2:$I$926),FALSE)</f>
        <v>0</v>
      </c>
      <c r="AC22" t="b">
        <f t="shared" si="40"/>
        <v>0</v>
      </c>
      <c r="AD22" t="b">
        <f t="shared" si="40"/>
        <v>0</v>
      </c>
      <c r="AE22" t="b">
        <f t="shared" si="40"/>
        <v>0</v>
      </c>
      <c r="AF22" t="b">
        <f t="shared" si="40"/>
        <v>0</v>
      </c>
      <c r="AG22" t="b">
        <f t="shared" si="40"/>
        <v>0</v>
      </c>
      <c r="AH22" t="b">
        <f t="shared" si="40"/>
        <v>0</v>
      </c>
      <c r="AI22" t="b">
        <f t="shared" si="40"/>
        <v>0</v>
      </c>
      <c r="AJ22" t="b">
        <f t="shared" si="40"/>
        <v>0</v>
      </c>
      <c r="AK22" t="b">
        <f t="shared" si="40"/>
        <v>0</v>
      </c>
      <c r="AL22" t="b">
        <f t="shared" ref="AL22:AU31" si="41">IFERROR(_xlfn.XLOOKUP(_xlfn.CONCAT($Q22,"-",AL$1),$H$2:$H$926,$I$2:$I$926),FALSE)</f>
        <v>0</v>
      </c>
      <c r="AM22" t="b">
        <f t="shared" si="41"/>
        <v>0</v>
      </c>
      <c r="AN22" t="b">
        <f t="shared" si="41"/>
        <v>0</v>
      </c>
      <c r="AO22" t="b">
        <f t="shared" si="41"/>
        <v>0</v>
      </c>
      <c r="AP22" t="b">
        <f t="shared" si="41"/>
        <v>0</v>
      </c>
      <c r="AQ22" t="b">
        <f t="shared" si="41"/>
        <v>0</v>
      </c>
      <c r="AR22" t="b">
        <f t="shared" si="41"/>
        <v>0</v>
      </c>
      <c r="AS22" t="b">
        <f t="shared" si="41"/>
        <v>0</v>
      </c>
      <c r="AT22" t="b">
        <f t="shared" si="41"/>
        <v>0</v>
      </c>
      <c r="AU22" t="b">
        <f t="shared" si="41"/>
        <v>0</v>
      </c>
      <c r="AV22" t="b">
        <f t="shared" ref="AV22:BE31" si="42">IFERROR(_xlfn.XLOOKUP(_xlfn.CONCAT($Q22,"-",AV$1),$H$2:$H$926,$I$2:$I$926),FALSE)</f>
        <v>0</v>
      </c>
      <c r="AW22" t="b">
        <f t="shared" si="42"/>
        <v>0</v>
      </c>
      <c r="AX22" t="b">
        <f t="shared" si="42"/>
        <v>0</v>
      </c>
      <c r="AY22" t="b">
        <f t="shared" si="42"/>
        <v>0</v>
      </c>
      <c r="AZ22" t="b">
        <f t="shared" si="42"/>
        <v>0</v>
      </c>
      <c r="BA22" t="b">
        <f t="shared" si="42"/>
        <v>0</v>
      </c>
      <c r="BB22" t="b">
        <f t="shared" si="42"/>
        <v>0</v>
      </c>
      <c r="BC22" t="b">
        <f t="shared" si="42"/>
        <v>0</v>
      </c>
      <c r="BD22" t="b">
        <f t="shared" si="42"/>
        <v>0</v>
      </c>
      <c r="BE22" t="b">
        <f t="shared" si="42"/>
        <v>0</v>
      </c>
      <c r="BF22" t="b">
        <f t="shared" ref="BF22:BO31" si="43">IFERROR(_xlfn.XLOOKUP(_xlfn.CONCAT($Q22,"-",BF$1),$H$2:$H$926,$I$2:$I$926),FALSE)</f>
        <v>0</v>
      </c>
      <c r="BG22" t="b">
        <f t="shared" si="43"/>
        <v>1</v>
      </c>
      <c r="BH22" t="b">
        <f t="shared" si="43"/>
        <v>0</v>
      </c>
      <c r="BI22" t="b">
        <f t="shared" si="43"/>
        <v>0</v>
      </c>
      <c r="BJ22" t="b">
        <f t="shared" si="43"/>
        <v>0</v>
      </c>
      <c r="BK22" t="b">
        <f t="shared" si="43"/>
        <v>0</v>
      </c>
      <c r="BL22" t="b">
        <f t="shared" si="43"/>
        <v>0</v>
      </c>
      <c r="BM22" t="b">
        <f t="shared" si="43"/>
        <v>0</v>
      </c>
      <c r="BN22" t="b">
        <f t="shared" si="43"/>
        <v>0</v>
      </c>
      <c r="BO22" t="b">
        <f t="shared" si="43"/>
        <v>0</v>
      </c>
      <c r="BP22" t="b">
        <f t="shared" ref="BP22:BY31" si="44">IFERROR(_xlfn.XLOOKUP(_xlfn.CONCAT($Q22,"-",BP$1),$H$2:$H$926,$I$2:$I$926),FALSE)</f>
        <v>0</v>
      </c>
      <c r="BQ22" t="b">
        <f t="shared" si="44"/>
        <v>0</v>
      </c>
      <c r="BR22" t="b">
        <f t="shared" si="44"/>
        <v>0</v>
      </c>
      <c r="BS22" t="b">
        <f t="shared" si="44"/>
        <v>0</v>
      </c>
      <c r="BT22" t="b">
        <f t="shared" si="44"/>
        <v>0</v>
      </c>
      <c r="BU22" t="b">
        <f t="shared" si="44"/>
        <v>0</v>
      </c>
      <c r="BV22" t="b">
        <f t="shared" si="44"/>
        <v>0</v>
      </c>
      <c r="BW22" t="b">
        <f t="shared" si="44"/>
        <v>0</v>
      </c>
      <c r="BX22" t="b">
        <f t="shared" si="44"/>
        <v>0</v>
      </c>
      <c r="BY22" t="b">
        <f t="shared" si="44"/>
        <v>0</v>
      </c>
      <c r="BZ22" t="b">
        <f t="shared" ref="BZ22:CI31" si="45">IFERROR(_xlfn.XLOOKUP(_xlfn.CONCAT($Q22,"-",BZ$1),$H$2:$H$926,$I$2:$I$926),FALSE)</f>
        <v>0</v>
      </c>
      <c r="CA22" t="b">
        <f t="shared" si="45"/>
        <v>0</v>
      </c>
      <c r="CB22" t="b">
        <f t="shared" si="45"/>
        <v>0</v>
      </c>
      <c r="CC22" t="b">
        <f t="shared" si="45"/>
        <v>0</v>
      </c>
      <c r="CD22" t="b">
        <f t="shared" si="45"/>
        <v>0</v>
      </c>
      <c r="CE22" t="b">
        <f t="shared" si="45"/>
        <v>0</v>
      </c>
      <c r="CF22" t="b">
        <f t="shared" si="45"/>
        <v>0</v>
      </c>
      <c r="CG22" t="b">
        <f t="shared" si="45"/>
        <v>0</v>
      </c>
      <c r="CH22" t="b">
        <f t="shared" si="45"/>
        <v>0</v>
      </c>
      <c r="CI22" t="b">
        <f t="shared" si="45"/>
        <v>0</v>
      </c>
      <c r="CJ22" t="b">
        <f t="shared" ref="CJ22:CS31" si="46">IFERROR(_xlfn.XLOOKUP(_xlfn.CONCAT($Q22,"-",CJ$1),$H$2:$H$926,$I$2:$I$926),FALSE)</f>
        <v>0</v>
      </c>
      <c r="CK22" t="b">
        <f t="shared" si="46"/>
        <v>0</v>
      </c>
      <c r="CL22" t="b">
        <f t="shared" si="46"/>
        <v>0</v>
      </c>
      <c r="CM22" t="b">
        <f t="shared" si="46"/>
        <v>0</v>
      </c>
      <c r="CN22" t="b">
        <f t="shared" si="46"/>
        <v>0</v>
      </c>
      <c r="CO22" t="b">
        <f t="shared" si="46"/>
        <v>0</v>
      </c>
      <c r="CP22" t="b">
        <f t="shared" si="46"/>
        <v>0</v>
      </c>
      <c r="CQ22" t="b">
        <f t="shared" si="46"/>
        <v>0</v>
      </c>
      <c r="CR22" t="b">
        <f t="shared" si="46"/>
        <v>0</v>
      </c>
      <c r="CS22" t="b">
        <f t="shared" si="46"/>
        <v>0</v>
      </c>
      <c r="CT22" t="b">
        <f t="shared" ref="CT22:DC31" si="47">IFERROR(_xlfn.XLOOKUP(_xlfn.CONCAT($Q22,"-",CT$1),$H$2:$H$926,$I$2:$I$926),FALSE)</f>
        <v>0</v>
      </c>
      <c r="CU22" t="b">
        <f t="shared" si="47"/>
        <v>0</v>
      </c>
      <c r="CV22" t="b">
        <f t="shared" si="47"/>
        <v>0</v>
      </c>
      <c r="CW22" t="b">
        <f t="shared" si="47"/>
        <v>0</v>
      </c>
      <c r="CX22" t="b">
        <f t="shared" si="47"/>
        <v>0</v>
      </c>
      <c r="CY22" t="b">
        <f t="shared" si="47"/>
        <v>0</v>
      </c>
      <c r="CZ22" t="b">
        <f t="shared" si="47"/>
        <v>0</v>
      </c>
      <c r="DA22" t="b">
        <f t="shared" si="47"/>
        <v>0</v>
      </c>
      <c r="DB22" t="b">
        <f t="shared" si="47"/>
        <v>0</v>
      </c>
      <c r="DC22" t="b">
        <f t="shared" si="47"/>
        <v>0</v>
      </c>
      <c r="DD22" t="b">
        <f t="shared" ref="DD22:DM31" si="48">IFERROR(_xlfn.XLOOKUP(_xlfn.CONCAT($Q22,"-",DD$1),$H$2:$H$926,$I$2:$I$926),FALSE)</f>
        <v>1</v>
      </c>
      <c r="DE22" t="b">
        <f t="shared" si="48"/>
        <v>0</v>
      </c>
      <c r="DF22" t="b">
        <f t="shared" si="48"/>
        <v>1</v>
      </c>
      <c r="DG22" t="b">
        <f t="shared" si="48"/>
        <v>0</v>
      </c>
      <c r="DH22" t="b">
        <f t="shared" si="48"/>
        <v>0</v>
      </c>
      <c r="DI22" t="b">
        <f t="shared" si="48"/>
        <v>0</v>
      </c>
      <c r="DJ22" t="b">
        <f t="shared" si="48"/>
        <v>0</v>
      </c>
      <c r="DK22" t="b">
        <f t="shared" si="48"/>
        <v>1</v>
      </c>
      <c r="DL22" t="b">
        <f t="shared" si="48"/>
        <v>0</v>
      </c>
      <c r="DM22" t="b">
        <f t="shared" si="48"/>
        <v>0</v>
      </c>
      <c r="DN22" t="b">
        <f t="shared" ref="DN22:DW31" si="49">IFERROR(_xlfn.XLOOKUP(_xlfn.CONCAT($Q22,"-",DN$1),$H$2:$H$926,$I$2:$I$926),FALSE)</f>
        <v>0</v>
      </c>
      <c r="DO22" t="b">
        <f t="shared" si="49"/>
        <v>0</v>
      </c>
      <c r="DP22" t="b">
        <f t="shared" si="49"/>
        <v>0</v>
      </c>
      <c r="DQ22" t="b">
        <f t="shared" si="49"/>
        <v>0</v>
      </c>
      <c r="DR22" t="b">
        <f t="shared" si="49"/>
        <v>0</v>
      </c>
      <c r="DS22" t="b">
        <f t="shared" si="49"/>
        <v>0</v>
      </c>
      <c r="DT22" t="b">
        <f t="shared" si="49"/>
        <v>0</v>
      </c>
      <c r="DU22" t="b">
        <f t="shared" si="49"/>
        <v>0</v>
      </c>
      <c r="DV22" t="b">
        <f t="shared" si="49"/>
        <v>0</v>
      </c>
      <c r="DW22" t="b">
        <f t="shared" si="49"/>
        <v>0</v>
      </c>
      <c r="DX22" t="b">
        <f t="shared" ref="DX22:EG31" si="50">IFERROR(_xlfn.XLOOKUP(_xlfn.CONCAT($Q22,"-",DX$1),$H$2:$H$926,$I$2:$I$926),FALSE)</f>
        <v>0</v>
      </c>
      <c r="DY22" t="b">
        <f t="shared" si="50"/>
        <v>0</v>
      </c>
      <c r="DZ22" t="b">
        <f t="shared" si="50"/>
        <v>0</v>
      </c>
      <c r="EA22" t="b">
        <f t="shared" si="50"/>
        <v>0</v>
      </c>
      <c r="EB22" t="b">
        <f t="shared" si="50"/>
        <v>0</v>
      </c>
      <c r="EC22" t="b">
        <f t="shared" si="50"/>
        <v>0</v>
      </c>
      <c r="ED22" t="b">
        <f t="shared" si="50"/>
        <v>0</v>
      </c>
      <c r="EE22" t="b">
        <f t="shared" si="50"/>
        <v>0</v>
      </c>
      <c r="EF22" t="b">
        <f t="shared" si="50"/>
        <v>0</v>
      </c>
      <c r="EG22" t="b">
        <f t="shared" si="50"/>
        <v>0</v>
      </c>
      <c r="EH22" t="b">
        <f t="shared" ref="EH22:EQ31" si="51">IFERROR(_xlfn.XLOOKUP(_xlfn.CONCAT($Q22,"-",EH$1),$H$2:$H$926,$I$2:$I$926),FALSE)</f>
        <v>0</v>
      </c>
      <c r="EI22" t="b">
        <f t="shared" si="51"/>
        <v>0</v>
      </c>
      <c r="EJ22" t="b">
        <f t="shared" si="51"/>
        <v>0</v>
      </c>
      <c r="EK22" t="b">
        <f t="shared" si="51"/>
        <v>0</v>
      </c>
      <c r="EL22" t="b">
        <f t="shared" si="51"/>
        <v>0</v>
      </c>
      <c r="EM22" t="b">
        <f t="shared" si="51"/>
        <v>0</v>
      </c>
      <c r="EN22" t="b">
        <f t="shared" si="51"/>
        <v>0</v>
      </c>
      <c r="EO22" t="b">
        <f t="shared" si="51"/>
        <v>0</v>
      </c>
      <c r="EP22" t="b">
        <f t="shared" si="51"/>
        <v>0</v>
      </c>
      <c r="EQ22" t="b">
        <f t="shared" si="51"/>
        <v>0</v>
      </c>
      <c r="ER22" t="b">
        <f t="shared" ref="ER22:FA31" si="52">IFERROR(_xlfn.XLOOKUP(_xlfn.CONCAT($Q22,"-",ER$1),$H$2:$H$926,$I$2:$I$926),FALSE)</f>
        <v>0</v>
      </c>
      <c r="ES22" t="b">
        <f t="shared" si="52"/>
        <v>0</v>
      </c>
      <c r="ET22" t="b">
        <f t="shared" si="52"/>
        <v>0</v>
      </c>
      <c r="EU22" t="b">
        <f t="shared" si="52"/>
        <v>0</v>
      </c>
      <c r="EV22" t="b">
        <f t="shared" si="52"/>
        <v>0</v>
      </c>
      <c r="EW22" t="b">
        <f t="shared" si="52"/>
        <v>0</v>
      </c>
      <c r="EX22" t="b">
        <f t="shared" si="52"/>
        <v>0</v>
      </c>
      <c r="EY22" t="b">
        <f t="shared" si="52"/>
        <v>0</v>
      </c>
      <c r="EZ22" t="b">
        <f t="shared" si="52"/>
        <v>0</v>
      </c>
      <c r="FA22" t="b">
        <f t="shared" si="52"/>
        <v>0</v>
      </c>
      <c r="FB22" t="b">
        <f t="shared" ref="FB22:FK31" si="53">IFERROR(_xlfn.XLOOKUP(_xlfn.CONCAT($Q22,"-",FB$1),$H$2:$H$926,$I$2:$I$926),FALSE)</f>
        <v>0</v>
      </c>
      <c r="FC22" t="b">
        <f t="shared" si="53"/>
        <v>0</v>
      </c>
      <c r="FD22" t="b">
        <f t="shared" si="53"/>
        <v>0</v>
      </c>
      <c r="FE22" t="b">
        <f t="shared" si="53"/>
        <v>0</v>
      </c>
      <c r="FF22" t="b">
        <f t="shared" si="53"/>
        <v>0</v>
      </c>
      <c r="FG22" t="b">
        <f t="shared" si="53"/>
        <v>0</v>
      </c>
      <c r="FH22" t="b">
        <f t="shared" si="53"/>
        <v>0</v>
      </c>
      <c r="FI22" t="b">
        <f t="shared" si="53"/>
        <v>0</v>
      </c>
      <c r="FJ22" t="b">
        <f t="shared" si="53"/>
        <v>0</v>
      </c>
      <c r="FK22" t="b">
        <f t="shared" si="53"/>
        <v>0</v>
      </c>
      <c r="FL22" t="b">
        <f t="shared" ref="FL22:FU31" si="54">IFERROR(_xlfn.XLOOKUP(_xlfn.CONCAT($Q22,"-",FL$1),$H$2:$H$926,$I$2:$I$926),FALSE)</f>
        <v>0</v>
      </c>
      <c r="FM22" t="b">
        <f t="shared" si="54"/>
        <v>0</v>
      </c>
      <c r="FN22" t="b">
        <f t="shared" si="54"/>
        <v>0</v>
      </c>
      <c r="FO22" t="b">
        <f t="shared" si="54"/>
        <v>0</v>
      </c>
      <c r="FP22" t="b">
        <f t="shared" si="54"/>
        <v>0</v>
      </c>
      <c r="FQ22" t="b">
        <f t="shared" si="54"/>
        <v>0</v>
      </c>
      <c r="FR22" t="b">
        <f t="shared" si="54"/>
        <v>0</v>
      </c>
      <c r="FS22" t="b">
        <f t="shared" si="54"/>
        <v>0</v>
      </c>
      <c r="FT22" t="b">
        <f t="shared" si="54"/>
        <v>0</v>
      </c>
      <c r="FU22" t="b">
        <f t="shared" si="54"/>
        <v>0</v>
      </c>
      <c r="FV22" t="b">
        <f t="shared" ref="FV22:GE31" si="55">IFERROR(_xlfn.XLOOKUP(_xlfn.CONCAT($Q22,"-",FV$1),$H$2:$H$926,$I$2:$I$926),FALSE)</f>
        <v>0</v>
      </c>
      <c r="FW22" t="b">
        <f t="shared" si="55"/>
        <v>0</v>
      </c>
      <c r="FX22" t="b">
        <f t="shared" si="55"/>
        <v>0</v>
      </c>
      <c r="FY22" t="b">
        <f t="shared" si="55"/>
        <v>0</v>
      </c>
      <c r="FZ22" t="b">
        <f t="shared" si="55"/>
        <v>0</v>
      </c>
      <c r="GA22" t="b">
        <f t="shared" si="55"/>
        <v>0</v>
      </c>
      <c r="GB22" t="b">
        <f t="shared" si="55"/>
        <v>0</v>
      </c>
      <c r="GC22" t="b">
        <f t="shared" si="55"/>
        <v>0</v>
      </c>
      <c r="GD22" t="b">
        <f t="shared" si="55"/>
        <v>0</v>
      </c>
      <c r="GE22" t="b">
        <f t="shared" si="55"/>
        <v>0</v>
      </c>
      <c r="GF22" t="b">
        <f t="shared" ref="GF22:GO31" si="56">IFERROR(_xlfn.XLOOKUP(_xlfn.CONCAT($Q22,"-",GF$1),$H$2:$H$926,$I$2:$I$926),FALSE)</f>
        <v>0</v>
      </c>
      <c r="GG22" t="b">
        <f t="shared" si="56"/>
        <v>0</v>
      </c>
      <c r="GH22" t="b">
        <f t="shared" si="56"/>
        <v>0</v>
      </c>
      <c r="GI22" t="b">
        <f t="shared" si="56"/>
        <v>0</v>
      </c>
      <c r="GJ22" t="b">
        <f t="shared" si="56"/>
        <v>0</v>
      </c>
      <c r="GK22" t="b">
        <f t="shared" si="56"/>
        <v>0</v>
      </c>
      <c r="GL22" t="b">
        <f t="shared" si="56"/>
        <v>0</v>
      </c>
      <c r="GM22" t="b">
        <f t="shared" si="56"/>
        <v>0</v>
      </c>
      <c r="GN22" t="b">
        <f t="shared" si="56"/>
        <v>0</v>
      </c>
      <c r="GO22" t="b">
        <f t="shared" si="56"/>
        <v>0</v>
      </c>
      <c r="GP22" t="b">
        <f t="shared" ref="GP22:GZ31" si="57">IFERROR(_xlfn.XLOOKUP(_xlfn.CONCAT($Q22,"-",GP$1),$H$2:$H$926,$I$2:$I$926),FALSE)</f>
        <v>0</v>
      </c>
      <c r="GQ22" t="b">
        <f t="shared" si="57"/>
        <v>1</v>
      </c>
      <c r="GR22" t="b">
        <f t="shared" si="57"/>
        <v>0</v>
      </c>
      <c r="GS22" t="b">
        <f t="shared" si="57"/>
        <v>0</v>
      </c>
      <c r="GT22" t="b">
        <f t="shared" si="57"/>
        <v>0</v>
      </c>
      <c r="GU22" t="b">
        <f t="shared" si="57"/>
        <v>0</v>
      </c>
      <c r="GV22" t="b">
        <f t="shared" si="57"/>
        <v>0</v>
      </c>
      <c r="GW22" t="b">
        <f t="shared" si="57"/>
        <v>0</v>
      </c>
      <c r="GX22" t="b">
        <f t="shared" si="57"/>
        <v>0</v>
      </c>
      <c r="GY22" t="b">
        <f t="shared" si="57"/>
        <v>0</v>
      </c>
      <c r="GZ22" t="b">
        <f t="shared" si="57"/>
        <v>0</v>
      </c>
    </row>
    <row r="23" spans="1:208" hidden="1" x14ac:dyDescent="0.3">
      <c r="A23" t="s">
        <v>28</v>
      </c>
      <c r="B23" t="s">
        <v>29</v>
      </c>
      <c r="C23" t="s">
        <v>35</v>
      </c>
      <c r="D23" s="3">
        <v>4</v>
      </c>
      <c r="E23" s="3">
        <v>5</v>
      </c>
      <c r="F23" s="3">
        <v>22</v>
      </c>
      <c r="G23" s="3">
        <v>90</v>
      </c>
      <c r="H23" t="str">
        <f t="shared" si="19"/>
        <v>4-5</v>
      </c>
      <c r="I23" t="b">
        <v>1</v>
      </c>
      <c r="Q23" s="6">
        <v>23</v>
      </c>
      <c r="R23" t="b">
        <f t="shared" si="39"/>
        <v>0</v>
      </c>
      <c r="S23" t="b">
        <f t="shared" si="39"/>
        <v>0</v>
      </c>
      <c r="T23" t="b">
        <f t="shared" si="39"/>
        <v>0</v>
      </c>
      <c r="U23" t="b">
        <f t="shared" si="39"/>
        <v>0</v>
      </c>
      <c r="V23" t="b">
        <f t="shared" si="39"/>
        <v>0</v>
      </c>
      <c r="W23" t="b">
        <f t="shared" si="39"/>
        <v>0</v>
      </c>
      <c r="X23" t="b">
        <f t="shared" si="39"/>
        <v>0</v>
      </c>
      <c r="Y23" t="b">
        <f t="shared" si="39"/>
        <v>0</v>
      </c>
      <c r="Z23" t="b">
        <f t="shared" si="39"/>
        <v>0</v>
      </c>
      <c r="AA23" t="b">
        <f t="shared" si="39"/>
        <v>0</v>
      </c>
      <c r="AB23" t="b">
        <f t="shared" si="40"/>
        <v>0</v>
      </c>
      <c r="AC23" t="b">
        <f t="shared" si="40"/>
        <v>0</v>
      </c>
      <c r="AD23" t="b">
        <f t="shared" si="40"/>
        <v>0</v>
      </c>
      <c r="AE23" t="b">
        <f t="shared" si="40"/>
        <v>0</v>
      </c>
      <c r="AF23" t="b">
        <f t="shared" si="40"/>
        <v>0</v>
      </c>
      <c r="AG23" t="b">
        <f t="shared" si="40"/>
        <v>0</v>
      </c>
      <c r="AH23" t="b">
        <f t="shared" si="40"/>
        <v>0</v>
      </c>
      <c r="AI23" t="b">
        <f t="shared" si="40"/>
        <v>0</v>
      </c>
      <c r="AJ23" t="b">
        <f t="shared" si="40"/>
        <v>0</v>
      </c>
      <c r="AK23" t="b">
        <f t="shared" si="40"/>
        <v>0</v>
      </c>
      <c r="AL23" t="b">
        <f t="shared" si="41"/>
        <v>0</v>
      </c>
      <c r="AM23" t="b">
        <f t="shared" si="41"/>
        <v>0</v>
      </c>
      <c r="AN23" t="b">
        <f t="shared" si="41"/>
        <v>0</v>
      </c>
      <c r="AO23" t="b">
        <f t="shared" si="41"/>
        <v>0</v>
      </c>
      <c r="AP23" t="b">
        <f t="shared" si="41"/>
        <v>0</v>
      </c>
      <c r="AQ23" t="b">
        <f t="shared" si="41"/>
        <v>0</v>
      </c>
      <c r="AR23" t="b">
        <f t="shared" si="41"/>
        <v>0</v>
      </c>
      <c r="AS23" t="b">
        <f t="shared" si="41"/>
        <v>0</v>
      </c>
      <c r="AT23" t="b">
        <f t="shared" si="41"/>
        <v>0</v>
      </c>
      <c r="AU23" t="b">
        <f t="shared" si="41"/>
        <v>0</v>
      </c>
      <c r="AV23" t="b">
        <f t="shared" si="42"/>
        <v>0</v>
      </c>
      <c r="AW23" t="b">
        <f t="shared" si="42"/>
        <v>0</v>
      </c>
      <c r="AX23" t="b">
        <f t="shared" si="42"/>
        <v>0</v>
      </c>
      <c r="AY23" t="b">
        <f t="shared" si="42"/>
        <v>0</v>
      </c>
      <c r="AZ23" t="b">
        <f t="shared" si="42"/>
        <v>0</v>
      </c>
      <c r="BA23" t="b">
        <f t="shared" si="42"/>
        <v>0</v>
      </c>
      <c r="BB23" t="b">
        <f t="shared" si="42"/>
        <v>0</v>
      </c>
      <c r="BC23" t="b">
        <f t="shared" si="42"/>
        <v>0</v>
      </c>
      <c r="BD23" t="b">
        <f t="shared" si="42"/>
        <v>0</v>
      </c>
      <c r="BE23" t="b">
        <f t="shared" si="42"/>
        <v>0</v>
      </c>
      <c r="BF23" t="b">
        <f t="shared" si="43"/>
        <v>0</v>
      </c>
      <c r="BG23" t="b">
        <f t="shared" si="43"/>
        <v>0</v>
      </c>
      <c r="BH23" t="b">
        <f t="shared" si="43"/>
        <v>0</v>
      </c>
      <c r="BI23" t="b">
        <f t="shared" si="43"/>
        <v>0</v>
      </c>
      <c r="BJ23" t="b">
        <f t="shared" si="43"/>
        <v>0</v>
      </c>
      <c r="BK23" t="b">
        <f t="shared" si="43"/>
        <v>0</v>
      </c>
      <c r="BL23" t="b">
        <f t="shared" si="43"/>
        <v>0</v>
      </c>
      <c r="BM23" t="b">
        <f t="shared" si="43"/>
        <v>0</v>
      </c>
      <c r="BN23" t="b">
        <f t="shared" si="43"/>
        <v>0</v>
      </c>
      <c r="BO23" t="b">
        <f t="shared" si="43"/>
        <v>0</v>
      </c>
      <c r="BP23" t="b">
        <f t="shared" si="44"/>
        <v>0</v>
      </c>
      <c r="BQ23" t="b">
        <f t="shared" si="44"/>
        <v>0</v>
      </c>
      <c r="BR23" t="b">
        <f t="shared" si="44"/>
        <v>0</v>
      </c>
      <c r="BS23" t="b">
        <f t="shared" si="44"/>
        <v>0</v>
      </c>
      <c r="BT23" t="b">
        <f t="shared" si="44"/>
        <v>0</v>
      </c>
      <c r="BU23" t="b">
        <f t="shared" si="44"/>
        <v>0</v>
      </c>
      <c r="BV23" t="b">
        <f t="shared" si="44"/>
        <v>0</v>
      </c>
      <c r="BW23" t="b">
        <f t="shared" si="44"/>
        <v>0</v>
      </c>
      <c r="BX23" t="b">
        <f t="shared" si="44"/>
        <v>0</v>
      </c>
      <c r="BY23" t="b">
        <f t="shared" si="44"/>
        <v>0</v>
      </c>
      <c r="BZ23" t="b">
        <f t="shared" si="45"/>
        <v>0</v>
      </c>
      <c r="CA23" t="b">
        <f t="shared" si="45"/>
        <v>0</v>
      </c>
      <c r="CB23" t="b">
        <f t="shared" si="45"/>
        <v>0</v>
      </c>
      <c r="CC23" t="b">
        <f t="shared" si="45"/>
        <v>0</v>
      </c>
      <c r="CD23" t="b">
        <f t="shared" si="45"/>
        <v>0</v>
      </c>
      <c r="CE23" t="b">
        <f t="shared" si="45"/>
        <v>0</v>
      </c>
      <c r="CF23" t="b">
        <f t="shared" si="45"/>
        <v>0</v>
      </c>
      <c r="CG23" t="b">
        <f t="shared" si="45"/>
        <v>0</v>
      </c>
      <c r="CH23" t="b">
        <f t="shared" si="45"/>
        <v>0</v>
      </c>
      <c r="CI23" t="b">
        <f t="shared" si="45"/>
        <v>0</v>
      </c>
      <c r="CJ23" t="b">
        <f t="shared" si="46"/>
        <v>0</v>
      </c>
      <c r="CK23" t="b">
        <f t="shared" si="46"/>
        <v>0</v>
      </c>
      <c r="CL23" t="b">
        <f t="shared" si="46"/>
        <v>0</v>
      </c>
      <c r="CM23" t="b">
        <f t="shared" si="46"/>
        <v>0</v>
      </c>
      <c r="CN23" t="b">
        <f t="shared" si="46"/>
        <v>0</v>
      </c>
      <c r="CO23" t="b">
        <f t="shared" si="46"/>
        <v>0</v>
      </c>
      <c r="CP23" t="b">
        <f t="shared" si="46"/>
        <v>0</v>
      </c>
      <c r="CQ23" t="b">
        <f t="shared" si="46"/>
        <v>0</v>
      </c>
      <c r="CR23" t="b">
        <f t="shared" si="46"/>
        <v>0</v>
      </c>
      <c r="CS23" t="b">
        <f t="shared" si="46"/>
        <v>0</v>
      </c>
      <c r="CT23" t="b">
        <f t="shared" si="47"/>
        <v>0</v>
      </c>
      <c r="CU23" t="b">
        <f t="shared" si="47"/>
        <v>0</v>
      </c>
      <c r="CV23" t="b">
        <f t="shared" si="47"/>
        <v>0</v>
      </c>
      <c r="CW23" t="b">
        <f t="shared" si="47"/>
        <v>0</v>
      </c>
      <c r="CX23" t="b">
        <f t="shared" si="47"/>
        <v>0</v>
      </c>
      <c r="CY23" t="b">
        <f t="shared" si="47"/>
        <v>0</v>
      </c>
      <c r="CZ23" t="b">
        <f t="shared" si="47"/>
        <v>0</v>
      </c>
      <c r="DA23" t="b">
        <f t="shared" si="47"/>
        <v>0</v>
      </c>
      <c r="DB23" t="b">
        <f t="shared" si="47"/>
        <v>0</v>
      </c>
      <c r="DC23" t="b">
        <f t="shared" si="47"/>
        <v>0</v>
      </c>
      <c r="DD23" t="b">
        <f t="shared" si="48"/>
        <v>0</v>
      </c>
      <c r="DE23" t="b">
        <f t="shared" si="48"/>
        <v>0</v>
      </c>
      <c r="DF23" t="b">
        <f t="shared" si="48"/>
        <v>0</v>
      </c>
      <c r="DG23" t="b">
        <f t="shared" si="48"/>
        <v>0</v>
      </c>
      <c r="DH23" t="b">
        <f t="shared" si="48"/>
        <v>0</v>
      </c>
      <c r="DI23" t="b">
        <f t="shared" si="48"/>
        <v>0</v>
      </c>
      <c r="DJ23" t="b">
        <f t="shared" si="48"/>
        <v>0</v>
      </c>
      <c r="DK23" t="b">
        <f t="shared" si="48"/>
        <v>0</v>
      </c>
      <c r="DL23" t="b">
        <f t="shared" si="48"/>
        <v>0</v>
      </c>
      <c r="DM23" t="b">
        <f t="shared" si="48"/>
        <v>0</v>
      </c>
      <c r="DN23" t="b">
        <f t="shared" si="49"/>
        <v>0</v>
      </c>
      <c r="DO23" t="b">
        <f t="shared" si="49"/>
        <v>0</v>
      </c>
      <c r="DP23" t="b">
        <f t="shared" si="49"/>
        <v>0</v>
      </c>
      <c r="DQ23" t="b">
        <f t="shared" si="49"/>
        <v>0</v>
      </c>
      <c r="DR23" t="b">
        <f t="shared" si="49"/>
        <v>0</v>
      </c>
      <c r="DS23" t="b">
        <f t="shared" si="49"/>
        <v>0</v>
      </c>
      <c r="DT23" t="b">
        <f t="shared" si="49"/>
        <v>0</v>
      </c>
      <c r="DU23" t="b">
        <f t="shared" si="49"/>
        <v>0</v>
      </c>
      <c r="DV23" t="b">
        <f t="shared" si="49"/>
        <v>0</v>
      </c>
      <c r="DW23" t="b">
        <f t="shared" si="49"/>
        <v>0</v>
      </c>
      <c r="DX23" t="b">
        <f t="shared" si="50"/>
        <v>0</v>
      </c>
      <c r="DY23" t="b">
        <f t="shared" si="50"/>
        <v>0</v>
      </c>
      <c r="DZ23" t="b">
        <f t="shared" si="50"/>
        <v>0</v>
      </c>
      <c r="EA23" t="b">
        <f t="shared" si="50"/>
        <v>0</v>
      </c>
      <c r="EB23" t="b">
        <f t="shared" si="50"/>
        <v>0</v>
      </c>
      <c r="EC23" t="b">
        <f t="shared" si="50"/>
        <v>0</v>
      </c>
      <c r="ED23" t="b">
        <f t="shared" si="50"/>
        <v>0</v>
      </c>
      <c r="EE23" t="b">
        <f t="shared" si="50"/>
        <v>0</v>
      </c>
      <c r="EF23" t="b">
        <f t="shared" si="50"/>
        <v>0</v>
      </c>
      <c r="EG23" t="b">
        <f t="shared" si="50"/>
        <v>0</v>
      </c>
      <c r="EH23" t="b">
        <f t="shared" si="51"/>
        <v>0</v>
      </c>
      <c r="EI23" t="b">
        <f t="shared" si="51"/>
        <v>0</v>
      </c>
      <c r="EJ23" t="b">
        <f t="shared" si="51"/>
        <v>0</v>
      </c>
      <c r="EK23" t="b">
        <f t="shared" si="51"/>
        <v>0</v>
      </c>
      <c r="EL23" t="b">
        <f t="shared" si="51"/>
        <v>0</v>
      </c>
      <c r="EM23" t="b">
        <f t="shared" si="51"/>
        <v>0</v>
      </c>
      <c r="EN23" t="b">
        <f t="shared" si="51"/>
        <v>0</v>
      </c>
      <c r="EO23" t="b">
        <f t="shared" si="51"/>
        <v>0</v>
      </c>
      <c r="EP23" t="b">
        <f t="shared" si="51"/>
        <v>0</v>
      </c>
      <c r="EQ23" t="b">
        <f t="shared" si="51"/>
        <v>0</v>
      </c>
      <c r="ER23" t="b">
        <f t="shared" si="52"/>
        <v>0</v>
      </c>
      <c r="ES23" t="b">
        <f t="shared" si="52"/>
        <v>0</v>
      </c>
      <c r="ET23" t="b">
        <f t="shared" si="52"/>
        <v>0</v>
      </c>
      <c r="EU23" t="b">
        <f t="shared" si="52"/>
        <v>0</v>
      </c>
      <c r="EV23" t="b">
        <f t="shared" si="52"/>
        <v>0</v>
      </c>
      <c r="EW23" t="b">
        <f t="shared" si="52"/>
        <v>0</v>
      </c>
      <c r="EX23" t="b">
        <f t="shared" si="52"/>
        <v>0</v>
      </c>
      <c r="EY23" t="b">
        <f t="shared" si="52"/>
        <v>0</v>
      </c>
      <c r="EZ23" t="b">
        <f t="shared" si="52"/>
        <v>0</v>
      </c>
      <c r="FA23" t="b">
        <f t="shared" si="52"/>
        <v>0</v>
      </c>
      <c r="FB23" t="b">
        <f t="shared" si="53"/>
        <v>0</v>
      </c>
      <c r="FC23" t="b">
        <f t="shared" si="53"/>
        <v>0</v>
      </c>
      <c r="FD23" t="b">
        <f t="shared" si="53"/>
        <v>0</v>
      </c>
      <c r="FE23" t="b">
        <f t="shared" si="53"/>
        <v>0</v>
      </c>
      <c r="FF23" t="b">
        <f t="shared" si="53"/>
        <v>0</v>
      </c>
      <c r="FG23" t="b">
        <f t="shared" si="53"/>
        <v>0</v>
      </c>
      <c r="FH23" t="b">
        <f t="shared" si="53"/>
        <v>0</v>
      </c>
      <c r="FI23" t="b">
        <f t="shared" si="53"/>
        <v>0</v>
      </c>
      <c r="FJ23" t="b">
        <f t="shared" si="53"/>
        <v>0</v>
      </c>
      <c r="FK23" t="b">
        <f t="shared" si="53"/>
        <v>0</v>
      </c>
      <c r="FL23" t="b">
        <f t="shared" si="54"/>
        <v>0</v>
      </c>
      <c r="FM23" t="b">
        <f t="shared" si="54"/>
        <v>0</v>
      </c>
      <c r="FN23" t="b">
        <f t="shared" si="54"/>
        <v>0</v>
      </c>
      <c r="FO23" t="b">
        <f t="shared" si="54"/>
        <v>0</v>
      </c>
      <c r="FP23" t="b">
        <f t="shared" si="54"/>
        <v>0</v>
      </c>
      <c r="FQ23" t="b">
        <f t="shared" si="54"/>
        <v>0</v>
      </c>
      <c r="FR23" t="b">
        <f t="shared" si="54"/>
        <v>1</v>
      </c>
      <c r="FS23" t="b">
        <f t="shared" si="54"/>
        <v>0</v>
      </c>
      <c r="FT23" t="b">
        <f t="shared" si="54"/>
        <v>0</v>
      </c>
      <c r="FU23" t="b">
        <f t="shared" si="54"/>
        <v>0</v>
      </c>
      <c r="FV23" t="b">
        <f t="shared" si="55"/>
        <v>0</v>
      </c>
      <c r="FW23" t="b">
        <f t="shared" si="55"/>
        <v>0</v>
      </c>
      <c r="FX23" t="b">
        <f t="shared" si="55"/>
        <v>0</v>
      </c>
      <c r="FY23" t="b">
        <f t="shared" si="55"/>
        <v>0</v>
      </c>
      <c r="FZ23" t="b">
        <f t="shared" si="55"/>
        <v>0</v>
      </c>
      <c r="GA23" t="b">
        <f t="shared" si="55"/>
        <v>0</v>
      </c>
      <c r="GB23" t="b">
        <f t="shared" si="55"/>
        <v>0</v>
      </c>
      <c r="GC23" t="b">
        <f t="shared" si="55"/>
        <v>0</v>
      </c>
      <c r="GD23" t="b">
        <f t="shared" si="55"/>
        <v>0</v>
      </c>
      <c r="GE23" t="b">
        <f t="shared" si="55"/>
        <v>0</v>
      </c>
      <c r="GF23" t="b">
        <f t="shared" si="56"/>
        <v>0</v>
      </c>
      <c r="GG23" t="b">
        <f t="shared" si="56"/>
        <v>0</v>
      </c>
      <c r="GH23" t="b">
        <f t="shared" si="56"/>
        <v>0</v>
      </c>
      <c r="GI23" t="b">
        <f t="shared" si="56"/>
        <v>0</v>
      </c>
      <c r="GJ23" t="b">
        <f t="shared" si="56"/>
        <v>0</v>
      </c>
      <c r="GK23" t="b">
        <f t="shared" si="56"/>
        <v>0</v>
      </c>
      <c r="GL23" t="b">
        <f t="shared" si="56"/>
        <v>0</v>
      </c>
      <c r="GM23" t="b">
        <f t="shared" si="56"/>
        <v>0</v>
      </c>
      <c r="GN23" t="b">
        <f t="shared" si="56"/>
        <v>0</v>
      </c>
      <c r="GO23" t="b">
        <f t="shared" si="56"/>
        <v>0</v>
      </c>
      <c r="GP23" t="b">
        <f t="shared" si="57"/>
        <v>0</v>
      </c>
      <c r="GQ23" t="b">
        <f t="shared" si="57"/>
        <v>0</v>
      </c>
      <c r="GR23" t="b">
        <f t="shared" si="57"/>
        <v>0</v>
      </c>
      <c r="GS23" t="b">
        <f t="shared" si="57"/>
        <v>0</v>
      </c>
      <c r="GT23" t="b">
        <f t="shared" si="57"/>
        <v>0</v>
      </c>
      <c r="GU23" t="b">
        <f t="shared" si="57"/>
        <v>0</v>
      </c>
      <c r="GV23" t="b">
        <f t="shared" si="57"/>
        <v>0</v>
      </c>
      <c r="GW23" t="b">
        <f t="shared" si="57"/>
        <v>0</v>
      </c>
      <c r="GX23" t="b">
        <f t="shared" si="57"/>
        <v>0</v>
      </c>
      <c r="GY23" t="b">
        <f t="shared" si="57"/>
        <v>0</v>
      </c>
      <c r="GZ23" t="b">
        <f t="shared" si="57"/>
        <v>0</v>
      </c>
    </row>
    <row r="24" spans="1:208" hidden="1" x14ac:dyDescent="0.3">
      <c r="A24" t="s">
        <v>28</v>
      </c>
      <c r="B24" t="s">
        <v>29</v>
      </c>
      <c r="C24" t="s">
        <v>36</v>
      </c>
      <c r="D24" s="3">
        <v>4</v>
      </c>
      <c r="E24" s="3">
        <v>5</v>
      </c>
      <c r="F24" s="3">
        <v>23</v>
      </c>
      <c r="G24" s="3">
        <v>1280</v>
      </c>
      <c r="H24" t="str">
        <f t="shared" si="19"/>
        <v>4-5</v>
      </c>
      <c r="I24" t="b">
        <v>1</v>
      </c>
      <c r="Q24" s="6">
        <v>24</v>
      </c>
      <c r="R24" t="b">
        <f t="shared" si="39"/>
        <v>0</v>
      </c>
      <c r="S24" t="b">
        <f t="shared" si="39"/>
        <v>0</v>
      </c>
      <c r="T24" t="b">
        <f t="shared" si="39"/>
        <v>0</v>
      </c>
      <c r="U24" t="b">
        <f t="shared" si="39"/>
        <v>0</v>
      </c>
      <c r="V24" t="b">
        <f t="shared" si="39"/>
        <v>0</v>
      </c>
      <c r="W24" t="b">
        <f t="shared" si="39"/>
        <v>0</v>
      </c>
      <c r="X24" t="b">
        <f t="shared" si="39"/>
        <v>0</v>
      </c>
      <c r="Y24" t="b">
        <f t="shared" si="39"/>
        <v>0</v>
      </c>
      <c r="Z24" t="b">
        <f t="shared" si="39"/>
        <v>0</v>
      </c>
      <c r="AA24" t="b">
        <f t="shared" si="39"/>
        <v>0</v>
      </c>
      <c r="AB24" t="b">
        <f t="shared" si="40"/>
        <v>0</v>
      </c>
      <c r="AC24" t="b">
        <f t="shared" si="40"/>
        <v>0</v>
      </c>
      <c r="AD24" t="b">
        <f t="shared" si="40"/>
        <v>0</v>
      </c>
      <c r="AE24" t="b">
        <f t="shared" si="40"/>
        <v>0</v>
      </c>
      <c r="AF24" t="b">
        <f t="shared" si="40"/>
        <v>0</v>
      </c>
      <c r="AG24" t="b">
        <f t="shared" si="40"/>
        <v>0</v>
      </c>
      <c r="AH24" t="b">
        <f t="shared" si="40"/>
        <v>0</v>
      </c>
      <c r="AI24" t="b">
        <f t="shared" si="40"/>
        <v>0</v>
      </c>
      <c r="AJ24" t="b">
        <f t="shared" si="40"/>
        <v>0</v>
      </c>
      <c r="AK24" t="b">
        <f t="shared" si="40"/>
        <v>0</v>
      </c>
      <c r="AL24" t="b">
        <f t="shared" si="41"/>
        <v>0</v>
      </c>
      <c r="AM24" t="b">
        <f t="shared" si="41"/>
        <v>0</v>
      </c>
      <c r="AN24" t="b">
        <f t="shared" si="41"/>
        <v>0</v>
      </c>
      <c r="AO24" t="b">
        <f t="shared" si="41"/>
        <v>0</v>
      </c>
      <c r="AP24" t="b">
        <f t="shared" si="41"/>
        <v>0</v>
      </c>
      <c r="AQ24" t="b">
        <f t="shared" si="41"/>
        <v>0</v>
      </c>
      <c r="AR24" t="b">
        <f t="shared" si="41"/>
        <v>0</v>
      </c>
      <c r="AS24" t="b">
        <f t="shared" si="41"/>
        <v>0</v>
      </c>
      <c r="AT24" t="b">
        <f t="shared" si="41"/>
        <v>0</v>
      </c>
      <c r="AU24" t="b">
        <f t="shared" si="41"/>
        <v>0</v>
      </c>
      <c r="AV24" t="b">
        <f t="shared" si="42"/>
        <v>0</v>
      </c>
      <c r="AW24" t="b">
        <f t="shared" si="42"/>
        <v>0</v>
      </c>
      <c r="AX24" t="b">
        <f t="shared" si="42"/>
        <v>0</v>
      </c>
      <c r="AY24" t="b">
        <f t="shared" si="42"/>
        <v>0</v>
      </c>
      <c r="AZ24" t="b">
        <f t="shared" si="42"/>
        <v>0</v>
      </c>
      <c r="BA24" t="b">
        <f t="shared" si="42"/>
        <v>0</v>
      </c>
      <c r="BB24" t="b">
        <f t="shared" si="42"/>
        <v>0</v>
      </c>
      <c r="BC24" t="b">
        <f t="shared" si="42"/>
        <v>0</v>
      </c>
      <c r="BD24" t="b">
        <f t="shared" si="42"/>
        <v>0</v>
      </c>
      <c r="BE24" t="b">
        <f t="shared" si="42"/>
        <v>0</v>
      </c>
      <c r="BF24" t="b">
        <f t="shared" si="43"/>
        <v>0</v>
      </c>
      <c r="BG24" t="b">
        <f t="shared" si="43"/>
        <v>0</v>
      </c>
      <c r="BH24" t="b">
        <f t="shared" si="43"/>
        <v>0</v>
      </c>
      <c r="BI24" t="b">
        <f t="shared" si="43"/>
        <v>0</v>
      </c>
      <c r="BJ24" t="b">
        <f t="shared" si="43"/>
        <v>0</v>
      </c>
      <c r="BK24" t="b">
        <f t="shared" si="43"/>
        <v>0</v>
      </c>
      <c r="BL24" t="b">
        <f t="shared" si="43"/>
        <v>0</v>
      </c>
      <c r="BM24" t="b">
        <f t="shared" si="43"/>
        <v>0</v>
      </c>
      <c r="BN24" t="b">
        <f t="shared" si="43"/>
        <v>0</v>
      </c>
      <c r="BO24" t="b">
        <f t="shared" si="43"/>
        <v>0</v>
      </c>
      <c r="BP24" t="b">
        <f t="shared" si="44"/>
        <v>0</v>
      </c>
      <c r="BQ24" t="b">
        <f t="shared" si="44"/>
        <v>0</v>
      </c>
      <c r="BR24" t="b">
        <f t="shared" si="44"/>
        <v>0</v>
      </c>
      <c r="BS24" t="b">
        <f t="shared" si="44"/>
        <v>0</v>
      </c>
      <c r="BT24" t="b">
        <f t="shared" si="44"/>
        <v>0</v>
      </c>
      <c r="BU24" t="b">
        <f t="shared" si="44"/>
        <v>0</v>
      </c>
      <c r="BV24" t="b">
        <f t="shared" si="44"/>
        <v>0</v>
      </c>
      <c r="BW24" t="b">
        <f t="shared" si="44"/>
        <v>0</v>
      </c>
      <c r="BX24" t="b">
        <f t="shared" si="44"/>
        <v>0</v>
      </c>
      <c r="BY24" t="b">
        <f t="shared" si="44"/>
        <v>0</v>
      </c>
      <c r="BZ24" t="b">
        <f t="shared" si="45"/>
        <v>0</v>
      </c>
      <c r="CA24" t="b">
        <f t="shared" si="45"/>
        <v>0</v>
      </c>
      <c r="CB24" t="b">
        <f t="shared" si="45"/>
        <v>0</v>
      </c>
      <c r="CC24" t="b">
        <f t="shared" si="45"/>
        <v>0</v>
      </c>
      <c r="CD24" t="b">
        <f t="shared" si="45"/>
        <v>0</v>
      </c>
      <c r="CE24" t="b">
        <f t="shared" si="45"/>
        <v>1</v>
      </c>
      <c r="CF24" t="b">
        <f t="shared" si="45"/>
        <v>0</v>
      </c>
      <c r="CG24" t="b">
        <f t="shared" si="45"/>
        <v>0</v>
      </c>
      <c r="CH24" t="b">
        <f t="shared" si="45"/>
        <v>0</v>
      </c>
      <c r="CI24" t="b">
        <f t="shared" si="45"/>
        <v>0</v>
      </c>
      <c r="CJ24" t="b">
        <f t="shared" si="46"/>
        <v>0</v>
      </c>
      <c r="CK24" t="b">
        <f t="shared" si="46"/>
        <v>0</v>
      </c>
      <c r="CL24" t="b">
        <f t="shared" si="46"/>
        <v>0</v>
      </c>
      <c r="CM24" t="b">
        <f t="shared" si="46"/>
        <v>0</v>
      </c>
      <c r="CN24" t="b">
        <f t="shared" si="46"/>
        <v>0</v>
      </c>
      <c r="CO24" t="b">
        <f t="shared" si="46"/>
        <v>0</v>
      </c>
      <c r="CP24" t="b">
        <f t="shared" si="46"/>
        <v>0</v>
      </c>
      <c r="CQ24" t="b">
        <f t="shared" si="46"/>
        <v>0</v>
      </c>
      <c r="CR24" t="b">
        <f t="shared" si="46"/>
        <v>0</v>
      </c>
      <c r="CS24" t="b">
        <f t="shared" si="46"/>
        <v>0</v>
      </c>
      <c r="CT24" t="b">
        <f t="shared" si="47"/>
        <v>0</v>
      </c>
      <c r="CU24" t="b">
        <f t="shared" si="47"/>
        <v>0</v>
      </c>
      <c r="CV24" t="b">
        <f t="shared" si="47"/>
        <v>0</v>
      </c>
      <c r="CW24" t="b">
        <f t="shared" si="47"/>
        <v>0</v>
      </c>
      <c r="CX24" t="b">
        <f t="shared" si="47"/>
        <v>0</v>
      </c>
      <c r="CY24" t="b">
        <f t="shared" si="47"/>
        <v>0</v>
      </c>
      <c r="CZ24" t="b">
        <f t="shared" si="47"/>
        <v>0</v>
      </c>
      <c r="DA24" t="b">
        <f t="shared" si="47"/>
        <v>0</v>
      </c>
      <c r="DB24" t="b">
        <f t="shared" si="47"/>
        <v>0</v>
      </c>
      <c r="DC24" t="b">
        <f t="shared" si="47"/>
        <v>0</v>
      </c>
      <c r="DD24" t="b">
        <f t="shared" si="48"/>
        <v>0</v>
      </c>
      <c r="DE24" t="b">
        <f t="shared" si="48"/>
        <v>0</v>
      </c>
      <c r="DF24" t="b">
        <f t="shared" si="48"/>
        <v>0</v>
      </c>
      <c r="DG24" t="b">
        <f t="shared" si="48"/>
        <v>0</v>
      </c>
      <c r="DH24" t="b">
        <f t="shared" si="48"/>
        <v>0</v>
      </c>
      <c r="DI24" t="b">
        <f t="shared" si="48"/>
        <v>0</v>
      </c>
      <c r="DJ24" t="b">
        <f t="shared" si="48"/>
        <v>0</v>
      </c>
      <c r="DK24" t="b">
        <f t="shared" si="48"/>
        <v>0</v>
      </c>
      <c r="DL24" t="b">
        <f t="shared" si="48"/>
        <v>0</v>
      </c>
      <c r="DM24" t="b">
        <f t="shared" si="48"/>
        <v>0</v>
      </c>
      <c r="DN24" t="b">
        <f t="shared" si="49"/>
        <v>0</v>
      </c>
      <c r="DO24" t="b">
        <f t="shared" si="49"/>
        <v>0</v>
      </c>
      <c r="DP24" t="b">
        <f t="shared" si="49"/>
        <v>0</v>
      </c>
      <c r="DQ24" t="b">
        <f t="shared" si="49"/>
        <v>0</v>
      </c>
      <c r="DR24" t="b">
        <f t="shared" si="49"/>
        <v>0</v>
      </c>
      <c r="DS24" t="b">
        <f t="shared" si="49"/>
        <v>0</v>
      </c>
      <c r="DT24" t="b">
        <f t="shared" si="49"/>
        <v>0</v>
      </c>
      <c r="DU24" t="b">
        <f t="shared" si="49"/>
        <v>0</v>
      </c>
      <c r="DV24" t="b">
        <f t="shared" si="49"/>
        <v>0</v>
      </c>
      <c r="DW24" t="b">
        <f t="shared" si="49"/>
        <v>0</v>
      </c>
      <c r="DX24" t="b">
        <f t="shared" si="50"/>
        <v>0</v>
      </c>
      <c r="DY24" t="b">
        <f t="shared" si="50"/>
        <v>0</v>
      </c>
      <c r="DZ24" t="b">
        <f t="shared" si="50"/>
        <v>0</v>
      </c>
      <c r="EA24" t="b">
        <f t="shared" si="50"/>
        <v>0</v>
      </c>
      <c r="EB24" t="b">
        <f t="shared" si="50"/>
        <v>0</v>
      </c>
      <c r="EC24" t="b">
        <f t="shared" si="50"/>
        <v>0</v>
      </c>
      <c r="ED24" t="b">
        <f t="shared" si="50"/>
        <v>0</v>
      </c>
      <c r="EE24" t="b">
        <f t="shared" si="50"/>
        <v>0</v>
      </c>
      <c r="EF24" t="b">
        <f t="shared" si="50"/>
        <v>0</v>
      </c>
      <c r="EG24" t="b">
        <f t="shared" si="50"/>
        <v>0</v>
      </c>
      <c r="EH24" t="b">
        <f t="shared" si="51"/>
        <v>0</v>
      </c>
      <c r="EI24" t="b">
        <f t="shared" si="51"/>
        <v>0</v>
      </c>
      <c r="EJ24" t="b">
        <f t="shared" si="51"/>
        <v>0</v>
      </c>
      <c r="EK24" t="b">
        <f t="shared" si="51"/>
        <v>0</v>
      </c>
      <c r="EL24" t="b">
        <f t="shared" si="51"/>
        <v>0</v>
      </c>
      <c r="EM24" t="b">
        <f t="shared" si="51"/>
        <v>0</v>
      </c>
      <c r="EN24" t="b">
        <f t="shared" si="51"/>
        <v>0</v>
      </c>
      <c r="EO24" t="b">
        <f t="shared" si="51"/>
        <v>0</v>
      </c>
      <c r="EP24" t="b">
        <f t="shared" si="51"/>
        <v>0</v>
      </c>
      <c r="EQ24" t="b">
        <f t="shared" si="51"/>
        <v>0</v>
      </c>
      <c r="ER24" t="b">
        <f t="shared" si="52"/>
        <v>0</v>
      </c>
      <c r="ES24" t="b">
        <f t="shared" si="52"/>
        <v>0</v>
      </c>
      <c r="ET24" t="b">
        <f t="shared" si="52"/>
        <v>0</v>
      </c>
      <c r="EU24" t="b">
        <f t="shared" si="52"/>
        <v>0</v>
      </c>
      <c r="EV24" t="b">
        <f t="shared" si="52"/>
        <v>0</v>
      </c>
      <c r="EW24" t="b">
        <f t="shared" si="52"/>
        <v>0</v>
      </c>
      <c r="EX24" t="b">
        <f t="shared" si="52"/>
        <v>0</v>
      </c>
      <c r="EY24" t="b">
        <f t="shared" si="52"/>
        <v>0</v>
      </c>
      <c r="EZ24" t="b">
        <f t="shared" si="52"/>
        <v>0</v>
      </c>
      <c r="FA24" t="b">
        <f t="shared" si="52"/>
        <v>0</v>
      </c>
      <c r="FB24" t="b">
        <f t="shared" si="53"/>
        <v>0</v>
      </c>
      <c r="FC24" t="b">
        <f t="shared" si="53"/>
        <v>0</v>
      </c>
      <c r="FD24" t="b">
        <f t="shared" si="53"/>
        <v>0</v>
      </c>
      <c r="FE24" t="b">
        <f t="shared" si="53"/>
        <v>0</v>
      </c>
      <c r="FF24" t="b">
        <f t="shared" si="53"/>
        <v>0</v>
      </c>
      <c r="FG24" t="b">
        <f t="shared" si="53"/>
        <v>0</v>
      </c>
      <c r="FH24" t="b">
        <f t="shared" si="53"/>
        <v>0</v>
      </c>
      <c r="FI24" t="b">
        <f t="shared" si="53"/>
        <v>0</v>
      </c>
      <c r="FJ24" t="b">
        <f t="shared" si="53"/>
        <v>0</v>
      </c>
      <c r="FK24" t="b">
        <f t="shared" si="53"/>
        <v>0</v>
      </c>
      <c r="FL24" t="b">
        <f t="shared" si="54"/>
        <v>0</v>
      </c>
      <c r="FM24" t="b">
        <f t="shared" si="54"/>
        <v>0</v>
      </c>
      <c r="FN24" t="b">
        <f t="shared" si="54"/>
        <v>0</v>
      </c>
      <c r="FO24" t="b">
        <f t="shared" si="54"/>
        <v>0</v>
      </c>
      <c r="FP24" t="b">
        <f t="shared" si="54"/>
        <v>0</v>
      </c>
      <c r="FQ24" t="b">
        <f t="shared" si="54"/>
        <v>0</v>
      </c>
      <c r="FR24" t="b">
        <f t="shared" si="54"/>
        <v>0</v>
      </c>
      <c r="FS24" t="b">
        <f t="shared" si="54"/>
        <v>0</v>
      </c>
      <c r="FT24" t="b">
        <f t="shared" si="54"/>
        <v>0</v>
      </c>
      <c r="FU24" t="b">
        <f t="shared" si="54"/>
        <v>0</v>
      </c>
      <c r="FV24" t="b">
        <f t="shared" si="55"/>
        <v>0</v>
      </c>
      <c r="FW24" t="b">
        <f t="shared" si="55"/>
        <v>0</v>
      </c>
      <c r="FX24" t="b">
        <f t="shared" si="55"/>
        <v>0</v>
      </c>
      <c r="FY24" t="b">
        <f t="shared" si="55"/>
        <v>0</v>
      </c>
      <c r="FZ24" t="b">
        <f t="shared" si="55"/>
        <v>0</v>
      </c>
      <c r="GA24" t="b">
        <f t="shared" si="55"/>
        <v>0</v>
      </c>
      <c r="GB24" t="b">
        <f t="shared" si="55"/>
        <v>0</v>
      </c>
      <c r="GC24" t="b">
        <f t="shared" si="55"/>
        <v>0</v>
      </c>
      <c r="GD24" t="b">
        <f t="shared" si="55"/>
        <v>0</v>
      </c>
      <c r="GE24" t="b">
        <f t="shared" si="55"/>
        <v>0</v>
      </c>
      <c r="GF24" t="b">
        <f t="shared" si="56"/>
        <v>0</v>
      </c>
      <c r="GG24" t="b">
        <f t="shared" si="56"/>
        <v>0</v>
      </c>
      <c r="GH24" t="b">
        <f t="shared" si="56"/>
        <v>0</v>
      </c>
      <c r="GI24" t="b">
        <f t="shared" si="56"/>
        <v>0</v>
      </c>
      <c r="GJ24" t="b">
        <f t="shared" si="56"/>
        <v>0</v>
      </c>
      <c r="GK24" t="b">
        <f t="shared" si="56"/>
        <v>0</v>
      </c>
      <c r="GL24" t="b">
        <f t="shared" si="56"/>
        <v>0</v>
      </c>
      <c r="GM24" t="b">
        <f t="shared" si="56"/>
        <v>0</v>
      </c>
      <c r="GN24" t="b">
        <f t="shared" si="56"/>
        <v>0</v>
      </c>
      <c r="GO24" t="b">
        <f t="shared" si="56"/>
        <v>0</v>
      </c>
      <c r="GP24" t="b">
        <f t="shared" si="57"/>
        <v>0</v>
      </c>
      <c r="GQ24" t="b">
        <f t="shared" si="57"/>
        <v>0</v>
      </c>
      <c r="GR24" t="b">
        <f t="shared" si="57"/>
        <v>0</v>
      </c>
      <c r="GS24" t="b">
        <f t="shared" si="57"/>
        <v>0</v>
      </c>
      <c r="GT24" t="b">
        <f t="shared" si="57"/>
        <v>0</v>
      </c>
      <c r="GU24" t="b">
        <f t="shared" si="57"/>
        <v>1</v>
      </c>
      <c r="GV24" t="b">
        <f t="shared" si="57"/>
        <v>0</v>
      </c>
      <c r="GW24" t="b">
        <f t="shared" si="57"/>
        <v>0</v>
      </c>
      <c r="GX24" t="b">
        <f t="shared" si="57"/>
        <v>0</v>
      </c>
      <c r="GY24" t="b">
        <f t="shared" si="57"/>
        <v>0</v>
      </c>
      <c r="GZ24" t="b">
        <f t="shared" si="57"/>
        <v>0</v>
      </c>
    </row>
    <row r="25" spans="1:208" hidden="1" x14ac:dyDescent="0.3">
      <c r="A25" t="s">
        <v>593</v>
      </c>
      <c r="B25" t="s">
        <v>594</v>
      </c>
      <c r="C25" t="s">
        <v>595</v>
      </c>
      <c r="D25" s="3">
        <v>31</v>
      </c>
      <c r="E25" s="3">
        <v>6</v>
      </c>
      <c r="F25" s="3">
        <v>24</v>
      </c>
      <c r="G25" s="3">
        <v>1220</v>
      </c>
      <c r="H25" t="str">
        <f t="shared" si="19"/>
        <v>31-6</v>
      </c>
      <c r="I25" t="b">
        <v>1</v>
      </c>
      <c r="Q25" s="6">
        <v>25</v>
      </c>
      <c r="R25" t="b">
        <f t="shared" si="39"/>
        <v>0</v>
      </c>
      <c r="S25" t="b">
        <f t="shared" si="39"/>
        <v>0</v>
      </c>
      <c r="T25" t="b">
        <f t="shared" si="39"/>
        <v>0</v>
      </c>
      <c r="U25" t="b">
        <f t="shared" si="39"/>
        <v>0</v>
      </c>
      <c r="V25" t="b">
        <f t="shared" si="39"/>
        <v>0</v>
      </c>
      <c r="W25" t="b">
        <f t="shared" si="39"/>
        <v>0</v>
      </c>
      <c r="X25" t="b">
        <f t="shared" si="39"/>
        <v>0</v>
      </c>
      <c r="Y25" t="b">
        <f t="shared" si="39"/>
        <v>0</v>
      </c>
      <c r="Z25" t="b">
        <f t="shared" si="39"/>
        <v>0</v>
      </c>
      <c r="AA25" t="b">
        <f t="shared" si="39"/>
        <v>0</v>
      </c>
      <c r="AB25" t="b">
        <f t="shared" si="40"/>
        <v>0</v>
      </c>
      <c r="AC25" t="b">
        <f t="shared" si="40"/>
        <v>0</v>
      </c>
      <c r="AD25" t="b">
        <f t="shared" si="40"/>
        <v>0</v>
      </c>
      <c r="AE25" t="b">
        <f t="shared" si="40"/>
        <v>0</v>
      </c>
      <c r="AF25" t="b">
        <f t="shared" si="40"/>
        <v>0</v>
      </c>
      <c r="AG25" t="b">
        <f t="shared" si="40"/>
        <v>0</v>
      </c>
      <c r="AH25" t="b">
        <f t="shared" si="40"/>
        <v>0</v>
      </c>
      <c r="AI25" t="b">
        <f t="shared" si="40"/>
        <v>0</v>
      </c>
      <c r="AJ25" t="b">
        <f t="shared" si="40"/>
        <v>0</v>
      </c>
      <c r="AK25" t="b">
        <f t="shared" si="40"/>
        <v>0</v>
      </c>
      <c r="AL25" t="b">
        <f t="shared" si="41"/>
        <v>0</v>
      </c>
      <c r="AM25" t="b">
        <f t="shared" si="41"/>
        <v>0</v>
      </c>
      <c r="AN25" t="b">
        <f t="shared" si="41"/>
        <v>0</v>
      </c>
      <c r="AO25" t="b">
        <f t="shared" si="41"/>
        <v>0</v>
      </c>
      <c r="AP25" t="b">
        <f t="shared" si="41"/>
        <v>0</v>
      </c>
      <c r="AQ25" t="b">
        <f t="shared" si="41"/>
        <v>0</v>
      </c>
      <c r="AR25" t="b">
        <f t="shared" si="41"/>
        <v>0</v>
      </c>
      <c r="AS25" t="b">
        <f t="shared" si="41"/>
        <v>0</v>
      </c>
      <c r="AT25" t="b">
        <f t="shared" si="41"/>
        <v>0</v>
      </c>
      <c r="AU25" t="b">
        <f t="shared" si="41"/>
        <v>0</v>
      </c>
      <c r="AV25" t="b">
        <f t="shared" si="42"/>
        <v>0</v>
      </c>
      <c r="AW25" t="b">
        <f t="shared" si="42"/>
        <v>0</v>
      </c>
      <c r="AX25" t="b">
        <f t="shared" si="42"/>
        <v>0</v>
      </c>
      <c r="AY25" t="b">
        <f t="shared" si="42"/>
        <v>0</v>
      </c>
      <c r="AZ25" t="b">
        <f t="shared" si="42"/>
        <v>0</v>
      </c>
      <c r="BA25" t="b">
        <f t="shared" si="42"/>
        <v>0</v>
      </c>
      <c r="BB25" t="b">
        <f t="shared" si="42"/>
        <v>0</v>
      </c>
      <c r="BC25" t="b">
        <f t="shared" si="42"/>
        <v>0</v>
      </c>
      <c r="BD25" t="b">
        <f t="shared" si="42"/>
        <v>0</v>
      </c>
      <c r="BE25" t="b">
        <f t="shared" si="42"/>
        <v>0</v>
      </c>
      <c r="BF25" t="b">
        <f t="shared" si="43"/>
        <v>0</v>
      </c>
      <c r="BG25" t="b">
        <f t="shared" si="43"/>
        <v>0</v>
      </c>
      <c r="BH25" t="b">
        <f t="shared" si="43"/>
        <v>0</v>
      </c>
      <c r="BI25" t="b">
        <f t="shared" si="43"/>
        <v>0</v>
      </c>
      <c r="BJ25" t="b">
        <f t="shared" si="43"/>
        <v>0</v>
      </c>
      <c r="BK25" t="b">
        <f t="shared" si="43"/>
        <v>0</v>
      </c>
      <c r="BL25" t="b">
        <f t="shared" si="43"/>
        <v>0</v>
      </c>
      <c r="BM25" t="b">
        <f t="shared" si="43"/>
        <v>0</v>
      </c>
      <c r="BN25" t="b">
        <f t="shared" si="43"/>
        <v>0</v>
      </c>
      <c r="BO25" t="b">
        <f t="shared" si="43"/>
        <v>0</v>
      </c>
      <c r="BP25" t="b">
        <f t="shared" si="44"/>
        <v>0</v>
      </c>
      <c r="BQ25" t="b">
        <f t="shared" si="44"/>
        <v>0</v>
      </c>
      <c r="BR25" t="b">
        <f t="shared" si="44"/>
        <v>0</v>
      </c>
      <c r="BS25" t="b">
        <f t="shared" si="44"/>
        <v>0</v>
      </c>
      <c r="BT25" t="b">
        <f t="shared" si="44"/>
        <v>0</v>
      </c>
      <c r="BU25" t="b">
        <f t="shared" si="44"/>
        <v>0</v>
      </c>
      <c r="BV25" t="b">
        <f t="shared" si="44"/>
        <v>0</v>
      </c>
      <c r="BW25" t="b">
        <f t="shared" si="44"/>
        <v>0</v>
      </c>
      <c r="BX25" t="b">
        <f t="shared" si="44"/>
        <v>0</v>
      </c>
      <c r="BY25" t="b">
        <f t="shared" si="44"/>
        <v>0</v>
      </c>
      <c r="BZ25" t="b">
        <f t="shared" si="45"/>
        <v>0</v>
      </c>
      <c r="CA25" t="b">
        <f t="shared" si="45"/>
        <v>0</v>
      </c>
      <c r="CB25" t="b">
        <f t="shared" si="45"/>
        <v>0</v>
      </c>
      <c r="CC25" t="b">
        <f t="shared" si="45"/>
        <v>0</v>
      </c>
      <c r="CD25" t="b">
        <f t="shared" si="45"/>
        <v>0</v>
      </c>
      <c r="CE25" t="b">
        <f t="shared" si="45"/>
        <v>0</v>
      </c>
      <c r="CF25" t="b">
        <f t="shared" si="45"/>
        <v>0</v>
      </c>
      <c r="CG25" t="b">
        <f t="shared" si="45"/>
        <v>0</v>
      </c>
      <c r="CH25" t="b">
        <f t="shared" si="45"/>
        <v>0</v>
      </c>
      <c r="CI25" t="b">
        <f t="shared" si="45"/>
        <v>0</v>
      </c>
      <c r="CJ25" t="b">
        <f t="shared" si="46"/>
        <v>0</v>
      </c>
      <c r="CK25" t="b">
        <f t="shared" si="46"/>
        <v>0</v>
      </c>
      <c r="CL25" t="b">
        <f t="shared" si="46"/>
        <v>0</v>
      </c>
      <c r="CM25" t="b">
        <f t="shared" si="46"/>
        <v>0</v>
      </c>
      <c r="CN25" t="b">
        <f t="shared" si="46"/>
        <v>0</v>
      </c>
      <c r="CO25" t="b">
        <f t="shared" si="46"/>
        <v>0</v>
      </c>
      <c r="CP25" t="b">
        <f t="shared" si="46"/>
        <v>0</v>
      </c>
      <c r="CQ25" t="b">
        <f t="shared" si="46"/>
        <v>0</v>
      </c>
      <c r="CR25" t="b">
        <f t="shared" si="46"/>
        <v>0</v>
      </c>
      <c r="CS25" t="b">
        <f t="shared" si="46"/>
        <v>0</v>
      </c>
      <c r="CT25" t="b">
        <f t="shared" si="47"/>
        <v>0</v>
      </c>
      <c r="CU25" t="b">
        <f t="shared" si="47"/>
        <v>0</v>
      </c>
      <c r="CV25" t="b">
        <f t="shared" si="47"/>
        <v>0</v>
      </c>
      <c r="CW25" t="b">
        <f t="shared" si="47"/>
        <v>0</v>
      </c>
      <c r="CX25" t="b">
        <f t="shared" si="47"/>
        <v>0</v>
      </c>
      <c r="CY25" t="b">
        <f t="shared" si="47"/>
        <v>0</v>
      </c>
      <c r="CZ25" t="b">
        <f t="shared" si="47"/>
        <v>0</v>
      </c>
      <c r="DA25" t="b">
        <f t="shared" si="47"/>
        <v>0</v>
      </c>
      <c r="DB25" t="b">
        <f t="shared" si="47"/>
        <v>0</v>
      </c>
      <c r="DC25" t="b">
        <f t="shared" si="47"/>
        <v>0</v>
      </c>
      <c r="DD25" t="b">
        <f t="shared" si="48"/>
        <v>0</v>
      </c>
      <c r="DE25" t="b">
        <f t="shared" si="48"/>
        <v>0</v>
      </c>
      <c r="DF25" t="b">
        <f t="shared" si="48"/>
        <v>0</v>
      </c>
      <c r="DG25" t="b">
        <f t="shared" si="48"/>
        <v>0</v>
      </c>
      <c r="DH25" t="b">
        <f t="shared" si="48"/>
        <v>0</v>
      </c>
      <c r="DI25" t="b">
        <f t="shared" si="48"/>
        <v>0</v>
      </c>
      <c r="DJ25" t="b">
        <f t="shared" si="48"/>
        <v>0</v>
      </c>
      <c r="DK25" t="b">
        <f t="shared" si="48"/>
        <v>0</v>
      </c>
      <c r="DL25" t="b">
        <f t="shared" si="48"/>
        <v>1</v>
      </c>
      <c r="DM25" t="b">
        <f t="shared" si="48"/>
        <v>0</v>
      </c>
      <c r="DN25" t="b">
        <f t="shared" si="49"/>
        <v>0</v>
      </c>
      <c r="DO25" t="b">
        <f t="shared" si="49"/>
        <v>0</v>
      </c>
      <c r="DP25" t="b">
        <f t="shared" si="49"/>
        <v>0</v>
      </c>
      <c r="DQ25" t="b">
        <f t="shared" si="49"/>
        <v>0</v>
      </c>
      <c r="DR25" t="b">
        <f t="shared" si="49"/>
        <v>0</v>
      </c>
      <c r="DS25" t="b">
        <f t="shared" si="49"/>
        <v>0</v>
      </c>
      <c r="DT25" t="b">
        <f t="shared" si="49"/>
        <v>0</v>
      </c>
      <c r="DU25" t="b">
        <f t="shared" si="49"/>
        <v>0</v>
      </c>
      <c r="DV25" t="b">
        <f t="shared" si="49"/>
        <v>0</v>
      </c>
      <c r="DW25" t="b">
        <f t="shared" si="49"/>
        <v>0</v>
      </c>
      <c r="DX25" t="b">
        <f t="shared" si="50"/>
        <v>0</v>
      </c>
      <c r="DY25" t="b">
        <f t="shared" si="50"/>
        <v>0</v>
      </c>
      <c r="DZ25" t="b">
        <f t="shared" si="50"/>
        <v>0</v>
      </c>
      <c r="EA25" t="b">
        <f t="shared" si="50"/>
        <v>0</v>
      </c>
      <c r="EB25" t="b">
        <f t="shared" si="50"/>
        <v>0</v>
      </c>
      <c r="EC25" t="b">
        <f t="shared" si="50"/>
        <v>0</v>
      </c>
      <c r="ED25" t="b">
        <f t="shared" si="50"/>
        <v>0</v>
      </c>
      <c r="EE25" t="b">
        <f t="shared" si="50"/>
        <v>0</v>
      </c>
      <c r="EF25" t="b">
        <f t="shared" si="50"/>
        <v>0</v>
      </c>
      <c r="EG25" t="b">
        <f t="shared" si="50"/>
        <v>0</v>
      </c>
      <c r="EH25" t="b">
        <f t="shared" si="51"/>
        <v>0</v>
      </c>
      <c r="EI25" t="b">
        <f t="shared" si="51"/>
        <v>0</v>
      </c>
      <c r="EJ25" t="b">
        <f t="shared" si="51"/>
        <v>0</v>
      </c>
      <c r="EK25" t="b">
        <f t="shared" si="51"/>
        <v>1</v>
      </c>
      <c r="EL25" t="b">
        <f t="shared" si="51"/>
        <v>0</v>
      </c>
      <c r="EM25" t="b">
        <f t="shared" si="51"/>
        <v>0</v>
      </c>
      <c r="EN25" t="b">
        <f t="shared" si="51"/>
        <v>0</v>
      </c>
      <c r="EO25" t="b">
        <f t="shared" si="51"/>
        <v>0</v>
      </c>
      <c r="EP25" t="b">
        <f t="shared" si="51"/>
        <v>0</v>
      </c>
      <c r="EQ25" t="b">
        <f t="shared" si="51"/>
        <v>0</v>
      </c>
      <c r="ER25" t="b">
        <f t="shared" si="52"/>
        <v>0</v>
      </c>
      <c r="ES25" t="b">
        <f t="shared" si="52"/>
        <v>0</v>
      </c>
      <c r="ET25" t="b">
        <f t="shared" si="52"/>
        <v>0</v>
      </c>
      <c r="EU25" t="b">
        <f t="shared" si="52"/>
        <v>0</v>
      </c>
      <c r="EV25" t="b">
        <f t="shared" si="52"/>
        <v>0</v>
      </c>
      <c r="EW25" t="b">
        <f t="shared" si="52"/>
        <v>0</v>
      </c>
      <c r="EX25" t="b">
        <f t="shared" si="52"/>
        <v>0</v>
      </c>
      <c r="EY25" t="b">
        <f t="shared" si="52"/>
        <v>0</v>
      </c>
      <c r="EZ25" t="b">
        <f t="shared" si="52"/>
        <v>0</v>
      </c>
      <c r="FA25" t="b">
        <f t="shared" si="52"/>
        <v>0</v>
      </c>
      <c r="FB25" t="b">
        <f t="shared" si="53"/>
        <v>0</v>
      </c>
      <c r="FC25" t="b">
        <f t="shared" si="53"/>
        <v>0</v>
      </c>
      <c r="FD25" t="b">
        <f t="shared" si="53"/>
        <v>0</v>
      </c>
      <c r="FE25" t="b">
        <f t="shared" si="53"/>
        <v>0</v>
      </c>
      <c r="FF25" t="b">
        <f t="shared" si="53"/>
        <v>0</v>
      </c>
      <c r="FG25" t="b">
        <f t="shared" si="53"/>
        <v>0</v>
      </c>
      <c r="FH25" t="b">
        <f t="shared" si="53"/>
        <v>0</v>
      </c>
      <c r="FI25" t="b">
        <f t="shared" si="53"/>
        <v>0</v>
      </c>
      <c r="FJ25" t="b">
        <f t="shared" si="53"/>
        <v>0</v>
      </c>
      <c r="FK25" t="b">
        <f t="shared" si="53"/>
        <v>0</v>
      </c>
      <c r="FL25" t="b">
        <f t="shared" si="54"/>
        <v>0</v>
      </c>
      <c r="FM25" t="b">
        <f t="shared" si="54"/>
        <v>0</v>
      </c>
      <c r="FN25" t="b">
        <f t="shared" si="54"/>
        <v>0</v>
      </c>
      <c r="FO25" t="b">
        <f t="shared" si="54"/>
        <v>0</v>
      </c>
      <c r="FP25" t="b">
        <f t="shared" si="54"/>
        <v>0</v>
      </c>
      <c r="FQ25" t="b">
        <f t="shared" si="54"/>
        <v>0</v>
      </c>
      <c r="FR25" t="b">
        <f t="shared" si="54"/>
        <v>0</v>
      </c>
      <c r="FS25" t="b">
        <f t="shared" si="54"/>
        <v>0</v>
      </c>
      <c r="FT25" t="b">
        <f t="shared" si="54"/>
        <v>0</v>
      </c>
      <c r="FU25" t="b">
        <f t="shared" si="54"/>
        <v>0</v>
      </c>
      <c r="FV25" t="b">
        <f t="shared" si="55"/>
        <v>0</v>
      </c>
      <c r="FW25" t="b">
        <f t="shared" si="55"/>
        <v>0</v>
      </c>
      <c r="FX25" t="b">
        <f t="shared" si="55"/>
        <v>0</v>
      </c>
      <c r="FY25" t="b">
        <f t="shared" si="55"/>
        <v>0</v>
      </c>
      <c r="FZ25" t="b">
        <f t="shared" si="55"/>
        <v>0</v>
      </c>
      <c r="GA25" t="b">
        <f t="shared" si="55"/>
        <v>0</v>
      </c>
      <c r="GB25" t="b">
        <f t="shared" si="55"/>
        <v>0</v>
      </c>
      <c r="GC25" t="b">
        <f t="shared" si="55"/>
        <v>0</v>
      </c>
      <c r="GD25" t="b">
        <f t="shared" si="55"/>
        <v>0</v>
      </c>
      <c r="GE25" t="b">
        <f t="shared" si="55"/>
        <v>0</v>
      </c>
      <c r="GF25" t="b">
        <f t="shared" si="56"/>
        <v>0</v>
      </c>
      <c r="GG25" t="b">
        <f t="shared" si="56"/>
        <v>0</v>
      </c>
      <c r="GH25" t="b">
        <f t="shared" si="56"/>
        <v>0</v>
      </c>
      <c r="GI25" t="b">
        <f t="shared" si="56"/>
        <v>0</v>
      </c>
      <c r="GJ25" t="b">
        <f t="shared" si="56"/>
        <v>0</v>
      </c>
      <c r="GK25" t="b">
        <f t="shared" si="56"/>
        <v>0</v>
      </c>
      <c r="GL25" t="b">
        <f t="shared" si="56"/>
        <v>0</v>
      </c>
      <c r="GM25" t="b">
        <f t="shared" si="56"/>
        <v>0</v>
      </c>
      <c r="GN25" t="b">
        <f t="shared" si="56"/>
        <v>0</v>
      </c>
      <c r="GO25" t="b">
        <f t="shared" si="56"/>
        <v>0</v>
      </c>
      <c r="GP25" t="b">
        <f t="shared" si="57"/>
        <v>0</v>
      </c>
      <c r="GQ25" t="b">
        <f t="shared" si="57"/>
        <v>0</v>
      </c>
      <c r="GR25" t="b">
        <f t="shared" si="57"/>
        <v>0</v>
      </c>
      <c r="GS25" t="b">
        <f t="shared" si="57"/>
        <v>0</v>
      </c>
      <c r="GT25" t="b">
        <f t="shared" si="57"/>
        <v>0</v>
      </c>
      <c r="GU25" t="b">
        <f t="shared" si="57"/>
        <v>0</v>
      </c>
      <c r="GV25" t="b">
        <f t="shared" si="57"/>
        <v>0</v>
      </c>
      <c r="GW25" t="b">
        <f t="shared" si="57"/>
        <v>0</v>
      </c>
      <c r="GX25" t="b">
        <f t="shared" si="57"/>
        <v>0</v>
      </c>
      <c r="GY25" t="b">
        <f t="shared" si="57"/>
        <v>0</v>
      </c>
      <c r="GZ25" t="b">
        <f t="shared" si="57"/>
        <v>0</v>
      </c>
    </row>
    <row r="26" spans="1:208" hidden="1" x14ac:dyDescent="0.3">
      <c r="A26" t="s">
        <v>7</v>
      </c>
      <c r="B26" t="s">
        <v>8</v>
      </c>
      <c r="C26" t="s">
        <v>9</v>
      </c>
      <c r="D26" s="3">
        <v>2</v>
      </c>
      <c r="E26" s="3">
        <v>7</v>
      </c>
      <c r="F26" s="3">
        <v>25</v>
      </c>
      <c r="G26" s="3">
        <v>1500</v>
      </c>
      <c r="H26" t="str">
        <f t="shared" si="19"/>
        <v>2-7</v>
      </c>
      <c r="I26" t="b">
        <v>1</v>
      </c>
      <c r="Q26" s="6">
        <v>26</v>
      </c>
      <c r="R26" t="b">
        <f t="shared" si="39"/>
        <v>0</v>
      </c>
      <c r="S26" t="b">
        <f t="shared" si="39"/>
        <v>0</v>
      </c>
      <c r="T26" t="b">
        <f t="shared" si="39"/>
        <v>0</v>
      </c>
      <c r="U26" t="b">
        <f t="shared" si="39"/>
        <v>0</v>
      </c>
      <c r="V26" t="b">
        <f t="shared" si="39"/>
        <v>0</v>
      </c>
      <c r="W26" t="b">
        <f t="shared" si="39"/>
        <v>0</v>
      </c>
      <c r="X26" t="b">
        <f t="shared" si="39"/>
        <v>0</v>
      </c>
      <c r="Y26" t="b">
        <f t="shared" si="39"/>
        <v>0</v>
      </c>
      <c r="Z26" t="b">
        <f t="shared" si="39"/>
        <v>0</v>
      </c>
      <c r="AA26" t="b">
        <f t="shared" si="39"/>
        <v>1</v>
      </c>
      <c r="AB26" t="b">
        <f t="shared" si="40"/>
        <v>0</v>
      </c>
      <c r="AC26" t="b">
        <f t="shared" si="40"/>
        <v>0</v>
      </c>
      <c r="AD26" t="b">
        <f t="shared" si="40"/>
        <v>0</v>
      </c>
      <c r="AE26" t="b">
        <f t="shared" si="40"/>
        <v>0</v>
      </c>
      <c r="AF26" t="b">
        <f t="shared" si="40"/>
        <v>0</v>
      </c>
      <c r="AG26" t="b">
        <f t="shared" si="40"/>
        <v>0</v>
      </c>
      <c r="AH26" t="b">
        <f t="shared" si="40"/>
        <v>0</v>
      </c>
      <c r="AI26" t="b">
        <f t="shared" si="40"/>
        <v>0</v>
      </c>
      <c r="AJ26" t="b">
        <f t="shared" si="40"/>
        <v>0</v>
      </c>
      <c r="AK26" t="b">
        <f t="shared" si="40"/>
        <v>0</v>
      </c>
      <c r="AL26" t="b">
        <f t="shared" si="41"/>
        <v>0</v>
      </c>
      <c r="AM26" t="b">
        <f t="shared" si="41"/>
        <v>0</v>
      </c>
      <c r="AN26" t="b">
        <f t="shared" si="41"/>
        <v>0</v>
      </c>
      <c r="AO26" t="b">
        <f t="shared" si="41"/>
        <v>0</v>
      </c>
      <c r="AP26" t="b">
        <f t="shared" si="41"/>
        <v>0</v>
      </c>
      <c r="AQ26" t="b">
        <f t="shared" si="41"/>
        <v>0</v>
      </c>
      <c r="AR26" t="b">
        <f t="shared" si="41"/>
        <v>0</v>
      </c>
      <c r="AS26" t="b">
        <f t="shared" si="41"/>
        <v>0</v>
      </c>
      <c r="AT26" t="b">
        <f t="shared" si="41"/>
        <v>0</v>
      </c>
      <c r="AU26" t="b">
        <f t="shared" si="41"/>
        <v>0</v>
      </c>
      <c r="AV26" t="b">
        <f t="shared" si="42"/>
        <v>0</v>
      </c>
      <c r="AW26" t="b">
        <f t="shared" si="42"/>
        <v>0</v>
      </c>
      <c r="AX26" t="b">
        <f t="shared" si="42"/>
        <v>0</v>
      </c>
      <c r="AY26" t="b">
        <f t="shared" si="42"/>
        <v>0</v>
      </c>
      <c r="AZ26" t="b">
        <f t="shared" si="42"/>
        <v>0</v>
      </c>
      <c r="BA26" t="b">
        <f t="shared" si="42"/>
        <v>0</v>
      </c>
      <c r="BB26" t="b">
        <f t="shared" si="42"/>
        <v>0</v>
      </c>
      <c r="BC26" t="b">
        <f t="shared" si="42"/>
        <v>0</v>
      </c>
      <c r="BD26" t="b">
        <f t="shared" si="42"/>
        <v>0</v>
      </c>
      <c r="BE26" t="b">
        <f t="shared" si="42"/>
        <v>0</v>
      </c>
      <c r="BF26" t="b">
        <f t="shared" si="43"/>
        <v>0</v>
      </c>
      <c r="BG26" t="b">
        <f t="shared" si="43"/>
        <v>0</v>
      </c>
      <c r="BH26" t="b">
        <f t="shared" si="43"/>
        <v>0</v>
      </c>
      <c r="BI26" t="b">
        <f t="shared" si="43"/>
        <v>0</v>
      </c>
      <c r="BJ26" t="b">
        <f t="shared" si="43"/>
        <v>0</v>
      </c>
      <c r="BK26" t="b">
        <f t="shared" si="43"/>
        <v>0</v>
      </c>
      <c r="BL26" t="b">
        <f t="shared" si="43"/>
        <v>0</v>
      </c>
      <c r="BM26" t="b">
        <f t="shared" si="43"/>
        <v>0</v>
      </c>
      <c r="BN26" t="b">
        <f t="shared" si="43"/>
        <v>0</v>
      </c>
      <c r="BO26" t="b">
        <f t="shared" si="43"/>
        <v>0</v>
      </c>
      <c r="BP26" t="b">
        <f t="shared" si="44"/>
        <v>0</v>
      </c>
      <c r="BQ26" t="b">
        <f t="shared" si="44"/>
        <v>0</v>
      </c>
      <c r="BR26" t="b">
        <f t="shared" si="44"/>
        <v>0</v>
      </c>
      <c r="BS26" t="b">
        <f t="shared" si="44"/>
        <v>0</v>
      </c>
      <c r="BT26" t="b">
        <f t="shared" si="44"/>
        <v>0</v>
      </c>
      <c r="BU26" t="b">
        <f t="shared" si="44"/>
        <v>0</v>
      </c>
      <c r="BV26" t="b">
        <f t="shared" si="44"/>
        <v>0</v>
      </c>
      <c r="BW26" t="b">
        <f t="shared" si="44"/>
        <v>0</v>
      </c>
      <c r="BX26" t="b">
        <f t="shared" si="44"/>
        <v>0</v>
      </c>
      <c r="BY26" t="b">
        <f t="shared" si="44"/>
        <v>0</v>
      </c>
      <c r="BZ26" t="b">
        <f t="shared" si="45"/>
        <v>0</v>
      </c>
      <c r="CA26" t="b">
        <f t="shared" si="45"/>
        <v>0</v>
      </c>
      <c r="CB26" t="b">
        <f t="shared" si="45"/>
        <v>0</v>
      </c>
      <c r="CC26" t="b">
        <f t="shared" si="45"/>
        <v>0</v>
      </c>
      <c r="CD26" t="b">
        <f t="shared" si="45"/>
        <v>0</v>
      </c>
      <c r="CE26" t="b">
        <f t="shared" si="45"/>
        <v>0</v>
      </c>
      <c r="CF26" t="b">
        <f t="shared" si="45"/>
        <v>0</v>
      </c>
      <c r="CG26" t="b">
        <f t="shared" si="45"/>
        <v>0</v>
      </c>
      <c r="CH26" t="b">
        <f t="shared" si="45"/>
        <v>0</v>
      </c>
      <c r="CI26" t="b">
        <f t="shared" si="45"/>
        <v>0</v>
      </c>
      <c r="CJ26" t="b">
        <f t="shared" si="46"/>
        <v>0</v>
      </c>
      <c r="CK26" t="b">
        <f t="shared" si="46"/>
        <v>0</v>
      </c>
      <c r="CL26" t="b">
        <f t="shared" si="46"/>
        <v>0</v>
      </c>
      <c r="CM26" t="b">
        <f t="shared" si="46"/>
        <v>0</v>
      </c>
      <c r="CN26" t="b">
        <f t="shared" si="46"/>
        <v>0</v>
      </c>
      <c r="CO26" t="b">
        <f t="shared" si="46"/>
        <v>0</v>
      </c>
      <c r="CP26" t="b">
        <f t="shared" si="46"/>
        <v>0</v>
      </c>
      <c r="CQ26" t="b">
        <f t="shared" si="46"/>
        <v>0</v>
      </c>
      <c r="CR26" t="b">
        <f t="shared" si="46"/>
        <v>0</v>
      </c>
      <c r="CS26" t="b">
        <f t="shared" si="46"/>
        <v>0</v>
      </c>
      <c r="CT26" t="b">
        <f t="shared" si="47"/>
        <v>0</v>
      </c>
      <c r="CU26" t="b">
        <f t="shared" si="47"/>
        <v>0</v>
      </c>
      <c r="CV26" t="b">
        <f t="shared" si="47"/>
        <v>0</v>
      </c>
      <c r="CW26" t="b">
        <f t="shared" si="47"/>
        <v>0</v>
      </c>
      <c r="CX26" t="b">
        <f t="shared" si="47"/>
        <v>0</v>
      </c>
      <c r="CY26" t="b">
        <f t="shared" si="47"/>
        <v>0</v>
      </c>
      <c r="CZ26" t="b">
        <f t="shared" si="47"/>
        <v>0</v>
      </c>
      <c r="DA26" t="b">
        <f t="shared" si="47"/>
        <v>0</v>
      </c>
      <c r="DB26" t="b">
        <f t="shared" si="47"/>
        <v>0</v>
      </c>
      <c r="DC26" t="b">
        <f t="shared" si="47"/>
        <v>0</v>
      </c>
      <c r="DD26" t="b">
        <f t="shared" si="48"/>
        <v>0</v>
      </c>
      <c r="DE26" t="b">
        <f t="shared" si="48"/>
        <v>0</v>
      </c>
      <c r="DF26" t="b">
        <f t="shared" si="48"/>
        <v>0</v>
      </c>
      <c r="DG26" t="b">
        <f t="shared" si="48"/>
        <v>0</v>
      </c>
      <c r="DH26" t="b">
        <f t="shared" si="48"/>
        <v>0</v>
      </c>
      <c r="DI26" t="b">
        <f t="shared" si="48"/>
        <v>0</v>
      </c>
      <c r="DJ26" t="b">
        <f t="shared" si="48"/>
        <v>0</v>
      </c>
      <c r="DK26" t="b">
        <f t="shared" si="48"/>
        <v>0</v>
      </c>
      <c r="DL26" t="b">
        <f t="shared" si="48"/>
        <v>0</v>
      </c>
      <c r="DM26" t="b">
        <f t="shared" si="48"/>
        <v>0</v>
      </c>
      <c r="DN26" t="b">
        <f t="shared" si="49"/>
        <v>0</v>
      </c>
      <c r="DO26" t="b">
        <f t="shared" si="49"/>
        <v>0</v>
      </c>
      <c r="DP26" t="b">
        <f t="shared" si="49"/>
        <v>0</v>
      </c>
      <c r="DQ26" t="b">
        <f t="shared" si="49"/>
        <v>0</v>
      </c>
      <c r="DR26" t="b">
        <f t="shared" si="49"/>
        <v>1</v>
      </c>
      <c r="DS26" t="b">
        <f t="shared" si="49"/>
        <v>0</v>
      </c>
      <c r="DT26" t="b">
        <f t="shared" si="49"/>
        <v>0</v>
      </c>
      <c r="DU26" t="b">
        <f t="shared" si="49"/>
        <v>0</v>
      </c>
      <c r="DV26" t="b">
        <f t="shared" si="49"/>
        <v>0</v>
      </c>
      <c r="DW26" t="b">
        <f t="shared" si="49"/>
        <v>0</v>
      </c>
      <c r="DX26" t="b">
        <f t="shared" si="50"/>
        <v>1</v>
      </c>
      <c r="DY26" t="b">
        <f t="shared" si="50"/>
        <v>0</v>
      </c>
      <c r="DZ26" t="b">
        <f t="shared" si="50"/>
        <v>0</v>
      </c>
      <c r="EA26" t="b">
        <f t="shared" si="50"/>
        <v>0</v>
      </c>
      <c r="EB26" t="b">
        <f t="shared" si="50"/>
        <v>0</v>
      </c>
      <c r="EC26" t="b">
        <f t="shared" si="50"/>
        <v>0</v>
      </c>
      <c r="ED26" t="b">
        <f t="shared" si="50"/>
        <v>0</v>
      </c>
      <c r="EE26" t="b">
        <f t="shared" si="50"/>
        <v>0</v>
      </c>
      <c r="EF26" t="b">
        <f t="shared" si="50"/>
        <v>1</v>
      </c>
      <c r="EG26" t="b">
        <f t="shared" si="50"/>
        <v>0</v>
      </c>
      <c r="EH26" t="b">
        <f t="shared" si="51"/>
        <v>0</v>
      </c>
      <c r="EI26" t="b">
        <f t="shared" si="51"/>
        <v>1</v>
      </c>
      <c r="EJ26" t="b">
        <f t="shared" si="51"/>
        <v>0</v>
      </c>
      <c r="EK26" t="b">
        <f t="shared" si="51"/>
        <v>0</v>
      </c>
      <c r="EL26" t="b">
        <f t="shared" si="51"/>
        <v>0</v>
      </c>
      <c r="EM26" t="b">
        <f t="shared" si="51"/>
        <v>0</v>
      </c>
      <c r="EN26" t="b">
        <f t="shared" si="51"/>
        <v>0</v>
      </c>
      <c r="EO26" t="b">
        <f t="shared" si="51"/>
        <v>0</v>
      </c>
      <c r="EP26" t="b">
        <f t="shared" si="51"/>
        <v>0</v>
      </c>
      <c r="EQ26" t="b">
        <f t="shared" si="51"/>
        <v>0</v>
      </c>
      <c r="ER26" t="b">
        <f t="shared" si="52"/>
        <v>0</v>
      </c>
      <c r="ES26" t="b">
        <f t="shared" si="52"/>
        <v>0</v>
      </c>
      <c r="ET26" t="b">
        <f t="shared" si="52"/>
        <v>1</v>
      </c>
      <c r="EU26" t="b">
        <f t="shared" si="52"/>
        <v>0</v>
      </c>
      <c r="EV26" t="b">
        <f t="shared" si="52"/>
        <v>0</v>
      </c>
      <c r="EW26" t="b">
        <f t="shared" si="52"/>
        <v>0</v>
      </c>
      <c r="EX26" t="b">
        <f t="shared" si="52"/>
        <v>0</v>
      </c>
      <c r="EY26" t="b">
        <f t="shared" si="52"/>
        <v>0</v>
      </c>
      <c r="EZ26" t="b">
        <f t="shared" si="52"/>
        <v>0</v>
      </c>
      <c r="FA26" t="b">
        <f t="shared" si="52"/>
        <v>0</v>
      </c>
      <c r="FB26" t="b">
        <f t="shared" si="53"/>
        <v>0</v>
      </c>
      <c r="FC26" t="b">
        <f t="shared" si="53"/>
        <v>0</v>
      </c>
      <c r="FD26" t="b">
        <f t="shared" si="53"/>
        <v>0</v>
      </c>
      <c r="FE26" t="b">
        <f t="shared" si="53"/>
        <v>1</v>
      </c>
      <c r="FF26" t="b">
        <f t="shared" si="53"/>
        <v>0</v>
      </c>
      <c r="FG26" t="b">
        <f t="shared" si="53"/>
        <v>0</v>
      </c>
      <c r="FH26" t="b">
        <f t="shared" si="53"/>
        <v>0</v>
      </c>
      <c r="FI26" t="b">
        <f t="shared" si="53"/>
        <v>0</v>
      </c>
      <c r="FJ26" t="b">
        <f t="shared" si="53"/>
        <v>0</v>
      </c>
      <c r="FK26" t="b">
        <f t="shared" si="53"/>
        <v>0</v>
      </c>
      <c r="FL26" t="b">
        <f t="shared" si="54"/>
        <v>0</v>
      </c>
      <c r="FM26" t="b">
        <f t="shared" si="54"/>
        <v>0</v>
      </c>
      <c r="FN26" t="b">
        <f t="shared" si="54"/>
        <v>0</v>
      </c>
      <c r="FO26" t="b">
        <f t="shared" si="54"/>
        <v>0</v>
      </c>
      <c r="FP26" t="b">
        <f t="shared" si="54"/>
        <v>0</v>
      </c>
      <c r="FQ26" t="b">
        <f t="shared" si="54"/>
        <v>0</v>
      </c>
      <c r="FR26" t="b">
        <f t="shared" si="54"/>
        <v>0</v>
      </c>
      <c r="FS26" t="b">
        <f t="shared" si="54"/>
        <v>0</v>
      </c>
      <c r="FT26" t="b">
        <f t="shared" si="54"/>
        <v>0</v>
      </c>
      <c r="FU26" t="b">
        <f t="shared" si="54"/>
        <v>0</v>
      </c>
      <c r="FV26" t="b">
        <f t="shared" si="55"/>
        <v>0</v>
      </c>
      <c r="FW26" t="b">
        <f t="shared" si="55"/>
        <v>0</v>
      </c>
      <c r="FX26" t="b">
        <f t="shared" si="55"/>
        <v>0</v>
      </c>
      <c r="FY26" t="b">
        <f t="shared" si="55"/>
        <v>0</v>
      </c>
      <c r="FZ26" t="b">
        <f t="shared" si="55"/>
        <v>0</v>
      </c>
      <c r="GA26" t="b">
        <f t="shared" si="55"/>
        <v>0</v>
      </c>
      <c r="GB26" t="b">
        <f t="shared" si="55"/>
        <v>0</v>
      </c>
      <c r="GC26" t="b">
        <f t="shared" si="55"/>
        <v>0</v>
      </c>
      <c r="GD26" t="b">
        <f t="shared" si="55"/>
        <v>0</v>
      </c>
      <c r="GE26" t="b">
        <f t="shared" si="55"/>
        <v>0</v>
      </c>
      <c r="GF26" t="b">
        <f t="shared" si="56"/>
        <v>0</v>
      </c>
      <c r="GG26" t="b">
        <f t="shared" si="56"/>
        <v>0</v>
      </c>
      <c r="GH26" t="b">
        <f t="shared" si="56"/>
        <v>0</v>
      </c>
      <c r="GI26" t="b">
        <f t="shared" si="56"/>
        <v>0</v>
      </c>
      <c r="GJ26" t="b">
        <f t="shared" si="56"/>
        <v>0</v>
      </c>
      <c r="GK26" t="b">
        <f t="shared" si="56"/>
        <v>0</v>
      </c>
      <c r="GL26" t="b">
        <f t="shared" si="56"/>
        <v>0</v>
      </c>
      <c r="GM26" t="b">
        <f t="shared" si="56"/>
        <v>0</v>
      </c>
      <c r="GN26" t="b">
        <f t="shared" si="56"/>
        <v>0</v>
      </c>
      <c r="GO26" t="b">
        <f t="shared" si="56"/>
        <v>0</v>
      </c>
      <c r="GP26" t="b">
        <f t="shared" si="57"/>
        <v>0</v>
      </c>
      <c r="GQ26" t="b">
        <f t="shared" si="57"/>
        <v>0</v>
      </c>
      <c r="GR26" t="b">
        <f t="shared" si="57"/>
        <v>0</v>
      </c>
      <c r="GS26" t="b">
        <f t="shared" si="57"/>
        <v>0</v>
      </c>
      <c r="GT26" t="b">
        <f t="shared" si="57"/>
        <v>0</v>
      </c>
      <c r="GU26" t="b">
        <f t="shared" si="57"/>
        <v>0</v>
      </c>
      <c r="GV26" t="b">
        <f t="shared" si="57"/>
        <v>0</v>
      </c>
      <c r="GW26" t="b">
        <f t="shared" si="57"/>
        <v>0</v>
      </c>
      <c r="GX26" t="b">
        <f t="shared" si="57"/>
        <v>0</v>
      </c>
      <c r="GY26" t="b">
        <f t="shared" si="57"/>
        <v>0</v>
      </c>
      <c r="GZ26" t="b">
        <f t="shared" si="57"/>
        <v>0</v>
      </c>
    </row>
    <row r="27" spans="1:208" hidden="1" x14ac:dyDescent="0.3">
      <c r="A27" t="s">
        <v>7</v>
      </c>
      <c r="B27" t="s">
        <v>8</v>
      </c>
      <c r="C27" t="s">
        <v>10</v>
      </c>
      <c r="D27" s="3">
        <v>2</v>
      </c>
      <c r="E27" s="3">
        <v>7</v>
      </c>
      <c r="F27" s="3">
        <v>26</v>
      </c>
      <c r="G27" s="3">
        <v>200</v>
      </c>
      <c r="H27" t="str">
        <f t="shared" si="19"/>
        <v>2-7</v>
      </c>
      <c r="I27" t="b">
        <v>1</v>
      </c>
      <c r="Q27" s="6">
        <v>27</v>
      </c>
      <c r="R27" t="b">
        <f t="shared" si="39"/>
        <v>0</v>
      </c>
      <c r="S27" t="b">
        <f t="shared" si="39"/>
        <v>0</v>
      </c>
      <c r="T27" t="b">
        <f t="shared" si="39"/>
        <v>0</v>
      </c>
      <c r="U27" t="b">
        <f t="shared" si="39"/>
        <v>0</v>
      </c>
      <c r="V27" t="b">
        <f t="shared" si="39"/>
        <v>0</v>
      </c>
      <c r="W27" t="b">
        <f t="shared" si="39"/>
        <v>0</v>
      </c>
      <c r="X27" t="b">
        <f t="shared" si="39"/>
        <v>0</v>
      </c>
      <c r="Y27" t="b">
        <f t="shared" si="39"/>
        <v>0</v>
      </c>
      <c r="Z27" t="b">
        <f t="shared" si="39"/>
        <v>0</v>
      </c>
      <c r="AA27" t="b">
        <f t="shared" si="39"/>
        <v>0</v>
      </c>
      <c r="AB27" t="b">
        <f t="shared" si="40"/>
        <v>0</v>
      </c>
      <c r="AC27" t="b">
        <f t="shared" si="40"/>
        <v>0</v>
      </c>
      <c r="AD27" t="b">
        <f t="shared" si="40"/>
        <v>0</v>
      </c>
      <c r="AE27" t="b">
        <f t="shared" si="40"/>
        <v>0</v>
      </c>
      <c r="AF27" t="b">
        <f t="shared" si="40"/>
        <v>0</v>
      </c>
      <c r="AG27" t="b">
        <f t="shared" si="40"/>
        <v>0</v>
      </c>
      <c r="AH27" t="b">
        <f t="shared" si="40"/>
        <v>0</v>
      </c>
      <c r="AI27" t="b">
        <f t="shared" si="40"/>
        <v>0</v>
      </c>
      <c r="AJ27" t="b">
        <f t="shared" si="40"/>
        <v>0</v>
      </c>
      <c r="AK27" t="b">
        <f t="shared" si="40"/>
        <v>1</v>
      </c>
      <c r="AL27" t="b">
        <f t="shared" si="41"/>
        <v>0</v>
      </c>
      <c r="AM27" t="b">
        <f t="shared" si="41"/>
        <v>0</v>
      </c>
      <c r="AN27" t="b">
        <f t="shared" si="41"/>
        <v>0</v>
      </c>
      <c r="AO27" t="b">
        <f t="shared" si="41"/>
        <v>0</v>
      </c>
      <c r="AP27" t="b">
        <f t="shared" si="41"/>
        <v>0</v>
      </c>
      <c r="AQ27" t="b">
        <f t="shared" si="41"/>
        <v>0</v>
      </c>
      <c r="AR27" t="b">
        <f t="shared" si="41"/>
        <v>0</v>
      </c>
      <c r="AS27" t="b">
        <f t="shared" si="41"/>
        <v>0</v>
      </c>
      <c r="AT27" t="b">
        <f t="shared" si="41"/>
        <v>0</v>
      </c>
      <c r="AU27" t="b">
        <f t="shared" si="41"/>
        <v>0</v>
      </c>
      <c r="AV27" t="b">
        <f t="shared" si="42"/>
        <v>0</v>
      </c>
      <c r="AW27" t="b">
        <f t="shared" si="42"/>
        <v>0</v>
      </c>
      <c r="AX27" t="b">
        <f t="shared" si="42"/>
        <v>0</v>
      </c>
      <c r="AY27" t="b">
        <f t="shared" si="42"/>
        <v>1</v>
      </c>
      <c r="AZ27" t="b">
        <f t="shared" si="42"/>
        <v>0</v>
      </c>
      <c r="BA27" t="b">
        <f t="shared" si="42"/>
        <v>0</v>
      </c>
      <c r="BB27" t="b">
        <f t="shared" si="42"/>
        <v>0</v>
      </c>
      <c r="BC27" t="b">
        <f t="shared" si="42"/>
        <v>0</v>
      </c>
      <c r="BD27" t="b">
        <f t="shared" si="42"/>
        <v>0</v>
      </c>
      <c r="BE27" t="b">
        <f t="shared" si="42"/>
        <v>0</v>
      </c>
      <c r="BF27" t="b">
        <f t="shared" si="43"/>
        <v>0</v>
      </c>
      <c r="BG27" t="b">
        <f t="shared" si="43"/>
        <v>0</v>
      </c>
      <c r="BH27" t="b">
        <f t="shared" si="43"/>
        <v>0</v>
      </c>
      <c r="BI27" t="b">
        <f t="shared" si="43"/>
        <v>0</v>
      </c>
      <c r="BJ27" t="b">
        <f t="shared" si="43"/>
        <v>0</v>
      </c>
      <c r="BK27" t="b">
        <f t="shared" si="43"/>
        <v>0</v>
      </c>
      <c r="BL27" t="b">
        <f t="shared" si="43"/>
        <v>0</v>
      </c>
      <c r="BM27" t="b">
        <f t="shared" si="43"/>
        <v>1</v>
      </c>
      <c r="BN27" t="b">
        <f t="shared" si="43"/>
        <v>1</v>
      </c>
      <c r="BO27" t="b">
        <f t="shared" si="43"/>
        <v>0</v>
      </c>
      <c r="BP27" t="b">
        <f t="shared" si="44"/>
        <v>0</v>
      </c>
      <c r="BQ27" t="b">
        <f t="shared" si="44"/>
        <v>0</v>
      </c>
      <c r="BR27" t="b">
        <f t="shared" si="44"/>
        <v>0</v>
      </c>
      <c r="BS27" t="b">
        <f t="shared" si="44"/>
        <v>0</v>
      </c>
      <c r="BT27" t="b">
        <f t="shared" si="44"/>
        <v>0</v>
      </c>
      <c r="BU27" t="b">
        <f t="shared" si="44"/>
        <v>0</v>
      </c>
      <c r="BV27" t="b">
        <f t="shared" si="44"/>
        <v>0</v>
      </c>
      <c r="BW27" t="b">
        <f t="shared" si="44"/>
        <v>0</v>
      </c>
      <c r="BX27" t="b">
        <f t="shared" si="44"/>
        <v>0</v>
      </c>
      <c r="BY27" t="b">
        <f t="shared" si="44"/>
        <v>0</v>
      </c>
      <c r="BZ27" t="b">
        <f t="shared" si="45"/>
        <v>0</v>
      </c>
      <c r="CA27" t="b">
        <f t="shared" si="45"/>
        <v>0</v>
      </c>
      <c r="CB27" t="b">
        <f t="shared" si="45"/>
        <v>0</v>
      </c>
      <c r="CC27" t="b">
        <f t="shared" si="45"/>
        <v>0</v>
      </c>
      <c r="CD27" t="b">
        <f t="shared" si="45"/>
        <v>0</v>
      </c>
      <c r="CE27" t="b">
        <f t="shared" si="45"/>
        <v>0</v>
      </c>
      <c r="CF27" t="b">
        <f t="shared" si="45"/>
        <v>0</v>
      </c>
      <c r="CG27" t="b">
        <f t="shared" si="45"/>
        <v>0</v>
      </c>
      <c r="CH27" t="b">
        <f t="shared" si="45"/>
        <v>0</v>
      </c>
      <c r="CI27" t="b">
        <f t="shared" si="45"/>
        <v>1</v>
      </c>
      <c r="CJ27" t="b">
        <f t="shared" si="46"/>
        <v>0</v>
      </c>
      <c r="CK27" t="b">
        <f t="shared" si="46"/>
        <v>0</v>
      </c>
      <c r="CL27" t="b">
        <f t="shared" si="46"/>
        <v>0</v>
      </c>
      <c r="CM27" t="b">
        <f t="shared" si="46"/>
        <v>0</v>
      </c>
      <c r="CN27" t="b">
        <f t="shared" si="46"/>
        <v>0</v>
      </c>
      <c r="CO27" t="b">
        <f t="shared" si="46"/>
        <v>0</v>
      </c>
      <c r="CP27" t="b">
        <f t="shared" si="46"/>
        <v>0</v>
      </c>
      <c r="CQ27" t="b">
        <f t="shared" si="46"/>
        <v>0</v>
      </c>
      <c r="CR27" t="b">
        <f t="shared" si="46"/>
        <v>0</v>
      </c>
      <c r="CS27" t="b">
        <f t="shared" si="46"/>
        <v>0</v>
      </c>
      <c r="CT27" t="b">
        <f t="shared" si="47"/>
        <v>0</v>
      </c>
      <c r="CU27" t="b">
        <f t="shared" si="47"/>
        <v>0</v>
      </c>
      <c r="CV27" t="b">
        <f t="shared" si="47"/>
        <v>0</v>
      </c>
      <c r="CW27" t="b">
        <f t="shared" si="47"/>
        <v>0</v>
      </c>
      <c r="CX27" t="b">
        <f t="shared" si="47"/>
        <v>0</v>
      </c>
      <c r="CY27" t="b">
        <f t="shared" si="47"/>
        <v>0</v>
      </c>
      <c r="CZ27" t="b">
        <f t="shared" si="47"/>
        <v>0</v>
      </c>
      <c r="DA27" t="b">
        <f t="shared" si="47"/>
        <v>0</v>
      </c>
      <c r="DB27" t="b">
        <f t="shared" si="47"/>
        <v>1</v>
      </c>
      <c r="DC27" t="b">
        <f t="shared" si="47"/>
        <v>0</v>
      </c>
      <c r="DD27" t="b">
        <f t="shared" si="48"/>
        <v>0</v>
      </c>
      <c r="DE27" t="b">
        <f t="shared" si="48"/>
        <v>0</v>
      </c>
      <c r="DF27" t="b">
        <f t="shared" si="48"/>
        <v>0</v>
      </c>
      <c r="DG27" t="b">
        <f t="shared" si="48"/>
        <v>0</v>
      </c>
      <c r="DH27" t="b">
        <f t="shared" si="48"/>
        <v>0</v>
      </c>
      <c r="DI27" t="b">
        <f t="shared" si="48"/>
        <v>0</v>
      </c>
      <c r="DJ27" t="b">
        <f t="shared" si="48"/>
        <v>0</v>
      </c>
      <c r="DK27" t="b">
        <f t="shared" si="48"/>
        <v>0</v>
      </c>
      <c r="DL27" t="b">
        <f t="shared" si="48"/>
        <v>0</v>
      </c>
      <c r="DM27" t="b">
        <f t="shared" si="48"/>
        <v>0</v>
      </c>
      <c r="DN27" t="b">
        <f t="shared" si="49"/>
        <v>0</v>
      </c>
      <c r="DO27" t="b">
        <f t="shared" si="49"/>
        <v>1</v>
      </c>
      <c r="DP27" t="b">
        <f t="shared" si="49"/>
        <v>0</v>
      </c>
      <c r="DQ27" t="b">
        <f t="shared" si="49"/>
        <v>0</v>
      </c>
      <c r="DR27" t="b">
        <f t="shared" si="49"/>
        <v>0</v>
      </c>
      <c r="DS27" t="b">
        <f t="shared" si="49"/>
        <v>0</v>
      </c>
      <c r="DT27" t="b">
        <f t="shared" si="49"/>
        <v>0</v>
      </c>
      <c r="DU27" t="b">
        <f t="shared" si="49"/>
        <v>0</v>
      </c>
      <c r="DV27" t="b">
        <f t="shared" si="49"/>
        <v>0</v>
      </c>
      <c r="DW27" t="b">
        <f t="shared" si="49"/>
        <v>0</v>
      </c>
      <c r="DX27" t="b">
        <f t="shared" si="50"/>
        <v>0</v>
      </c>
      <c r="DY27" t="b">
        <f t="shared" si="50"/>
        <v>0</v>
      </c>
      <c r="DZ27" t="b">
        <f t="shared" si="50"/>
        <v>0</v>
      </c>
      <c r="EA27" t="b">
        <f t="shared" si="50"/>
        <v>0</v>
      </c>
      <c r="EB27" t="b">
        <f t="shared" si="50"/>
        <v>0</v>
      </c>
      <c r="EC27" t="b">
        <f t="shared" si="50"/>
        <v>0</v>
      </c>
      <c r="ED27" t="b">
        <f t="shared" si="50"/>
        <v>0</v>
      </c>
      <c r="EE27" t="b">
        <f t="shared" si="50"/>
        <v>0</v>
      </c>
      <c r="EF27" t="b">
        <f t="shared" si="50"/>
        <v>0</v>
      </c>
      <c r="EG27" t="b">
        <f t="shared" si="50"/>
        <v>0</v>
      </c>
      <c r="EH27" t="b">
        <f t="shared" si="51"/>
        <v>0</v>
      </c>
      <c r="EI27" t="b">
        <f t="shared" si="51"/>
        <v>0</v>
      </c>
      <c r="EJ27" t="b">
        <f t="shared" si="51"/>
        <v>0</v>
      </c>
      <c r="EK27" t="b">
        <f t="shared" si="51"/>
        <v>0</v>
      </c>
      <c r="EL27" t="b">
        <f t="shared" si="51"/>
        <v>0</v>
      </c>
      <c r="EM27" t="b">
        <f t="shared" si="51"/>
        <v>0</v>
      </c>
      <c r="EN27" t="b">
        <f t="shared" si="51"/>
        <v>0</v>
      </c>
      <c r="EO27" t="b">
        <f t="shared" si="51"/>
        <v>0</v>
      </c>
      <c r="EP27" t="b">
        <f t="shared" si="51"/>
        <v>0</v>
      </c>
      <c r="EQ27" t="b">
        <f t="shared" si="51"/>
        <v>0</v>
      </c>
      <c r="ER27" t="b">
        <f t="shared" si="52"/>
        <v>0</v>
      </c>
      <c r="ES27" t="b">
        <f t="shared" si="52"/>
        <v>0</v>
      </c>
      <c r="ET27" t="b">
        <f t="shared" si="52"/>
        <v>0</v>
      </c>
      <c r="EU27" t="b">
        <f t="shared" si="52"/>
        <v>0</v>
      </c>
      <c r="EV27" t="b">
        <f t="shared" si="52"/>
        <v>0</v>
      </c>
      <c r="EW27" t="b">
        <f t="shared" si="52"/>
        <v>0</v>
      </c>
      <c r="EX27" t="b">
        <f t="shared" si="52"/>
        <v>0</v>
      </c>
      <c r="EY27" t="b">
        <f t="shared" si="52"/>
        <v>0</v>
      </c>
      <c r="EZ27" t="b">
        <f t="shared" si="52"/>
        <v>0</v>
      </c>
      <c r="FA27" t="b">
        <f t="shared" si="52"/>
        <v>0</v>
      </c>
      <c r="FB27" t="b">
        <f t="shared" si="53"/>
        <v>0</v>
      </c>
      <c r="FC27" t="b">
        <f t="shared" si="53"/>
        <v>0</v>
      </c>
      <c r="FD27" t="b">
        <f t="shared" si="53"/>
        <v>0</v>
      </c>
      <c r="FE27" t="b">
        <f t="shared" si="53"/>
        <v>0</v>
      </c>
      <c r="FF27" t="b">
        <f t="shared" si="53"/>
        <v>0</v>
      </c>
      <c r="FG27" t="b">
        <f t="shared" si="53"/>
        <v>0</v>
      </c>
      <c r="FH27" t="b">
        <f t="shared" si="53"/>
        <v>0</v>
      </c>
      <c r="FI27" t="b">
        <f t="shared" si="53"/>
        <v>0</v>
      </c>
      <c r="FJ27" t="b">
        <f t="shared" si="53"/>
        <v>0</v>
      </c>
      <c r="FK27" t="b">
        <f t="shared" si="53"/>
        <v>0</v>
      </c>
      <c r="FL27" t="b">
        <f t="shared" si="54"/>
        <v>0</v>
      </c>
      <c r="FM27" t="b">
        <f t="shared" si="54"/>
        <v>0</v>
      </c>
      <c r="FN27" t="b">
        <f t="shared" si="54"/>
        <v>0</v>
      </c>
      <c r="FO27" t="b">
        <f t="shared" si="54"/>
        <v>0</v>
      </c>
      <c r="FP27" t="b">
        <f t="shared" si="54"/>
        <v>0</v>
      </c>
      <c r="FQ27" t="b">
        <f t="shared" si="54"/>
        <v>0</v>
      </c>
      <c r="FR27" t="b">
        <f t="shared" si="54"/>
        <v>0</v>
      </c>
      <c r="FS27" t="b">
        <f t="shared" si="54"/>
        <v>0</v>
      </c>
      <c r="FT27" t="b">
        <f t="shared" si="54"/>
        <v>0</v>
      </c>
      <c r="FU27" t="b">
        <f t="shared" si="54"/>
        <v>0</v>
      </c>
      <c r="FV27" t="b">
        <f t="shared" si="55"/>
        <v>0</v>
      </c>
      <c r="FW27" t="b">
        <f t="shared" si="55"/>
        <v>0</v>
      </c>
      <c r="FX27" t="b">
        <f t="shared" si="55"/>
        <v>0</v>
      </c>
      <c r="FY27" t="b">
        <f t="shared" si="55"/>
        <v>0</v>
      </c>
      <c r="FZ27" t="b">
        <f t="shared" si="55"/>
        <v>0</v>
      </c>
      <c r="GA27" t="b">
        <f t="shared" si="55"/>
        <v>0</v>
      </c>
      <c r="GB27" t="b">
        <f t="shared" si="55"/>
        <v>0</v>
      </c>
      <c r="GC27" t="b">
        <f t="shared" si="55"/>
        <v>0</v>
      </c>
      <c r="GD27" t="b">
        <f t="shared" si="55"/>
        <v>0</v>
      </c>
      <c r="GE27" t="b">
        <f t="shared" si="55"/>
        <v>0</v>
      </c>
      <c r="GF27" t="b">
        <f t="shared" si="56"/>
        <v>0</v>
      </c>
      <c r="GG27" t="b">
        <f t="shared" si="56"/>
        <v>0</v>
      </c>
      <c r="GH27" t="b">
        <f t="shared" si="56"/>
        <v>0</v>
      </c>
      <c r="GI27" t="b">
        <f t="shared" si="56"/>
        <v>0</v>
      </c>
      <c r="GJ27" t="b">
        <f t="shared" si="56"/>
        <v>0</v>
      </c>
      <c r="GK27" t="b">
        <f t="shared" si="56"/>
        <v>0</v>
      </c>
      <c r="GL27" t="b">
        <f t="shared" si="56"/>
        <v>0</v>
      </c>
      <c r="GM27" t="b">
        <f t="shared" si="56"/>
        <v>0</v>
      </c>
      <c r="GN27" t="b">
        <f t="shared" si="56"/>
        <v>0</v>
      </c>
      <c r="GO27" t="b">
        <f t="shared" si="56"/>
        <v>0</v>
      </c>
      <c r="GP27" t="b">
        <f t="shared" si="57"/>
        <v>0</v>
      </c>
      <c r="GQ27" t="b">
        <f t="shared" si="57"/>
        <v>0</v>
      </c>
      <c r="GR27" t="b">
        <f t="shared" si="57"/>
        <v>0</v>
      </c>
      <c r="GS27" t="b">
        <f t="shared" si="57"/>
        <v>0</v>
      </c>
      <c r="GT27" t="b">
        <f t="shared" si="57"/>
        <v>0</v>
      </c>
      <c r="GU27" t="b">
        <f t="shared" si="57"/>
        <v>0</v>
      </c>
      <c r="GV27" t="b">
        <f t="shared" si="57"/>
        <v>0</v>
      </c>
      <c r="GW27" t="b">
        <f t="shared" si="57"/>
        <v>0</v>
      </c>
      <c r="GX27" t="b">
        <f t="shared" si="57"/>
        <v>0</v>
      </c>
      <c r="GY27" t="b">
        <f t="shared" si="57"/>
        <v>0</v>
      </c>
      <c r="GZ27" t="b">
        <f t="shared" si="57"/>
        <v>0</v>
      </c>
    </row>
    <row r="28" spans="1:208" hidden="1" x14ac:dyDescent="0.3">
      <c r="A28" t="s">
        <v>7</v>
      </c>
      <c r="B28" t="s">
        <v>8</v>
      </c>
      <c r="C28" t="s">
        <v>11</v>
      </c>
      <c r="D28" s="3">
        <v>2</v>
      </c>
      <c r="E28" s="3">
        <v>7</v>
      </c>
      <c r="F28" s="3">
        <v>27</v>
      </c>
      <c r="G28" s="3">
        <v>290</v>
      </c>
      <c r="H28" t="str">
        <f t="shared" si="19"/>
        <v>2-7</v>
      </c>
      <c r="I28" t="b">
        <v>1</v>
      </c>
      <c r="Q28" s="6">
        <v>28</v>
      </c>
      <c r="R28" t="b">
        <f t="shared" si="39"/>
        <v>0</v>
      </c>
      <c r="S28" t="b">
        <f t="shared" si="39"/>
        <v>0</v>
      </c>
      <c r="T28" t="b">
        <f t="shared" si="39"/>
        <v>0</v>
      </c>
      <c r="U28" t="b">
        <f t="shared" si="39"/>
        <v>0</v>
      </c>
      <c r="V28" t="b">
        <f t="shared" si="39"/>
        <v>0</v>
      </c>
      <c r="W28" t="b">
        <f t="shared" si="39"/>
        <v>0</v>
      </c>
      <c r="X28" t="b">
        <f t="shared" si="39"/>
        <v>0</v>
      </c>
      <c r="Y28" t="b">
        <f t="shared" si="39"/>
        <v>0</v>
      </c>
      <c r="Z28" t="b">
        <f t="shared" si="39"/>
        <v>0</v>
      </c>
      <c r="AA28" t="b">
        <f t="shared" si="39"/>
        <v>0</v>
      </c>
      <c r="AB28" t="b">
        <f t="shared" si="40"/>
        <v>0</v>
      </c>
      <c r="AC28" t="b">
        <f t="shared" si="40"/>
        <v>0</v>
      </c>
      <c r="AD28" t="b">
        <f t="shared" si="40"/>
        <v>0</v>
      </c>
      <c r="AE28" t="b">
        <f t="shared" si="40"/>
        <v>0</v>
      </c>
      <c r="AF28" t="b">
        <f t="shared" si="40"/>
        <v>0</v>
      </c>
      <c r="AG28" t="b">
        <f t="shared" si="40"/>
        <v>0</v>
      </c>
      <c r="AH28" t="b">
        <f t="shared" si="40"/>
        <v>0</v>
      </c>
      <c r="AI28" t="b">
        <f t="shared" si="40"/>
        <v>0</v>
      </c>
      <c r="AJ28" t="b">
        <f t="shared" si="40"/>
        <v>0</v>
      </c>
      <c r="AK28" t="b">
        <f t="shared" si="40"/>
        <v>0</v>
      </c>
      <c r="AL28" t="b">
        <f t="shared" si="41"/>
        <v>0</v>
      </c>
      <c r="AM28" t="b">
        <f t="shared" si="41"/>
        <v>0</v>
      </c>
      <c r="AN28" t="b">
        <f t="shared" si="41"/>
        <v>0</v>
      </c>
      <c r="AO28" t="b">
        <f t="shared" si="41"/>
        <v>0</v>
      </c>
      <c r="AP28" t="b">
        <f t="shared" si="41"/>
        <v>0</v>
      </c>
      <c r="AQ28" t="b">
        <f t="shared" si="41"/>
        <v>0</v>
      </c>
      <c r="AR28" t="b">
        <f t="shared" si="41"/>
        <v>0</v>
      </c>
      <c r="AS28" t="b">
        <f t="shared" si="41"/>
        <v>0</v>
      </c>
      <c r="AT28" t="b">
        <f t="shared" si="41"/>
        <v>0</v>
      </c>
      <c r="AU28" t="b">
        <f t="shared" si="41"/>
        <v>0</v>
      </c>
      <c r="AV28" t="b">
        <f t="shared" si="42"/>
        <v>0</v>
      </c>
      <c r="AW28" t="b">
        <f t="shared" si="42"/>
        <v>0</v>
      </c>
      <c r="AX28" t="b">
        <f t="shared" si="42"/>
        <v>0</v>
      </c>
      <c r="AY28" t="b">
        <f t="shared" si="42"/>
        <v>0</v>
      </c>
      <c r="AZ28" t="b">
        <f t="shared" si="42"/>
        <v>0</v>
      </c>
      <c r="BA28" t="b">
        <f t="shared" si="42"/>
        <v>0</v>
      </c>
      <c r="BB28" t="b">
        <f t="shared" si="42"/>
        <v>0</v>
      </c>
      <c r="BC28" t="b">
        <f t="shared" si="42"/>
        <v>0</v>
      </c>
      <c r="BD28" t="b">
        <f t="shared" si="42"/>
        <v>0</v>
      </c>
      <c r="BE28" t="b">
        <f t="shared" si="42"/>
        <v>0</v>
      </c>
      <c r="BF28" t="b">
        <f t="shared" si="43"/>
        <v>0</v>
      </c>
      <c r="BG28" t="b">
        <f t="shared" si="43"/>
        <v>0</v>
      </c>
      <c r="BH28" t="b">
        <f t="shared" si="43"/>
        <v>0</v>
      </c>
      <c r="BI28" t="b">
        <f t="shared" si="43"/>
        <v>0</v>
      </c>
      <c r="BJ28" t="b">
        <f t="shared" si="43"/>
        <v>0</v>
      </c>
      <c r="BK28" t="b">
        <f t="shared" si="43"/>
        <v>0</v>
      </c>
      <c r="BL28" t="b">
        <f t="shared" si="43"/>
        <v>0</v>
      </c>
      <c r="BM28" t="b">
        <f t="shared" si="43"/>
        <v>0</v>
      </c>
      <c r="BN28" t="b">
        <f t="shared" si="43"/>
        <v>0</v>
      </c>
      <c r="BO28" t="b">
        <f t="shared" si="43"/>
        <v>0</v>
      </c>
      <c r="BP28" t="b">
        <f t="shared" si="44"/>
        <v>0</v>
      </c>
      <c r="BQ28" t="b">
        <f t="shared" si="44"/>
        <v>0</v>
      </c>
      <c r="BR28" t="b">
        <f t="shared" si="44"/>
        <v>0</v>
      </c>
      <c r="BS28" t="b">
        <f t="shared" si="44"/>
        <v>0</v>
      </c>
      <c r="BT28" t="b">
        <f t="shared" si="44"/>
        <v>0</v>
      </c>
      <c r="BU28" t="b">
        <f t="shared" si="44"/>
        <v>0</v>
      </c>
      <c r="BV28" t="b">
        <f t="shared" si="44"/>
        <v>0</v>
      </c>
      <c r="BW28" t="b">
        <f t="shared" si="44"/>
        <v>0</v>
      </c>
      <c r="BX28" t="b">
        <f t="shared" si="44"/>
        <v>0</v>
      </c>
      <c r="BY28" t="b">
        <f t="shared" si="44"/>
        <v>1</v>
      </c>
      <c r="BZ28" t="b">
        <f t="shared" si="45"/>
        <v>0</v>
      </c>
      <c r="CA28" t="b">
        <f t="shared" si="45"/>
        <v>0</v>
      </c>
      <c r="CB28" t="b">
        <f t="shared" si="45"/>
        <v>0</v>
      </c>
      <c r="CC28" t="b">
        <f t="shared" si="45"/>
        <v>0</v>
      </c>
      <c r="CD28" t="b">
        <f t="shared" si="45"/>
        <v>0</v>
      </c>
      <c r="CE28" t="b">
        <f t="shared" si="45"/>
        <v>0</v>
      </c>
      <c r="CF28" t="b">
        <f t="shared" si="45"/>
        <v>0</v>
      </c>
      <c r="CG28" t="b">
        <f t="shared" si="45"/>
        <v>0</v>
      </c>
      <c r="CH28" t="b">
        <f t="shared" si="45"/>
        <v>0</v>
      </c>
      <c r="CI28" t="b">
        <f t="shared" si="45"/>
        <v>0</v>
      </c>
      <c r="CJ28" t="b">
        <f t="shared" si="46"/>
        <v>0</v>
      </c>
      <c r="CK28" t="b">
        <f t="shared" si="46"/>
        <v>0</v>
      </c>
      <c r="CL28" t="b">
        <f t="shared" si="46"/>
        <v>0</v>
      </c>
      <c r="CM28" t="b">
        <f t="shared" si="46"/>
        <v>0</v>
      </c>
      <c r="CN28" t="b">
        <f t="shared" si="46"/>
        <v>0</v>
      </c>
      <c r="CO28" t="b">
        <f t="shared" si="46"/>
        <v>0</v>
      </c>
      <c r="CP28" t="b">
        <f t="shared" si="46"/>
        <v>0</v>
      </c>
      <c r="CQ28" t="b">
        <f t="shared" si="46"/>
        <v>0</v>
      </c>
      <c r="CR28" t="b">
        <f t="shared" si="46"/>
        <v>0</v>
      </c>
      <c r="CS28" t="b">
        <f t="shared" si="46"/>
        <v>0</v>
      </c>
      <c r="CT28" t="b">
        <f t="shared" si="47"/>
        <v>0</v>
      </c>
      <c r="CU28" t="b">
        <f t="shared" si="47"/>
        <v>0</v>
      </c>
      <c r="CV28" t="b">
        <f t="shared" si="47"/>
        <v>0</v>
      </c>
      <c r="CW28" t="b">
        <f t="shared" si="47"/>
        <v>0</v>
      </c>
      <c r="CX28" t="b">
        <f t="shared" si="47"/>
        <v>0</v>
      </c>
      <c r="CY28" t="b">
        <f t="shared" si="47"/>
        <v>0</v>
      </c>
      <c r="CZ28" t="b">
        <f t="shared" si="47"/>
        <v>0</v>
      </c>
      <c r="DA28" t="b">
        <f t="shared" si="47"/>
        <v>0</v>
      </c>
      <c r="DB28" t="b">
        <f t="shared" si="47"/>
        <v>0</v>
      </c>
      <c r="DC28" t="b">
        <f t="shared" si="47"/>
        <v>0</v>
      </c>
      <c r="DD28" t="b">
        <f t="shared" si="48"/>
        <v>0</v>
      </c>
      <c r="DE28" t="b">
        <f t="shared" si="48"/>
        <v>0</v>
      </c>
      <c r="DF28" t="b">
        <f t="shared" si="48"/>
        <v>0</v>
      </c>
      <c r="DG28" t="b">
        <f t="shared" si="48"/>
        <v>0</v>
      </c>
      <c r="DH28" t="b">
        <f t="shared" si="48"/>
        <v>0</v>
      </c>
      <c r="DI28" t="b">
        <f t="shared" si="48"/>
        <v>0</v>
      </c>
      <c r="DJ28" t="b">
        <f t="shared" si="48"/>
        <v>0</v>
      </c>
      <c r="DK28" t="b">
        <f t="shared" si="48"/>
        <v>0</v>
      </c>
      <c r="DL28" t="b">
        <f t="shared" si="48"/>
        <v>0</v>
      </c>
      <c r="DM28" t="b">
        <f t="shared" si="48"/>
        <v>0</v>
      </c>
      <c r="DN28" t="b">
        <f t="shared" si="49"/>
        <v>0</v>
      </c>
      <c r="DO28" t="b">
        <f t="shared" si="49"/>
        <v>0</v>
      </c>
      <c r="DP28" t="b">
        <f t="shared" si="49"/>
        <v>0</v>
      </c>
      <c r="DQ28" t="b">
        <f t="shared" si="49"/>
        <v>0</v>
      </c>
      <c r="DR28" t="b">
        <f t="shared" si="49"/>
        <v>0</v>
      </c>
      <c r="DS28" t="b">
        <f t="shared" si="49"/>
        <v>0</v>
      </c>
      <c r="DT28" t="b">
        <f t="shared" si="49"/>
        <v>0</v>
      </c>
      <c r="DU28" t="b">
        <f t="shared" si="49"/>
        <v>0</v>
      </c>
      <c r="DV28" t="b">
        <f t="shared" si="49"/>
        <v>0</v>
      </c>
      <c r="DW28" t="b">
        <f t="shared" si="49"/>
        <v>0</v>
      </c>
      <c r="DX28" t="b">
        <f t="shared" si="50"/>
        <v>0</v>
      </c>
      <c r="DY28" t="b">
        <f t="shared" si="50"/>
        <v>0</v>
      </c>
      <c r="DZ28" t="b">
        <f t="shared" si="50"/>
        <v>0</v>
      </c>
      <c r="EA28" t="b">
        <f t="shared" si="50"/>
        <v>0</v>
      </c>
      <c r="EB28" t="b">
        <f t="shared" si="50"/>
        <v>0</v>
      </c>
      <c r="EC28" t="b">
        <f t="shared" si="50"/>
        <v>0</v>
      </c>
      <c r="ED28" t="b">
        <f t="shared" si="50"/>
        <v>0</v>
      </c>
      <c r="EE28" t="b">
        <f t="shared" si="50"/>
        <v>0</v>
      </c>
      <c r="EF28" t="b">
        <f t="shared" si="50"/>
        <v>0</v>
      </c>
      <c r="EG28" t="b">
        <f t="shared" si="50"/>
        <v>0</v>
      </c>
      <c r="EH28" t="b">
        <f t="shared" si="51"/>
        <v>0</v>
      </c>
      <c r="EI28" t="b">
        <f t="shared" si="51"/>
        <v>0</v>
      </c>
      <c r="EJ28" t="b">
        <f t="shared" si="51"/>
        <v>0</v>
      </c>
      <c r="EK28" t="b">
        <f t="shared" si="51"/>
        <v>0</v>
      </c>
      <c r="EL28" t="b">
        <f t="shared" si="51"/>
        <v>0</v>
      </c>
      <c r="EM28" t="b">
        <f t="shared" si="51"/>
        <v>0</v>
      </c>
      <c r="EN28" t="b">
        <f t="shared" si="51"/>
        <v>0</v>
      </c>
      <c r="EO28" t="b">
        <f t="shared" si="51"/>
        <v>0</v>
      </c>
      <c r="EP28" t="b">
        <f t="shared" si="51"/>
        <v>0</v>
      </c>
      <c r="EQ28" t="b">
        <f t="shared" si="51"/>
        <v>0</v>
      </c>
      <c r="ER28" t="b">
        <f t="shared" si="52"/>
        <v>0</v>
      </c>
      <c r="ES28" t="b">
        <f t="shared" si="52"/>
        <v>0</v>
      </c>
      <c r="ET28" t="b">
        <f t="shared" si="52"/>
        <v>0</v>
      </c>
      <c r="EU28" t="b">
        <f t="shared" si="52"/>
        <v>0</v>
      </c>
      <c r="EV28" t="b">
        <f t="shared" si="52"/>
        <v>0</v>
      </c>
      <c r="EW28" t="b">
        <f t="shared" si="52"/>
        <v>0</v>
      </c>
      <c r="EX28" t="b">
        <f t="shared" si="52"/>
        <v>0</v>
      </c>
      <c r="EY28" t="b">
        <f t="shared" si="52"/>
        <v>0</v>
      </c>
      <c r="EZ28" t="b">
        <f t="shared" si="52"/>
        <v>0</v>
      </c>
      <c r="FA28" t="b">
        <f t="shared" si="52"/>
        <v>0</v>
      </c>
      <c r="FB28" t="b">
        <f t="shared" si="53"/>
        <v>0</v>
      </c>
      <c r="FC28" t="b">
        <f t="shared" si="53"/>
        <v>0</v>
      </c>
      <c r="FD28" t="b">
        <f t="shared" si="53"/>
        <v>0</v>
      </c>
      <c r="FE28" t="b">
        <f t="shared" si="53"/>
        <v>0</v>
      </c>
      <c r="FF28" t="b">
        <f t="shared" si="53"/>
        <v>0</v>
      </c>
      <c r="FG28" t="b">
        <f t="shared" si="53"/>
        <v>0</v>
      </c>
      <c r="FH28" t="b">
        <f t="shared" si="53"/>
        <v>0</v>
      </c>
      <c r="FI28" t="b">
        <f t="shared" si="53"/>
        <v>0</v>
      </c>
      <c r="FJ28" t="b">
        <f t="shared" si="53"/>
        <v>0</v>
      </c>
      <c r="FK28" t="b">
        <f t="shared" si="53"/>
        <v>0</v>
      </c>
      <c r="FL28" t="b">
        <f t="shared" si="54"/>
        <v>0</v>
      </c>
      <c r="FM28" t="b">
        <f t="shared" si="54"/>
        <v>0</v>
      </c>
      <c r="FN28" t="b">
        <f t="shared" si="54"/>
        <v>0</v>
      </c>
      <c r="FO28" t="b">
        <f t="shared" si="54"/>
        <v>0</v>
      </c>
      <c r="FP28" t="b">
        <f t="shared" si="54"/>
        <v>0</v>
      </c>
      <c r="FQ28" t="b">
        <f t="shared" si="54"/>
        <v>0</v>
      </c>
      <c r="FR28" t="b">
        <f t="shared" si="54"/>
        <v>0</v>
      </c>
      <c r="FS28" t="b">
        <f t="shared" si="54"/>
        <v>0</v>
      </c>
      <c r="FT28" t="b">
        <f t="shared" si="54"/>
        <v>0</v>
      </c>
      <c r="FU28" t="b">
        <f t="shared" si="54"/>
        <v>0</v>
      </c>
      <c r="FV28" t="b">
        <f t="shared" si="55"/>
        <v>0</v>
      </c>
      <c r="FW28" t="b">
        <f t="shared" si="55"/>
        <v>0</v>
      </c>
      <c r="FX28" t="b">
        <f t="shared" si="55"/>
        <v>0</v>
      </c>
      <c r="FY28" t="b">
        <f t="shared" si="55"/>
        <v>0</v>
      </c>
      <c r="FZ28" t="b">
        <f t="shared" si="55"/>
        <v>0</v>
      </c>
      <c r="GA28" t="b">
        <f t="shared" si="55"/>
        <v>0</v>
      </c>
      <c r="GB28" t="b">
        <f t="shared" si="55"/>
        <v>0</v>
      </c>
      <c r="GC28" t="b">
        <f t="shared" si="55"/>
        <v>0</v>
      </c>
      <c r="GD28" t="b">
        <f t="shared" si="55"/>
        <v>0</v>
      </c>
      <c r="GE28" t="b">
        <f t="shared" si="55"/>
        <v>0</v>
      </c>
      <c r="GF28" t="b">
        <f t="shared" si="56"/>
        <v>0</v>
      </c>
      <c r="GG28" t="b">
        <f t="shared" si="56"/>
        <v>0</v>
      </c>
      <c r="GH28" t="b">
        <f t="shared" si="56"/>
        <v>0</v>
      </c>
      <c r="GI28" t="b">
        <f t="shared" si="56"/>
        <v>0</v>
      </c>
      <c r="GJ28" t="b">
        <f t="shared" si="56"/>
        <v>0</v>
      </c>
      <c r="GK28" t="b">
        <f t="shared" si="56"/>
        <v>0</v>
      </c>
      <c r="GL28" t="b">
        <f t="shared" si="56"/>
        <v>0</v>
      </c>
      <c r="GM28" t="b">
        <f t="shared" si="56"/>
        <v>0</v>
      </c>
      <c r="GN28" t="b">
        <f t="shared" si="56"/>
        <v>0</v>
      </c>
      <c r="GO28" t="b">
        <f t="shared" si="56"/>
        <v>0</v>
      </c>
      <c r="GP28" t="b">
        <f t="shared" si="57"/>
        <v>0</v>
      </c>
      <c r="GQ28" t="b">
        <f t="shared" si="57"/>
        <v>0</v>
      </c>
      <c r="GR28" t="b">
        <f t="shared" si="57"/>
        <v>0</v>
      </c>
      <c r="GS28" t="b">
        <f t="shared" si="57"/>
        <v>0</v>
      </c>
      <c r="GT28" t="b">
        <f t="shared" si="57"/>
        <v>0</v>
      </c>
      <c r="GU28" t="b">
        <f t="shared" si="57"/>
        <v>0</v>
      </c>
      <c r="GV28" t="b">
        <f t="shared" si="57"/>
        <v>0</v>
      </c>
      <c r="GW28" t="b">
        <f t="shared" si="57"/>
        <v>0</v>
      </c>
      <c r="GX28" t="b">
        <f t="shared" si="57"/>
        <v>0</v>
      </c>
      <c r="GY28" t="b">
        <f t="shared" si="57"/>
        <v>0</v>
      </c>
      <c r="GZ28" t="b">
        <f t="shared" si="57"/>
        <v>0</v>
      </c>
    </row>
    <row r="29" spans="1:208" hidden="1" x14ac:dyDescent="0.3">
      <c r="A29" t="s">
        <v>7</v>
      </c>
      <c r="B29" t="s">
        <v>8</v>
      </c>
      <c r="C29" t="s">
        <v>12</v>
      </c>
      <c r="D29" s="3">
        <v>2</v>
      </c>
      <c r="E29" s="3">
        <v>7</v>
      </c>
      <c r="F29" s="3">
        <v>28</v>
      </c>
      <c r="G29" s="3">
        <v>240</v>
      </c>
      <c r="H29" t="str">
        <f t="shared" si="19"/>
        <v>2-7</v>
      </c>
      <c r="I29" t="b">
        <v>1</v>
      </c>
      <c r="Q29" s="6">
        <v>29</v>
      </c>
      <c r="R29" t="b">
        <f t="shared" si="39"/>
        <v>0</v>
      </c>
      <c r="S29" t="b">
        <f t="shared" si="39"/>
        <v>1</v>
      </c>
      <c r="T29" t="b">
        <f t="shared" si="39"/>
        <v>0</v>
      </c>
      <c r="U29" t="b">
        <f t="shared" si="39"/>
        <v>0</v>
      </c>
      <c r="V29" t="b">
        <f t="shared" si="39"/>
        <v>0</v>
      </c>
      <c r="W29" t="b">
        <f t="shared" si="39"/>
        <v>0</v>
      </c>
      <c r="X29" t="b">
        <f t="shared" si="39"/>
        <v>0</v>
      </c>
      <c r="Y29" t="b">
        <f t="shared" si="39"/>
        <v>0</v>
      </c>
      <c r="Z29" t="b">
        <f t="shared" si="39"/>
        <v>0</v>
      </c>
      <c r="AA29" t="b">
        <f t="shared" si="39"/>
        <v>0</v>
      </c>
      <c r="AB29" t="b">
        <f t="shared" si="40"/>
        <v>1</v>
      </c>
      <c r="AC29" t="b">
        <f t="shared" si="40"/>
        <v>0</v>
      </c>
      <c r="AD29" t="b">
        <f t="shared" si="40"/>
        <v>1</v>
      </c>
      <c r="AE29" t="b">
        <f t="shared" si="40"/>
        <v>0</v>
      </c>
      <c r="AF29" t="b">
        <f t="shared" si="40"/>
        <v>0</v>
      </c>
      <c r="AG29" t="b">
        <f t="shared" si="40"/>
        <v>0</v>
      </c>
      <c r="AH29" t="b">
        <f t="shared" si="40"/>
        <v>0</v>
      </c>
      <c r="AI29" t="b">
        <f t="shared" si="40"/>
        <v>1</v>
      </c>
      <c r="AJ29" t="b">
        <f t="shared" si="40"/>
        <v>0</v>
      </c>
      <c r="AK29" t="b">
        <f t="shared" si="40"/>
        <v>0</v>
      </c>
      <c r="AL29" t="b">
        <f t="shared" si="41"/>
        <v>0</v>
      </c>
      <c r="AM29" t="b">
        <f t="shared" si="41"/>
        <v>0</v>
      </c>
      <c r="AN29" t="b">
        <f t="shared" si="41"/>
        <v>0</v>
      </c>
      <c r="AO29" t="b">
        <f t="shared" si="41"/>
        <v>0</v>
      </c>
      <c r="AP29" t="b">
        <f t="shared" si="41"/>
        <v>0</v>
      </c>
      <c r="AQ29" t="b">
        <f t="shared" si="41"/>
        <v>0</v>
      </c>
      <c r="AR29" t="b">
        <f t="shared" si="41"/>
        <v>0</v>
      </c>
      <c r="AS29" t="b">
        <f t="shared" si="41"/>
        <v>0</v>
      </c>
      <c r="AT29" t="b">
        <f t="shared" si="41"/>
        <v>0</v>
      </c>
      <c r="AU29" t="b">
        <f t="shared" si="41"/>
        <v>1</v>
      </c>
      <c r="AV29" t="b">
        <f t="shared" si="42"/>
        <v>0</v>
      </c>
      <c r="AW29" t="b">
        <f t="shared" si="42"/>
        <v>0</v>
      </c>
      <c r="AX29" t="b">
        <f t="shared" si="42"/>
        <v>0</v>
      </c>
      <c r="AY29" t="b">
        <f t="shared" si="42"/>
        <v>0</v>
      </c>
      <c r="AZ29" t="b">
        <f t="shared" si="42"/>
        <v>0</v>
      </c>
      <c r="BA29" t="b">
        <f t="shared" si="42"/>
        <v>1</v>
      </c>
      <c r="BB29" t="b">
        <f t="shared" si="42"/>
        <v>0</v>
      </c>
      <c r="BC29" t="b">
        <f t="shared" si="42"/>
        <v>0</v>
      </c>
      <c r="BD29" t="b">
        <f t="shared" si="42"/>
        <v>0</v>
      </c>
      <c r="BE29" t="b">
        <f t="shared" si="42"/>
        <v>0</v>
      </c>
      <c r="BF29" t="b">
        <f t="shared" si="43"/>
        <v>0</v>
      </c>
      <c r="BG29" t="b">
        <f t="shared" si="43"/>
        <v>0</v>
      </c>
      <c r="BH29" t="b">
        <f t="shared" si="43"/>
        <v>0</v>
      </c>
      <c r="BI29" t="b">
        <f t="shared" si="43"/>
        <v>0</v>
      </c>
      <c r="BJ29" t="b">
        <f t="shared" si="43"/>
        <v>0</v>
      </c>
      <c r="BK29" t="b">
        <f t="shared" si="43"/>
        <v>1</v>
      </c>
      <c r="BL29" t="b">
        <f t="shared" si="43"/>
        <v>0</v>
      </c>
      <c r="BM29" t="b">
        <f t="shared" si="43"/>
        <v>0</v>
      </c>
      <c r="BN29" t="b">
        <f t="shared" si="43"/>
        <v>0</v>
      </c>
      <c r="BO29" t="b">
        <f t="shared" si="43"/>
        <v>0</v>
      </c>
      <c r="BP29" t="b">
        <f t="shared" si="44"/>
        <v>0</v>
      </c>
      <c r="BQ29" t="b">
        <f t="shared" si="44"/>
        <v>0</v>
      </c>
      <c r="BR29" t="b">
        <f t="shared" si="44"/>
        <v>0</v>
      </c>
      <c r="BS29" t="b">
        <f t="shared" si="44"/>
        <v>1</v>
      </c>
      <c r="BT29" t="b">
        <f t="shared" si="44"/>
        <v>0</v>
      </c>
      <c r="BU29" t="b">
        <f t="shared" si="44"/>
        <v>0</v>
      </c>
      <c r="BV29" t="b">
        <f t="shared" si="44"/>
        <v>1</v>
      </c>
      <c r="BW29" t="b">
        <f t="shared" si="44"/>
        <v>0</v>
      </c>
      <c r="BX29" t="b">
        <f t="shared" si="44"/>
        <v>0</v>
      </c>
      <c r="BY29" t="b">
        <f t="shared" si="44"/>
        <v>0</v>
      </c>
      <c r="BZ29" t="b">
        <f t="shared" si="45"/>
        <v>1</v>
      </c>
      <c r="CA29" t="b">
        <f t="shared" si="45"/>
        <v>0</v>
      </c>
      <c r="CB29" t="b">
        <f t="shared" si="45"/>
        <v>0</v>
      </c>
      <c r="CC29" t="b">
        <f t="shared" si="45"/>
        <v>0</v>
      </c>
      <c r="CD29" t="b">
        <f t="shared" si="45"/>
        <v>0</v>
      </c>
      <c r="CE29" t="b">
        <f t="shared" si="45"/>
        <v>0</v>
      </c>
      <c r="CF29" t="b">
        <f t="shared" si="45"/>
        <v>0</v>
      </c>
      <c r="CG29" t="b">
        <f t="shared" si="45"/>
        <v>0</v>
      </c>
      <c r="CH29" t="b">
        <f t="shared" si="45"/>
        <v>0</v>
      </c>
      <c r="CI29" t="b">
        <f t="shared" si="45"/>
        <v>0</v>
      </c>
      <c r="CJ29" t="b">
        <f t="shared" si="46"/>
        <v>0</v>
      </c>
      <c r="CK29" t="b">
        <f t="shared" si="46"/>
        <v>0</v>
      </c>
      <c r="CL29" t="b">
        <f t="shared" si="46"/>
        <v>0</v>
      </c>
      <c r="CM29" t="b">
        <f t="shared" si="46"/>
        <v>0</v>
      </c>
      <c r="CN29" t="b">
        <f t="shared" si="46"/>
        <v>0</v>
      </c>
      <c r="CO29" t="b">
        <f t="shared" si="46"/>
        <v>0</v>
      </c>
      <c r="CP29" t="b">
        <f t="shared" si="46"/>
        <v>0</v>
      </c>
      <c r="CQ29" t="b">
        <f t="shared" si="46"/>
        <v>0</v>
      </c>
      <c r="CR29" t="b">
        <f t="shared" si="46"/>
        <v>0</v>
      </c>
      <c r="CS29" t="b">
        <f t="shared" si="46"/>
        <v>0</v>
      </c>
      <c r="CT29" t="b">
        <f t="shared" si="47"/>
        <v>0</v>
      </c>
      <c r="CU29" t="b">
        <f t="shared" si="47"/>
        <v>0</v>
      </c>
      <c r="CV29" t="b">
        <f t="shared" si="47"/>
        <v>0</v>
      </c>
      <c r="CW29" t="b">
        <f t="shared" si="47"/>
        <v>0</v>
      </c>
      <c r="CX29" t="b">
        <f t="shared" si="47"/>
        <v>0</v>
      </c>
      <c r="CY29" t="b">
        <f t="shared" si="47"/>
        <v>1</v>
      </c>
      <c r="CZ29" t="b">
        <f t="shared" si="47"/>
        <v>1</v>
      </c>
      <c r="DA29" t="b">
        <f t="shared" si="47"/>
        <v>0</v>
      </c>
      <c r="DB29" t="b">
        <f t="shared" si="47"/>
        <v>0</v>
      </c>
      <c r="DC29" t="b">
        <f t="shared" si="47"/>
        <v>0</v>
      </c>
      <c r="DD29" t="b">
        <f t="shared" si="48"/>
        <v>0</v>
      </c>
      <c r="DE29" t="b">
        <f t="shared" si="48"/>
        <v>0</v>
      </c>
      <c r="DF29" t="b">
        <f t="shared" si="48"/>
        <v>0</v>
      </c>
      <c r="DG29" t="b">
        <f t="shared" si="48"/>
        <v>1</v>
      </c>
      <c r="DH29" t="b">
        <f t="shared" si="48"/>
        <v>0</v>
      </c>
      <c r="DI29" t="b">
        <f t="shared" si="48"/>
        <v>0</v>
      </c>
      <c r="DJ29" t="b">
        <f t="shared" si="48"/>
        <v>0</v>
      </c>
      <c r="DK29" t="b">
        <f t="shared" si="48"/>
        <v>0</v>
      </c>
      <c r="DL29" t="b">
        <f t="shared" si="48"/>
        <v>0</v>
      </c>
      <c r="DM29" t="b">
        <f t="shared" si="48"/>
        <v>0</v>
      </c>
      <c r="DN29" t="b">
        <f t="shared" si="49"/>
        <v>0</v>
      </c>
      <c r="DO29" t="b">
        <f t="shared" si="49"/>
        <v>0</v>
      </c>
      <c r="DP29" t="b">
        <f t="shared" si="49"/>
        <v>1</v>
      </c>
      <c r="DQ29" t="b">
        <f t="shared" si="49"/>
        <v>0</v>
      </c>
      <c r="DR29" t="b">
        <f t="shared" si="49"/>
        <v>0</v>
      </c>
      <c r="DS29" t="b">
        <f t="shared" si="49"/>
        <v>0</v>
      </c>
      <c r="DT29" t="b">
        <f t="shared" si="49"/>
        <v>0</v>
      </c>
      <c r="DU29" t="b">
        <f t="shared" si="49"/>
        <v>0</v>
      </c>
      <c r="DV29" t="b">
        <f t="shared" si="49"/>
        <v>0</v>
      </c>
      <c r="DW29" t="b">
        <f t="shared" si="49"/>
        <v>1</v>
      </c>
      <c r="DX29" t="b">
        <f t="shared" si="50"/>
        <v>0</v>
      </c>
      <c r="DY29" t="b">
        <f t="shared" si="50"/>
        <v>0</v>
      </c>
      <c r="DZ29" t="b">
        <f t="shared" si="50"/>
        <v>0</v>
      </c>
      <c r="EA29" t="b">
        <f t="shared" si="50"/>
        <v>0</v>
      </c>
      <c r="EB29" t="b">
        <f t="shared" si="50"/>
        <v>1</v>
      </c>
      <c r="EC29" t="b">
        <f t="shared" si="50"/>
        <v>0</v>
      </c>
      <c r="ED29" t="b">
        <f t="shared" si="50"/>
        <v>0</v>
      </c>
      <c r="EE29" t="b">
        <f t="shared" si="50"/>
        <v>0</v>
      </c>
      <c r="EF29" t="b">
        <f t="shared" si="50"/>
        <v>0</v>
      </c>
      <c r="EG29" t="b">
        <f t="shared" si="50"/>
        <v>0</v>
      </c>
      <c r="EH29" t="b">
        <f t="shared" si="51"/>
        <v>0</v>
      </c>
      <c r="EI29" t="b">
        <f t="shared" si="51"/>
        <v>0</v>
      </c>
      <c r="EJ29" t="b">
        <f t="shared" si="51"/>
        <v>0</v>
      </c>
      <c r="EK29" t="b">
        <f t="shared" si="51"/>
        <v>0</v>
      </c>
      <c r="EL29" t="b">
        <f t="shared" si="51"/>
        <v>0</v>
      </c>
      <c r="EM29" t="b">
        <f t="shared" si="51"/>
        <v>0</v>
      </c>
      <c r="EN29" t="b">
        <f t="shared" si="51"/>
        <v>0</v>
      </c>
      <c r="EO29" t="b">
        <f t="shared" si="51"/>
        <v>0</v>
      </c>
      <c r="EP29" t="b">
        <f t="shared" si="51"/>
        <v>1</v>
      </c>
      <c r="EQ29" t="b">
        <f t="shared" si="51"/>
        <v>1</v>
      </c>
      <c r="ER29" t="b">
        <f t="shared" si="52"/>
        <v>0</v>
      </c>
      <c r="ES29" t="b">
        <f t="shared" si="52"/>
        <v>0</v>
      </c>
      <c r="ET29" t="b">
        <f t="shared" si="52"/>
        <v>0</v>
      </c>
      <c r="EU29" t="b">
        <f t="shared" si="52"/>
        <v>0</v>
      </c>
      <c r="EV29" t="b">
        <f t="shared" si="52"/>
        <v>0</v>
      </c>
      <c r="EW29" t="b">
        <f t="shared" si="52"/>
        <v>0</v>
      </c>
      <c r="EX29" t="b">
        <f t="shared" si="52"/>
        <v>0</v>
      </c>
      <c r="EY29" t="b">
        <f t="shared" si="52"/>
        <v>0</v>
      </c>
      <c r="EZ29" t="b">
        <f t="shared" si="52"/>
        <v>0</v>
      </c>
      <c r="FA29" t="b">
        <f t="shared" si="52"/>
        <v>0</v>
      </c>
      <c r="FB29" t="b">
        <f t="shared" si="53"/>
        <v>0</v>
      </c>
      <c r="FC29" t="b">
        <f t="shared" si="53"/>
        <v>0</v>
      </c>
      <c r="FD29" t="b">
        <f t="shared" si="53"/>
        <v>0</v>
      </c>
      <c r="FE29" t="b">
        <f t="shared" si="53"/>
        <v>0</v>
      </c>
      <c r="FF29" t="b">
        <f t="shared" si="53"/>
        <v>0</v>
      </c>
      <c r="FG29" t="b">
        <f t="shared" si="53"/>
        <v>0</v>
      </c>
      <c r="FH29" t="b">
        <f t="shared" si="53"/>
        <v>0</v>
      </c>
      <c r="FI29" t="b">
        <f t="shared" si="53"/>
        <v>0</v>
      </c>
      <c r="FJ29" t="b">
        <f t="shared" si="53"/>
        <v>0</v>
      </c>
      <c r="FK29" t="b">
        <f t="shared" si="53"/>
        <v>0</v>
      </c>
      <c r="FL29" t="b">
        <f t="shared" si="54"/>
        <v>0</v>
      </c>
      <c r="FM29" t="b">
        <f t="shared" si="54"/>
        <v>0</v>
      </c>
      <c r="FN29" t="b">
        <f t="shared" si="54"/>
        <v>0</v>
      </c>
      <c r="FO29" t="b">
        <f t="shared" si="54"/>
        <v>1</v>
      </c>
      <c r="FP29" t="b">
        <f t="shared" si="54"/>
        <v>0</v>
      </c>
      <c r="FQ29" t="b">
        <f t="shared" si="54"/>
        <v>0</v>
      </c>
      <c r="FR29" t="b">
        <f t="shared" si="54"/>
        <v>0</v>
      </c>
      <c r="FS29" t="b">
        <f t="shared" si="54"/>
        <v>0</v>
      </c>
      <c r="FT29" t="b">
        <f t="shared" si="54"/>
        <v>0</v>
      </c>
      <c r="FU29" t="b">
        <f t="shared" si="54"/>
        <v>0</v>
      </c>
      <c r="FV29" t="b">
        <f t="shared" si="55"/>
        <v>0</v>
      </c>
      <c r="FW29" t="b">
        <f t="shared" si="55"/>
        <v>1</v>
      </c>
      <c r="FX29" t="b">
        <f t="shared" si="55"/>
        <v>1</v>
      </c>
      <c r="FY29" t="b">
        <f t="shared" si="55"/>
        <v>0</v>
      </c>
      <c r="FZ29" t="b">
        <f t="shared" si="55"/>
        <v>0</v>
      </c>
      <c r="GA29" t="b">
        <f t="shared" si="55"/>
        <v>0</v>
      </c>
      <c r="GB29" t="b">
        <f t="shared" si="55"/>
        <v>0</v>
      </c>
      <c r="GC29" t="b">
        <f t="shared" si="55"/>
        <v>0</v>
      </c>
      <c r="GD29" t="b">
        <f t="shared" si="55"/>
        <v>0</v>
      </c>
      <c r="GE29" t="b">
        <f t="shared" si="55"/>
        <v>0</v>
      </c>
      <c r="GF29" t="b">
        <f t="shared" si="56"/>
        <v>0</v>
      </c>
      <c r="GG29" t="b">
        <f t="shared" si="56"/>
        <v>0</v>
      </c>
      <c r="GH29" t="b">
        <f t="shared" si="56"/>
        <v>0</v>
      </c>
      <c r="GI29" t="b">
        <f t="shared" si="56"/>
        <v>1</v>
      </c>
      <c r="GJ29" t="b">
        <f t="shared" si="56"/>
        <v>0</v>
      </c>
      <c r="GK29" t="b">
        <f t="shared" si="56"/>
        <v>0</v>
      </c>
      <c r="GL29" t="b">
        <f t="shared" si="56"/>
        <v>0</v>
      </c>
      <c r="GM29" t="b">
        <f t="shared" si="56"/>
        <v>0</v>
      </c>
      <c r="GN29" t="b">
        <f t="shared" si="56"/>
        <v>0</v>
      </c>
      <c r="GO29" t="b">
        <f t="shared" si="56"/>
        <v>0</v>
      </c>
      <c r="GP29" t="b">
        <f t="shared" si="57"/>
        <v>0</v>
      </c>
      <c r="GQ29" t="b">
        <f t="shared" si="57"/>
        <v>0</v>
      </c>
      <c r="GR29" t="b">
        <f t="shared" si="57"/>
        <v>0</v>
      </c>
      <c r="GS29" t="b">
        <f t="shared" si="57"/>
        <v>0</v>
      </c>
      <c r="GT29" t="b">
        <f t="shared" si="57"/>
        <v>0</v>
      </c>
      <c r="GU29" t="b">
        <f t="shared" si="57"/>
        <v>0</v>
      </c>
      <c r="GV29" t="b">
        <f t="shared" si="57"/>
        <v>0</v>
      </c>
      <c r="GW29" t="b">
        <f t="shared" si="57"/>
        <v>0</v>
      </c>
      <c r="GX29" t="b">
        <f t="shared" si="57"/>
        <v>0</v>
      </c>
      <c r="GY29" t="b">
        <f t="shared" si="57"/>
        <v>0</v>
      </c>
      <c r="GZ29" t="b">
        <f t="shared" si="57"/>
        <v>1</v>
      </c>
    </row>
    <row r="30" spans="1:208" hidden="1" x14ac:dyDescent="0.3">
      <c r="A30" t="s">
        <v>7</v>
      </c>
      <c r="B30" t="s">
        <v>8</v>
      </c>
      <c r="C30" t="s">
        <v>13</v>
      </c>
      <c r="D30" s="3">
        <v>2</v>
      </c>
      <c r="E30" s="3">
        <v>7</v>
      </c>
      <c r="F30" s="3">
        <v>29</v>
      </c>
      <c r="G30" s="3">
        <v>20</v>
      </c>
      <c r="H30" t="str">
        <f t="shared" si="19"/>
        <v>2-7</v>
      </c>
      <c r="I30" t="b">
        <v>1</v>
      </c>
      <c r="Q30" s="6">
        <v>30</v>
      </c>
      <c r="R30" t="b">
        <f t="shared" si="39"/>
        <v>1</v>
      </c>
      <c r="S30" t="b">
        <f t="shared" si="39"/>
        <v>0</v>
      </c>
      <c r="T30" t="b">
        <f t="shared" si="39"/>
        <v>1</v>
      </c>
      <c r="U30" t="b">
        <f t="shared" si="39"/>
        <v>0</v>
      </c>
      <c r="V30" t="b">
        <f t="shared" si="39"/>
        <v>0</v>
      </c>
      <c r="W30" t="b">
        <f t="shared" si="39"/>
        <v>0</v>
      </c>
      <c r="X30" t="b">
        <f t="shared" si="39"/>
        <v>0</v>
      </c>
      <c r="Y30" t="b">
        <f t="shared" si="39"/>
        <v>1</v>
      </c>
      <c r="Z30" t="b">
        <f t="shared" si="39"/>
        <v>0</v>
      </c>
      <c r="AA30" t="b">
        <f t="shared" si="39"/>
        <v>0</v>
      </c>
      <c r="AB30" t="b">
        <f t="shared" si="40"/>
        <v>0</v>
      </c>
      <c r="AC30" t="b">
        <f t="shared" si="40"/>
        <v>0</v>
      </c>
      <c r="AD30" t="b">
        <f t="shared" si="40"/>
        <v>0</v>
      </c>
      <c r="AE30" t="b">
        <f t="shared" si="40"/>
        <v>0</v>
      </c>
      <c r="AF30" t="b">
        <f t="shared" si="40"/>
        <v>0</v>
      </c>
      <c r="AG30" t="b">
        <f t="shared" si="40"/>
        <v>0</v>
      </c>
      <c r="AH30" t="b">
        <f t="shared" si="40"/>
        <v>0</v>
      </c>
      <c r="AI30" t="b">
        <f t="shared" si="40"/>
        <v>0</v>
      </c>
      <c r="AJ30" t="b">
        <f t="shared" si="40"/>
        <v>0</v>
      </c>
      <c r="AK30" t="b">
        <f t="shared" si="40"/>
        <v>0</v>
      </c>
      <c r="AL30" t="b">
        <f t="shared" si="41"/>
        <v>0</v>
      </c>
      <c r="AM30" t="b">
        <f t="shared" si="41"/>
        <v>0</v>
      </c>
      <c r="AN30" t="b">
        <f t="shared" si="41"/>
        <v>0</v>
      </c>
      <c r="AO30" t="b">
        <f t="shared" si="41"/>
        <v>0</v>
      </c>
      <c r="AP30" t="b">
        <f t="shared" si="41"/>
        <v>0</v>
      </c>
      <c r="AQ30" t="b">
        <f t="shared" si="41"/>
        <v>0</v>
      </c>
      <c r="AR30" t="b">
        <f t="shared" si="41"/>
        <v>0</v>
      </c>
      <c r="AS30" t="b">
        <f t="shared" si="41"/>
        <v>0</v>
      </c>
      <c r="AT30" t="b">
        <f t="shared" si="41"/>
        <v>0</v>
      </c>
      <c r="AU30" t="b">
        <f t="shared" si="41"/>
        <v>0</v>
      </c>
      <c r="AV30" t="b">
        <f t="shared" si="42"/>
        <v>0</v>
      </c>
      <c r="AW30" t="b">
        <f t="shared" si="42"/>
        <v>0</v>
      </c>
      <c r="AX30" t="b">
        <f t="shared" si="42"/>
        <v>0</v>
      </c>
      <c r="AY30" t="b">
        <f t="shared" si="42"/>
        <v>0</v>
      </c>
      <c r="AZ30" t="b">
        <f t="shared" si="42"/>
        <v>0</v>
      </c>
      <c r="BA30" t="b">
        <f t="shared" si="42"/>
        <v>0</v>
      </c>
      <c r="BB30" t="b">
        <f t="shared" si="42"/>
        <v>0</v>
      </c>
      <c r="BC30" t="b">
        <f t="shared" si="42"/>
        <v>0</v>
      </c>
      <c r="BD30" t="b">
        <f t="shared" si="42"/>
        <v>1</v>
      </c>
      <c r="BE30" t="b">
        <f t="shared" si="42"/>
        <v>0</v>
      </c>
      <c r="BF30" t="b">
        <f t="shared" si="43"/>
        <v>0</v>
      </c>
      <c r="BG30" t="b">
        <f t="shared" si="43"/>
        <v>0</v>
      </c>
      <c r="BH30" t="b">
        <f t="shared" si="43"/>
        <v>0</v>
      </c>
      <c r="BI30" t="b">
        <f t="shared" si="43"/>
        <v>0</v>
      </c>
      <c r="BJ30" t="b">
        <f t="shared" si="43"/>
        <v>1</v>
      </c>
      <c r="BK30" t="b">
        <f t="shared" si="43"/>
        <v>0</v>
      </c>
      <c r="BL30" t="b">
        <f t="shared" si="43"/>
        <v>0</v>
      </c>
      <c r="BM30" t="b">
        <f t="shared" si="43"/>
        <v>0</v>
      </c>
      <c r="BN30" t="b">
        <f t="shared" si="43"/>
        <v>0</v>
      </c>
      <c r="BO30" t="b">
        <f t="shared" si="43"/>
        <v>0</v>
      </c>
      <c r="BP30" t="b">
        <f t="shared" si="44"/>
        <v>0</v>
      </c>
      <c r="BQ30" t="b">
        <f t="shared" si="44"/>
        <v>0</v>
      </c>
      <c r="BR30" t="b">
        <f t="shared" si="44"/>
        <v>0</v>
      </c>
      <c r="BS30" t="b">
        <f t="shared" si="44"/>
        <v>0</v>
      </c>
      <c r="BT30" t="b">
        <f t="shared" si="44"/>
        <v>0</v>
      </c>
      <c r="BU30" t="b">
        <f t="shared" si="44"/>
        <v>0</v>
      </c>
      <c r="BV30" t="b">
        <f t="shared" si="44"/>
        <v>0</v>
      </c>
      <c r="BW30" t="b">
        <f t="shared" si="44"/>
        <v>1</v>
      </c>
      <c r="BX30" t="b">
        <f t="shared" si="44"/>
        <v>0</v>
      </c>
      <c r="BY30" t="b">
        <f t="shared" si="44"/>
        <v>0</v>
      </c>
      <c r="BZ30" t="b">
        <f t="shared" si="45"/>
        <v>0</v>
      </c>
      <c r="CA30" t="b">
        <f t="shared" si="45"/>
        <v>0</v>
      </c>
      <c r="CB30" t="b">
        <f t="shared" si="45"/>
        <v>0</v>
      </c>
      <c r="CC30" t="b">
        <f t="shared" si="45"/>
        <v>0</v>
      </c>
      <c r="CD30" t="b">
        <f t="shared" si="45"/>
        <v>0</v>
      </c>
      <c r="CE30" t="b">
        <f t="shared" si="45"/>
        <v>0</v>
      </c>
      <c r="CF30" t="b">
        <f t="shared" si="45"/>
        <v>1</v>
      </c>
      <c r="CG30" t="b">
        <f t="shared" si="45"/>
        <v>0</v>
      </c>
      <c r="CH30" t="b">
        <f t="shared" si="45"/>
        <v>0</v>
      </c>
      <c r="CI30" t="b">
        <f t="shared" si="45"/>
        <v>0</v>
      </c>
      <c r="CJ30" t="b">
        <f t="shared" si="46"/>
        <v>0</v>
      </c>
      <c r="CK30" t="b">
        <f t="shared" si="46"/>
        <v>0</v>
      </c>
      <c r="CL30" t="b">
        <f t="shared" si="46"/>
        <v>0</v>
      </c>
      <c r="CM30" t="b">
        <f t="shared" si="46"/>
        <v>0</v>
      </c>
      <c r="CN30" t="b">
        <f t="shared" si="46"/>
        <v>0</v>
      </c>
      <c r="CO30" t="b">
        <f t="shared" si="46"/>
        <v>0</v>
      </c>
      <c r="CP30" t="b">
        <f t="shared" si="46"/>
        <v>0</v>
      </c>
      <c r="CQ30" t="b">
        <f t="shared" si="46"/>
        <v>0</v>
      </c>
      <c r="CR30" t="b">
        <f t="shared" si="46"/>
        <v>0</v>
      </c>
      <c r="CS30" t="b">
        <f t="shared" si="46"/>
        <v>0</v>
      </c>
      <c r="CT30" t="b">
        <f t="shared" si="47"/>
        <v>0</v>
      </c>
      <c r="CU30" t="b">
        <f t="shared" si="47"/>
        <v>0</v>
      </c>
      <c r="CV30" t="b">
        <f t="shared" si="47"/>
        <v>0</v>
      </c>
      <c r="CW30" t="b">
        <f t="shared" si="47"/>
        <v>0</v>
      </c>
      <c r="CX30" t="b">
        <f t="shared" si="47"/>
        <v>0</v>
      </c>
      <c r="CY30" t="b">
        <f t="shared" si="47"/>
        <v>0</v>
      </c>
      <c r="CZ30" t="b">
        <f t="shared" si="47"/>
        <v>0</v>
      </c>
      <c r="DA30" t="b">
        <f t="shared" si="47"/>
        <v>0</v>
      </c>
      <c r="DB30" t="b">
        <f t="shared" si="47"/>
        <v>0</v>
      </c>
      <c r="DC30" t="b">
        <f t="shared" si="47"/>
        <v>0</v>
      </c>
      <c r="DD30" t="b">
        <f t="shared" si="48"/>
        <v>0</v>
      </c>
      <c r="DE30" t="b">
        <f t="shared" si="48"/>
        <v>0</v>
      </c>
      <c r="DF30" t="b">
        <f t="shared" si="48"/>
        <v>0</v>
      </c>
      <c r="DG30" t="b">
        <f t="shared" si="48"/>
        <v>0</v>
      </c>
      <c r="DH30" t="b">
        <f t="shared" si="48"/>
        <v>0</v>
      </c>
      <c r="DI30" t="b">
        <f t="shared" si="48"/>
        <v>1</v>
      </c>
      <c r="DJ30" t="b">
        <f t="shared" si="48"/>
        <v>0</v>
      </c>
      <c r="DK30" t="b">
        <f t="shared" si="48"/>
        <v>0</v>
      </c>
      <c r="DL30" t="b">
        <f t="shared" si="48"/>
        <v>0</v>
      </c>
      <c r="DM30" t="b">
        <f t="shared" si="48"/>
        <v>0</v>
      </c>
      <c r="DN30" t="b">
        <f t="shared" si="49"/>
        <v>0</v>
      </c>
      <c r="DO30" t="b">
        <f t="shared" si="49"/>
        <v>0</v>
      </c>
      <c r="DP30" t="b">
        <f t="shared" si="49"/>
        <v>0</v>
      </c>
      <c r="DQ30" t="b">
        <f t="shared" si="49"/>
        <v>0</v>
      </c>
      <c r="DR30" t="b">
        <f t="shared" si="49"/>
        <v>0</v>
      </c>
      <c r="DS30" t="b">
        <f t="shared" si="49"/>
        <v>0</v>
      </c>
      <c r="DT30" t="b">
        <f t="shared" si="49"/>
        <v>0</v>
      </c>
      <c r="DU30" t="b">
        <f t="shared" si="49"/>
        <v>0</v>
      </c>
      <c r="DV30" t="b">
        <f t="shared" si="49"/>
        <v>0</v>
      </c>
      <c r="DW30" t="b">
        <f t="shared" si="49"/>
        <v>0</v>
      </c>
      <c r="DX30" t="b">
        <f t="shared" si="50"/>
        <v>0</v>
      </c>
      <c r="DY30" t="b">
        <f t="shared" si="50"/>
        <v>0</v>
      </c>
      <c r="DZ30" t="b">
        <f t="shared" si="50"/>
        <v>1</v>
      </c>
      <c r="EA30" t="b">
        <f t="shared" si="50"/>
        <v>0</v>
      </c>
      <c r="EB30" t="b">
        <f t="shared" si="50"/>
        <v>0</v>
      </c>
      <c r="EC30" t="b">
        <f t="shared" si="50"/>
        <v>0</v>
      </c>
      <c r="ED30" t="b">
        <f t="shared" si="50"/>
        <v>0</v>
      </c>
      <c r="EE30" t="b">
        <f t="shared" si="50"/>
        <v>0</v>
      </c>
      <c r="EF30" t="b">
        <f t="shared" si="50"/>
        <v>0</v>
      </c>
      <c r="EG30" t="b">
        <f t="shared" si="50"/>
        <v>0</v>
      </c>
      <c r="EH30" t="b">
        <f t="shared" si="51"/>
        <v>1</v>
      </c>
      <c r="EI30" t="b">
        <f t="shared" si="51"/>
        <v>0</v>
      </c>
      <c r="EJ30" t="b">
        <f t="shared" si="51"/>
        <v>0</v>
      </c>
      <c r="EK30" t="b">
        <f t="shared" si="51"/>
        <v>0</v>
      </c>
      <c r="EL30" t="b">
        <f t="shared" si="51"/>
        <v>0</v>
      </c>
      <c r="EM30" t="b">
        <f t="shared" si="51"/>
        <v>0</v>
      </c>
      <c r="EN30" t="b">
        <f t="shared" si="51"/>
        <v>1</v>
      </c>
      <c r="EO30" t="b">
        <f t="shared" si="51"/>
        <v>0</v>
      </c>
      <c r="EP30" t="b">
        <f t="shared" si="51"/>
        <v>0</v>
      </c>
      <c r="EQ30" t="b">
        <f t="shared" si="51"/>
        <v>0</v>
      </c>
      <c r="ER30" t="b">
        <f t="shared" si="52"/>
        <v>1</v>
      </c>
      <c r="ES30" t="b">
        <f t="shared" si="52"/>
        <v>0</v>
      </c>
      <c r="ET30" t="b">
        <f t="shared" si="52"/>
        <v>0</v>
      </c>
      <c r="EU30" t="b">
        <f t="shared" si="52"/>
        <v>0</v>
      </c>
      <c r="EV30" t="b">
        <f t="shared" si="52"/>
        <v>0</v>
      </c>
      <c r="EW30" t="b">
        <f t="shared" si="52"/>
        <v>0</v>
      </c>
      <c r="EX30" t="b">
        <f t="shared" si="52"/>
        <v>1</v>
      </c>
      <c r="EY30" t="b">
        <f t="shared" si="52"/>
        <v>0</v>
      </c>
      <c r="EZ30" t="b">
        <f t="shared" si="52"/>
        <v>1</v>
      </c>
      <c r="FA30" t="b">
        <f t="shared" si="52"/>
        <v>1</v>
      </c>
      <c r="FB30" t="b">
        <f t="shared" si="53"/>
        <v>1</v>
      </c>
      <c r="FC30" t="b">
        <f t="shared" si="53"/>
        <v>0</v>
      </c>
      <c r="FD30" t="b">
        <f t="shared" si="53"/>
        <v>0</v>
      </c>
      <c r="FE30" t="b">
        <f t="shared" si="53"/>
        <v>0</v>
      </c>
      <c r="FF30" t="b">
        <f t="shared" si="53"/>
        <v>0</v>
      </c>
      <c r="FG30" t="b">
        <f t="shared" si="53"/>
        <v>0</v>
      </c>
      <c r="FH30" t="b">
        <f t="shared" si="53"/>
        <v>0</v>
      </c>
      <c r="FI30" t="b">
        <f t="shared" si="53"/>
        <v>0</v>
      </c>
      <c r="FJ30" t="b">
        <f t="shared" si="53"/>
        <v>0</v>
      </c>
      <c r="FK30" t="b">
        <f t="shared" si="53"/>
        <v>0</v>
      </c>
      <c r="FL30" t="b">
        <f t="shared" si="54"/>
        <v>0</v>
      </c>
      <c r="FM30" t="b">
        <f t="shared" si="54"/>
        <v>0</v>
      </c>
      <c r="FN30" t="b">
        <f t="shared" si="54"/>
        <v>0</v>
      </c>
      <c r="FO30" t="b">
        <f t="shared" si="54"/>
        <v>0</v>
      </c>
      <c r="FP30" t="b">
        <f t="shared" si="54"/>
        <v>0</v>
      </c>
      <c r="FQ30" t="b">
        <f t="shared" si="54"/>
        <v>0</v>
      </c>
      <c r="FR30" t="b">
        <f t="shared" si="54"/>
        <v>0</v>
      </c>
      <c r="FS30" t="b">
        <f t="shared" si="54"/>
        <v>0</v>
      </c>
      <c r="FT30" t="b">
        <f t="shared" si="54"/>
        <v>0</v>
      </c>
      <c r="FU30" t="b">
        <f t="shared" si="54"/>
        <v>1</v>
      </c>
      <c r="FV30" t="b">
        <f t="shared" si="55"/>
        <v>0</v>
      </c>
      <c r="FW30" t="b">
        <f t="shared" si="55"/>
        <v>0</v>
      </c>
      <c r="FX30" t="b">
        <f t="shared" si="55"/>
        <v>0</v>
      </c>
      <c r="FY30" t="b">
        <f t="shared" si="55"/>
        <v>1</v>
      </c>
      <c r="FZ30" t="b">
        <f t="shared" si="55"/>
        <v>0</v>
      </c>
      <c r="GA30" t="b">
        <f t="shared" si="55"/>
        <v>0</v>
      </c>
      <c r="GB30" t="b">
        <f t="shared" si="55"/>
        <v>0</v>
      </c>
      <c r="GC30" t="b">
        <f t="shared" si="55"/>
        <v>0</v>
      </c>
      <c r="GD30" t="b">
        <f t="shared" si="55"/>
        <v>1</v>
      </c>
      <c r="GE30" t="b">
        <f t="shared" si="55"/>
        <v>0</v>
      </c>
      <c r="GF30" t="b">
        <f t="shared" si="56"/>
        <v>0</v>
      </c>
      <c r="GG30" t="b">
        <f t="shared" si="56"/>
        <v>0</v>
      </c>
      <c r="GH30" t="b">
        <f t="shared" si="56"/>
        <v>0</v>
      </c>
      <c r="GI30" t="b">
        <f t="shared" si="56"/>
        <v>0</v>
      </c>
      <c r="GJ30" t="b">
        <f t="shared" si="56"/>
        <v>0</v>
      </c>
      <c r="GK30" t="b">
        <f t="shared" si="56"/>
        <v>0</v>
      </c>
      <c r="GL30" t="b">
        <f t="shared" si="56"/>
        <v>0</v>
      </c>
      <c r="GM30" t="b">
        <f t="shared" si="56"/>
        <v>0</v>
      </c>
      <c r="GN30" t="b">
        <f t="shared" si="56"/>
        <v>0</v>
      </c>
      <c r="GO30" t="b">
        <f t="shared" si="56"/>
        <v>0</v>
      </c>
      <c r="GP30" t="b">
        <f t="shared" si="57"/>
        <v>0</v>
      </c>
      <c r="GQ30" t="b">
        <f t="shared" si="57"/>
        <v>0</v>
      </c>
      <c r="GR30" t="b">
        <f t="shared" si="57"/>
        <v>0</v>
      </c>
      <c r="GS30" t="b">
        <f t="shared" si="57"/>
        <v>0</v>
      </c>
      <c r="GT30" t="b">
        <f t="shared" si="57"/>
        <v>0</v>
      </c>
      <c r="GU30" t="b">
        <f t="shared" si="57"/>
        <v>0</v>
      </c>
      <c r="GV30" t="b">
        <f t="shared" si="57"/>
        <v>0</v>
      </c>
      <c r="GW30" t="b">
        <f t="shared" si="57"/>
        <v>0</v>
      </c>
      <c r="GX30" t="b">
        <f t="shared" si="57"/>
        <v>0</v>
      </c>
      <c r="GY30" t="b">
        <f t="shared" si="57"/>
        <v>0</v>
      </c>
      <c r="GZ30" t="b">
        <f t="shared" si="57"/>
        <v>0</v>
      </c>
    </row>
    <row r="31" spans="1:208" hidden="1" x14ac:dyDescent="0.3">
      <c r="A31" t="s">
        <v>536</v>
      </c>
      <c r="B31" t="s">
        <v>544</v>
      </c>
      <c r="C31" t="s">
        <v>545</v>
      </c>
      <c r="D31" s="3">
        <v>30</v>
      </c>
      <c r="E31" s="3">
        <v>8</v>
      </c>
      <c r="F31" s="3">
        <v>30</v>
      </c>
      <c r="G31" s="3">
        <v>250</v>
      </c>
      <c r="H31" t="str">
        <f t="shared" si="19"/>
        <v>30-8</v>
      </c>
      <c r="I31" t="b">
        <v>1</v>
      </c>
      <c r="Q31" s="6">
        <v>31</v>
      </c>
      <c r="R31" t="b">
        <f t="shared" si="39"/>
        <v>0</v>
      </c>
      <c r="S31" t="b">
        <f t="shared" si="39"/>
        <v>0</v>
      </c>
      <c r="T31" t="b">
        <f t="shared" si="39"/>
        <v>0</v>
      </c>
      <c r="U31" t="b">
        <f t="shared" si="39"/>
        <v>0</v>
      </c>
      <c r="V31" t="b">
        <f t="shared" si="39"/>
        <v>0</v>
      </c>
      <c r="W31" t="b">
        <f t="shared" si="39"/>
        <v>1</v>
      </c>
      <c r="X31" t="b">
        <f t="shared" si="39"/>
        <v>0</v>
      </c>
      <c r="Y31" t="b">
        <f t="shared" si="39"/>
        <v>0</v>
      </c>
      <c r="Z31" t="b">
        <f t="shared" si="39"/>
        <v>1</v>
      </c>
      <c r="AA31" t="b">
        <f t="shared" si="39"/>
        <v>0</v>
      </c>
      <c r="AB31" t="b">
        <f t="shared" si="40"/>
        <v>0</v>
      </c>
      <c r="AC31" t="b">
        <f t="shared" si="40"/>
        <v>0</v>
      </c>
      <c r="AD31" t="b">
        <f t="shared" si="40"/>
        <v>0</v>
      </c>
      <c r="AE31" t="b">
        <f t="shared" si="40"/>
        <v>0</v>
      </c>
      <c r="AF31" t="b">
        <f t="shared" si="40"/>
        <v>0</v>
      </c>
      <c r="AG31" t="b">
        <f t="shared" si="40"/>
        <v>0</v>
      </c>
      <c r="AH31" t="b">
        <f t="shared" si="40"/>
        <v>0</v>
      </c>
      <c r="AI31" t="b">
        <f t="shared" si="40"/>
        <v>0</v>
      </c>
      <c r="AJ31" t="b">
        <f t="shared" si="40"/>
        <v>0</v>
      </c>
      <c r="AK31" t="b">
        <f t="shared" si="40"/>
        <v>0</v>
      </c>
      <c r="AL31" t="b">
        <f t="shared" si="41"/>
        <v>0</v>
      </c>
      <c r="AM31" t="b">
        <f t="shared" si="41"/>
        <v>0</v>
      </c>
      <c r="AN31" t="b">
        <f t="shared" si="41"/>
        <v>1</v>
      </c>
      <c r="AO31" t="b">
        <f t="shared" si="41"/>
        <v>0</v>
      </c>
      <c r="AP31" t="b">
        <f t="shared" si="41"/>
        <v>0</v>
      </c>
      <c r="AQ31" t="b">
        <f t="shared" si="41"/>
        <v>0</v>
      </c>
      <c r="AR31" t="b">
        <f t="shared" si="41"/>
        <v>0</v>
      </c>
      <c r="AS31" t="b">
        <f t="shared" si="41"/>
        <v>0</v>
      </c>
      <c r="AT31" t="b">
        <f t="shared" si="41"/>
        <v>0</v>
      </c>
      <c r="AU31" t="b">
        <f t="shared" si="41"/>
        <v>0</v>
      </c>
      <c r="AV31" t="b">
        <f t="shared" si="42"/>
        <v>0</v>
      </c>
      <c r="AW31" t="b">
        <f t="shared" si="42"/>
        <v>0</v>
      </c>
      <c r="AX31" t="b">
        <f t="shared" si="42"/>
        <v>0</v>
      </c>
      <c r="AY31" t="b">
        <f t="shared" si="42"/>
        <v>0</v>
      </c>
      <c r="AZ31" t="b">
        <f t="shared" si="42"/>
        <v>0</v>
      </c>
      <c r="BA31" t="b">
        <f t="shared" si="42"/>
        <v>0</v>
      </c>
      <c r="BB31" t="b">
        <f t="shared" si="42"/>
        <v>0</v>
      </c>
      <c r="BC31" t="b">
        <f t="shared" si="42"/>
        <v>0</v>
      </c>
      <c r="BD31" t="b">
        <f t="shared" si="42"/>
        <v>0</v>
      </c>
      <c r="BE31" t="b">
        <f t="shared" si="42"/>
        <v>0</v>
      </c>
      <c r="BF31" t="b">
        <f t="shared" si="43"/>
        <v>1</v>
      </c>
      <c r="BG31" t="b">
        <f t="shared" si="43"/>
        <v>0</v>
      </c>
      <c r="BH31" t="b">
        <f t="shared" si="43"/>
        <v>0</v>
      </c>
      <c r="BI31" t="b">
        <f t="shared" si="43"/>
        <v>0</v>
      </c>
      <c r="BJ31" t="b">
        <f t="shared" si="43"/>
        <v>0</v>
      </c>
      <c r="BK31" t="b">
        <f t="shared" si="43"/>
        <v>0</v>
      </c>
      <c r="BL31" t="b">
        <f t="shared" si="43"/>
        <v>0</v>
      </c>
      <c r="BM31" t="b">
        <f t="shared" si="43"/>
        <v>0</v>
      </c>
      <c r="BN31" t="b">
        <f t="shared" si="43"/>
        <v>0</v>
      </c>
      <c r="BO31" t="b">
        <f t="shared" si="43"/>
        <v>0</v>
      </c>
      <c r="BP31" t="b">
        <f t="shared" si="44"/>
        <v>0</v>
      </c>
      <c r="BQ31" t="b">
        <f t="shared" si="44"/>
        <v>0</v>
      </c>
      <c r="BR31" t="b">
        <f t="shared" si="44"/>
        <v>1</v>
      </c>
      <c r="BS31" t="b">
        <f t="shared" si="44"/>
        <v>0</v>
      </c>
      <c r="BT31" t="b">
        <f t="shared" si="44"/>
        <v>0</v>
      </c>
      <c r="BU31" t="b">
        <f t="shared" si="44"/>
        <v>0</v>
      </c>
      <c r="BV31" t="b">
        <f t="shared" si="44"/>
        <v>0</v>
      </c>
      <c r="BW31" t="b">
        <f t="shared" si="44"/>
        <v>0</v>
      </c>
      <c r="BX31" t="b">
        <f t="shared" si="44"/>
        <v>0</v>
      </c>
      <c r="BY31" t="b">
        <f t="shared" si="44"/>
        <v>1</v>
      </c>
      <c r="BZ31" t="b">
        <f t="shared" si="45"/>
        <v>0</v>
      </c>
      <c r="CA31" t="b">
        <f t="shared" si="45"/>
        <v>0</v>
      </c>
      <c r="CB31" t="b">
        <f t="shared" si="45"/>
        <v>0</v>
      </c>
      <c r="CC31" t="b">
        <f t="shared" si="45"/>
        <v>0</v>
      </c>
      <c r="CD31" t="b">
        <f t="shared" si="45"/>
        <v>0</v>
      </c>
      <c r="CE31" t="b">
        <f t="shared" si="45"/>
        <v>0</v>
      </c>
      <c r="CF31" t="b">
        <f t="shared" si="45"/>
        <v>0</v>
      </c>
      <c r="CG31" t="b">
        <f t="shared" si="45"/>
        <v>0</v>
      </c>
      <c r="CH31" t="b">
        <f t="shared" si="45"/>
        <v>0</v>
      </c>
      <c r="CI31" t="b">
        <f t="shared" si="45"/>
        <v>0</v>
      </c>
      <c r="CJ31" t="b">
        <f t="shared" si="46"/>
        <v>0</v>
      </c>
      <c r="CK31" t="b">
        <f t="shared" si="46"/>
        <v>0</v>
      </c>
      <c r="CL31" t="b">
        <f t="shared" si="46"/>
        <v>0</v>
      </c>
      <c r="CM31" t="b">
        <f t="shared" si="46"/>
        <v>0</v>
      </c>
      <c r="CN31" t="b">
        <f t="shared" si="46"/>
        <v>1</v>
      </c>
      <c r="CO31" t="b">
        <f t="shared" si="46"/>
        <v>0</v>
      </c>
      <c r="CP31" t="b">
        <f t="shared" si="46"/>
        <v>0</v>
      </c>
      <c r="CQ31" t="b">
        <f t="shared" si="46"/>
        <v>0</v>
      </c>
      <c r="CR31" t="b">
        <f t="shared" si="46"/>
        <v>0</v>
      </c>
      <c r="CS31" t="b">
        <f t="shared" si="46"/>
        <v>0</v>
      </c>
      <c r="CT31" t="b">
        <f t="shared" si="47"/>
        <v>0</v>
      </c>
      <c r="CU31" t="b">
        <f t="shared" si="47"/>
        <v>0</v>
      </c>
      <c r="CV31" t="b">
        <f t="shared" si="47"/>
        <v>0</v>
      </c>
      <c r="CW31" t="b">
        <f t="shared" si="47"/>
        <v>0</v>
      </c>
      <c r="CX31" t="b">
        <f t="shared" si="47"/>
        <v>0</v>
      </c>
      <c r="CY31" t="b">
        <f t="shared" si="47"/>
        <v>0</v>
      </c>
      <c r="CZ31" t="b">
        <f t="shared" si="47"/>
        <v>0</v>
      </c>
      <c r="DA31" t="b">
        <f t="shared" si="47"/>
        <v>0</v>
      </c>
      <c r="DB31" t="b">
        <f t="shared" si="47"/>
        <v>0</v>
      </c>
      <c r="DC31" t="b">
        <f t="shared" si="47"/>
        <v>0</v>
      </c>
      <c r="DD31" t="b">
        <f t="shared" si="48"/>
        <v>0</v>
      </c>
      <c r="DE31" t="b">
        <f t="shared" si="48"/>
        <v>0</v>
      </c>
      <c r="DF31" t="b">
        <f t="shared" si="48"/>
        <v>0</v>
      </c>
      <c r="DG31" t="b">
        <f t="shared" si="48"/>
        <v>0</v>
      </c>
      <c r="DH31" t="b">
        <f t="shared" si="48"/>
        <v>1</v>
      </c>
      <c r="DI31" t="b">
        <f t="shared" si="48"/>
        <v>0</v>
      </c>
      <c r="DJ31" t="b">
        <f t="shared" si="48"/>
        <v>0</v>
      </c>
      <c r="DK31" t="b">
        <f t="shared" si="48"/>
        <v>0</v>
      </c>
      <c r="DL31" t="b">
        <f t="shared" si="48"/>
        <v>0</v>
      </c>
      <c r="DM31" t="b">
        <f t="shared" si="48"/>
        <v>0</v>
      </c>
      <c r="DN31" t="b">
        <f t="shared" si="49"/>
        <v>0</v>
      </c>
      <c r="DO31" t="b">
        <f t="shared" si="49"/>
        <v>0</v>
      </c>
      <c r="DP31" t="b">
        <f t="shared" si="49"/>
        <v>0</v>
      </c>
      <c r="DQ31" t="b">
        <f t="shared" si="49"/>
        <v>0</v>
      </c>
      <c r="DR31" t="b">
        <f t="shared" si="49"/>
        <v>0</v>
      </c>
      <c r="DS31" t="b">
        <f t="shared" si="49"/>
        <v>1</v>
      </c>
      <c r="DT31" t="b">
        <f t="shared" si="49"/>
        <v>0</v>
      </c>
      <c r="DU31" t="b">
        <f t="shared" si="49"/>
        <v>1</v>
      </c>
      <c r="DV31" t="b">
        <f t="shared" si="49"/>
        <v>0</v>
      </c>
      <c r="DW31" t="b">
        <f t="shared" si="49"/>
        <v>0</v>
      </c>
      <c r="DX31" t="b">
        <f t="shared" si="50"/>
        <v>0</v>
      </c>
      <c r="DY31" t="b">
        <f t="shared" si="50"/>
        <v>0</v>
      </c>
      <c r="DZ31" t="b">
        <f t="shared" si="50"/>
        <v>0</v>
      </c>
      <c r="EA31" t="b">
        <f t="shared" si="50"/>
        <v>0</v>
      </c>
      <c r="EB31" t="b">
        <f t="shared" si="50"/>
        <v>0</v>
      </c>
      <c r="EC31" t="b">
        <f t="shared" si="50"/>
        <v>0</v>
      </c>
      <c r="ED31" t="b">
        <f t="shared" si="50"/>
        <v>1</v>
      </c>
      <c r="EE31" t="b">
        <f t="shared" si="50"/>
        <v>1</v>
      </c>
      <c r="EF31" t="b">
        <f t="shared" si="50"/>
        <v>0</v>
      </c>
      <c r="EG31" t="b">
        <f t="shared" si="50"/>
        <v>0</v>
      </c>
      <c r="EH31" t="b">
        <f t="shared" si="51"/>
        <v>0</v>
      </c>
      <c r="EI31" t="b">
        <f t="shared" si="51"/>
        <v>0</v>
      </c>
      <c r="EJ31" t="b">
        <f t="shared" si="51"/>
        <v>1</v>
      </c>
      <c r="EK31" t="b">
        <f t="shared" si="51"/>
        <v>0</v>
      </c>
      <c r="EL31" t="b">
        <f t="shared" si="51"/>
        <v>0</v>
      </c>
      <c r="EM31" t="b">
        <f t="shared" si="51"/>
        <v>0</v>
      </c>
      <c r="EN31" t="b">
        <f t="shared" si="51"/>
        <v>0</v>
      </c>
      <c r="EO31" t="b">
        <f t="shared" si="51"/>
        <v>0</v>
      </c>
      <c r="EP31" t="b">
        <f t="shared" si="51"/>
        <v>0</v>
      </c>
      <c r="EQ31" t="b">
        <f t="shared" si="51"/>
        <v>0</v>
      </c>
      <c r="ER31" t="b">
        <f t="shared" si="52"/>
        <v>0</v>
      </c>
      <c r="ES31" t="b">
        <f t="shared" si="52"/>
        <v>1</v>
      </c>
      <c r="ET31" t="b">
        <f t="shared" si="52"/>
        <v>0</v>
      </c>
      <c r="EU31" t="b">
        <f t="shared" si="52"/>
        <v>0</v>
      </c>
      <c r="EV31" t="b">
        <f t="shared" si="52"/>
        <v>0</v>
      </c>
      <c r="EW31" t="b">
        <f t="shared" si="52"/>
        <v>0</v>
      </c>
      <c r="EX31" t="b">
        <f t="shared" si="52"/>
        <v>0</v>
      </c>
      <c r="EY31" t="b">
        <f t="shared" si="52"/>
        <v>0</v>
      </c>
      <c r="EZ31" t="b">
        <f t="shared" si="52"/>
        <v>0</v>
      </c>
      <c r="FA31" t="b">
        <f t="shared" si="52"/>
        <v>0</v>
      </c>
      <c r="FB31" t="b">
        <f t="shared" si="53"/>
        <v>0</v>
      </c>
      <c r="FC31" t="b">
        <f t="shared" si="53"/>
        <v>0</v>
      </c>
      <c r="FD31" t="b">
        <f t="shared" si="53"/>
        <v>1</v>
      </c>
      <c r="FE31" t="b">
        <f t="shared" si="53"/>
        <v>0</v>
      </c>
      <c r="FF31" t="b">
        <f t="shared" si="53"/>
        <v>0</v>
      </c>
      <c r="FG31" t="b">
        <f t="shared" si="53"/>
        <v>1</v>
      </c>
      <c r="FH31" t="b">
        <f t="shared" si="53"/>
        <v>0</v>
      </c>
      <c r="FI31" t="b">
        <f t="shared" si="53"/>
        <v>0</v>
      </c>
      <c r="FJ31" t="b">
        <f t="shared" si="53"/>
        <v>0</v>
      </c>
      <c r="FK31" t="b">
        <f t="shared" si="53"/>
        <v>0</v>
      </c>
      <c r="FL31" t="b">
        <f t="shared" si="54"/>
        <v>0</v>
      </c>
      <c r="FM31" t="b">
        <f t="shared" si="54"/>
        <v>1</v>
      </c>
      <c r="FN31" t="b">
        <f t="shared" si="54"/>
        <v>1</v>
      </c>
      <c r="FO31" t="b">
        <f t="shared" si="54"/>
        <v>0</v>
      </c>
      <c r="FP31" t="b">
        <f t="shared" si="54"/>
        <v>0</v>
      </c>
      <c r="FQ31" t="b">
        <f t="shared" si="54"/>
        <v>0</v>
      </c>
      <c r="FR31" t="b">
        <f t="shared" si="54"/>
        <v>0</v>
      </c>
      <c r="FS31" t="b">
        <f t="shared" si="54"/>
        <v>0</v>
      </c>
      <c r="FT31" t="b">
        <f t="shared" si="54"/>
        <v>0</v>
      </c>
      <c r="FU31" t="b">
        <f t="shared" si="54"/>
        <v>0</v>
      </c>
      <c r="FV31" t="b">
        <f t="shared" si="55"/>
        <v>0</v>
      </c>
      <c r="FW31" t="b">
        <f t="shared" si="55"/>
        <v>0</v>
      </c>
      <c r="FX31" t="b">
        <f t="shared" si="55"/>
        <v>0</v>
      </c>
      <c r="FY31" t="b">
        <f t="shared" si="55"/>
        <v>0</v>
      </c>
      <c r="FZ31" t="b">
        <f t="shared" si="55"/>
        <v>0</v>
      </c>
      <c r="GA31" t="b">
        <f t="shared" si="55"/>
        <v>0</v>
      </c>
      <c r="GB31" t="b">
        <f t="shared" si="55"/>
        <v>0</v>
      </c>
      <c r="GC31" t="b">
        <f t="shared" si="55"/>
        <v>0</v>
      </c>
      <c r="GD31" t="b">
        <f t="shared" si="55"/>
        <v>0</v>
      </c>
      <c r="GE31" t="b">
        <f t="shared" si="55"/>
        <v>0</v>
      </c>
      <c r="GF31" t="b">
        <f t="shared" si="56"/>
        <v>0</v>
      </c>
      <c r="GG31" t="b">
        <f t="shared" si="56"/>
        <v>0</v>
      </c>
      <c r="GH31" t="b">
        <f t="shared" si="56"/>
        <v>0</v>
      </c>
      <c r="GI31" t="b">
        <f t="shared" si="56"/>
        <v>0</v>
      </c>
      <c r="GJ31" t="b">
        <f t="shared" si="56"/>
        <v>0</v>
      </c>
      <c r="GK31" t="b">
        <f t="shared" si="56"/>
        <v>0</v>
      </c>
      <c r="GL31" t="b">
        <f t="shared" si="56"/>
        <v>0</v>
      </c>
      <c r="GM31" t="b">
        <f t="shared" si="56"/>
        <v>0</v>
      </c>
      <c r="GN31" t="b">
        <f t="shared" si="56"/>
        <v>0</v>
      </c>
      <c r="GO31" t="b">
        <f t="shared" si="56"/>
        <v>0</v>
      </c>
      <c r="GP31" t="b">
        <f t="shared" si="57"/>
        <v>0</v>
      </c>
      <c r="GQ31" t="b">
        <f t="shared" si="57"/>
        <v>0</v>
      </c>
      <c r="GR31" t="b">
        <f t="shared" si="57"/>
        <v>1</v>
      </c>
      <c r="GS31" t="b">
        <f t="shared" si="57"/>
        <v>0</v>
      </c>
      <c r="GT31" t="b">
        <f t="shared" si="57"/>
        <v>0</v>
      </c>
      <c r="GU31" t="b">
        <f t="shared" si="57"/>
        <v>0</v>
      </c>
      <c r="GV31" t="b">
        <f t="shared" si="57"/>
        <v>1</v>
      </c>
      <c r="GW31" t="b">
        <f t="shared" si="57"/>
        <v>1</v>
      </c>
      <c r="GX31" t="b">
        <f t="shared" si="57"/>
        <v>0</v>
      </c>
      <c r="GY31" t="b">
        <f t="shared" si="57"/>
        <v>0</v>
      </c>
      <c r="GZ31" t="b">
        <f t="shared" si="57"/>
        <v>0</v>
      </c>
    </row>
    <row r="32" spans="1:208" hidden="1" x14ac:dyDescent="0.3">
      <c r="A32" t="s">
        <v>536</v>
      </c>
      <c r="B32" t="s">
        <v>544</v>
      </c>
      <c r="C32" t="s">
        <v>353</v>
      </c>
      <c r="D32" s="3">
        <v>30</v>
      </c>
      <c r="E32" s="3">
        <v>8</v>
      </c>
      <c r="F32" s="3">
        <v>31</v>
      </c>
      <c r="G32" s="3">
        <v>190</v>
      </c>
      <c r="H32" t="str">
        <f t="shared" si="19"/>
        <v>30-8</v>
      </c>
      <c r="I32" t="b">
        <v>1</v>
      </c>
      <c r="Q32" s="6">
        <v>32</v>
      </c>
      <c r="R32" t="b">
        <f t="shared" ref="R32:AA41" si="58">IFERROR(_xlfn.XLOOKUP(_xlfn.CONCAT($Q32,"-",R$1),$H$2:$H$926,$I$2:$I$926),FALSE)</f>
        <v>0</v>
      </c>
      <c r="S32" t="b">
        <f t="shared" si="58"/>
        <v>0</v>
      </c>
      <c r="T32" t="b">
        <f t="shared" si="58"/>
        <v>0</v>
      </c>
      <c r="U32" t="b">
        <f t="shared" si="58"/>
        <v>0</v>
      </c>
      <c r="V32" t="b">
        <f t="shared" si="58"/>
        <v>0</v>
      </c>
      <c r="W32" t="b">
        <f t="shared" si="58"/>
        <v>0</v>
      </c>
      <c r="X32" t="b">
        <f t="shared" si="58"/>
        <v>0</v>
      </c>
      <c r="Y32" t="b">
        <f t="shared" si="58"/>
        <v>0</v>
      </c>
      <c r="Z32" t="b">
        <f t="shared" si="58"/>
        <v>0</v>
      </c>
      <c r="AA32" t="b">
        <f t="shared" si="58"/>
        <v>0</v>
      </c>
      <c r="AB32" t="b">
        <f t="shared" ref="AB32:AK41" si="59">IFERROR(_xlfn.XLOOKUP(_xlfn.CONCAT($Q32,"-",AB$1),$H$2:$H$926,$I$2:$I$926),FALSE)</f>
        <v>0</v>
      </c>
      <c r="AC32" t="b">
        <f t="shared" si="59"/>
        <v>0</v>
      </c>
      <c r="AD32" t="b">
        <f t="shared" si="59"/>
        <v>0</v>
      </c>
      <c r="AE32" t="b">
        <f t="shared" si="59"/>
        <v>0</v>
      </c>
      <c r="AF32" t="b">
        <f t="shared" si="59"/>
        <v>0</v>
      </c>
      <c r="AG32" t="b">
        <f t="shared" si="59"/>
        <v>0</v>
      </c>
      <c r="AH32" t="b">
        <f t="shared" si="59"/>
        <v>0</v>
      </c>
      <c r="AI32" t="b">
        <f t="shared" si="59"/>
        <v>0</v>
      </c>
      <c r="AJ32" t="b">
        <f t="shared" si="59"/>
        <v>0</v>
      </c>
      <c r="AK32" t="b">
        <f t="shared" si="59"/>
        <v>0</v>
      </c>
      <c r="AL32" t="b">
        <f t="shared" ref="AL32:AU41" si="60">IFERROR(_xlfn.XLOOKUP(_xlfn.CONCAT($Q32,"-",AL$1),$H$2:$H$926,$I$2:$I$926),FALSE)</f>
        <v>0</v>
      </c>
      <c r="AM32" t="b">
        <f t="shared" si="60"/>
        <v>0</v>
      </c>
      <c r="AN32" t="b">
        <f t="shared" si="60"/>
        <v>0</v>
      </c>
      <c r="AO32" t="b">
        <f t="shared" si="60"/>
        <v>0</v>
      </c>
      <c r="AP32" t="b">
        <f t="shared" si="60"/>
        <v>0</v>
      </c>
      <c r="AQ32" t="b">
        <f t="shared" si="60"/>
        <v>0</v>
      </c>
      <c r="AR32" t="b">
        <f t="shared" si="60"/>
        <v>0</v>
      </c>
      <c r="AS32" t="b">
        <f t="shared" si="60"/>
        <v>0</v>
      </c>
      <c r="AT32" t="b">
        <f t="shared" si="60"/>
        <v>0</v>
      </c>
      <c r="AU32" t="b">
        <f t="shared" si="60"/>
        <v>0</v>
      </c>
      <c r="AV32" t="b">
        <f t="shared" ref="AV32:BE41" si="61">IFERROR(_xlfn.XLOOKUP(_xlfn.CONCAT($Q32,"-",AV$1),$H$2:$H$926,$I$2:$I$926),FALSE)</f>
        <v>0</v>
      </c>
      <c r="AW32" t="b">
        <f t="shared" si="61"/>
        <v>0</v>
      </c>
      <c r="AX32" t="b">
        <f t="shared" si="61"/>
        <v>0</v>
      </c>
      <c r="AY32" t="b">
        <f t="shared" si="61"/>
        <v>0</v>
      </c>
      <c r="AZ32" t="b">
        <f t="shared" si="61"/>
        <v>0</v>
      </c>
      <c r="BA32" t="b">
        <f t="shared" si="61"/>
        <v>0</v>
      </c>
      <c r="BB32" t="b">
        <f t="shared" si="61"/>
        <v>0</v>
      </c>
      <c r="BC32" t="b">
        <f t="shared" si="61"/>
        <v>0</v>
      </c>
      <c r="BD32" t="b">
        <f t="shared" si="61"/>
        <v>0</v>
      </c>
      <c r="BE32" t="b">
        <f t="shared" si="61"/>
        <v>0</v>
      </c>
      <c r="BF32" t="b">
        <f t="shared" ref="BF32:BO41" si="62">IFERROR(_xlfn.XLOOKUP(_xlfn.CONCAT($Q32,"-",BF$1),$H$2:$H$926,$I$2:$I$926),FALSE)</f>
        <v>0</v>
      </c>
      <c r="BG32" t="b">
        <f t="shared" si="62"/>
        <v>0</v>
      </c>
      <c r="BH32" t="b">
        <f t="shared" si="62"/>
        <v>0</v>
      </c>
      <c r="BI32" t="b">
        <f t="shared" si="62"/>
        <v>0</v>
      </c>
      <c r="BJ32" t="b">
        <f t="shared" si="62"/>
        <v>0</v>
      </c>
      <c r="BK32" t="b">
        <f t="shared" si="62"/>
        <v>0</v>
      </c>
      <c r="BL32" t="b">
        <f t="shared" si="62"/>
        <v>0</v>
      </c>
      <c r="BM32" t="b">
        <f t="shared" si="62"/>
        <v>0</v>
      </c>
      <c r="BN32" t="b">
        <f t="shared" si="62"/>
        <v>0</v>
      </c>
      <c r="BO32" t="b">
        <f t="shared" si="62"/>
        <v>0</v>
      </c>
      <c r="BP32" t="b">
        <f t="shared" ref="BP32:BY41" si="63">IFERROR(_xlfn.XLOOKUP(_xlfn.CONCAT($Q32,"-",BP$1),$H$2:$H$926,$I$2:$I$926),FALSE)</f>
        <v>0</v>
      </c>
      <c r="BQ32" t="b">
        <f t="shared" si="63"/>
        <v>0</v>
      </c>
      <c r="BR32" t="b">
        <f t="shared" si="63"/>
        <v>0</v>
      </c>
      <c r="BS32" t="b">
        <f t="shared" si="63"/>
        <v>0</v>
      </c>
      <c r="BT32" t="b">
        <f t="shared" si="63"/>
        <v>0</v>
      </c>
      <c r="BU32" t="b">
        <f t="shared" si="63"/>
        <v>0</v>
      </c>
      <c r="BV32" t="b">
        <f t="shared" si="63"/>
        <v>0</v>
      </c>
      <c r="BW32" t="b">
        <f t="shared" si="63"/>
        <v>0</v>
      </c>
      <c r="BX32" t="b">
        <f t="shared" si="63"/>
        <v>0</v>
      </c>
      <c r="BY32" t="b">
        <f t="shared" si="63"/>
        <v>0</v>
      </c>
      <c r="BZ32" t="b">
        <f t="shared" ref="BZ32:CI41" si="64">IFERROR(_xlfn.XLOOKUP(_xlfn.CONCAT($Q32,"-",BZ$1),$H$2:$H$926,$I$2:$I$926),FALSE)</f>
        <v>0</v>
      </c>
      <c r="CA32" t="b">
        <f t="shared" si="64"/>
        <v>0</v>
      </c>
      <c r="CB32" t="b">
        <f t="shared" si="64"/>
        <v>0</v>
      </c>
      <c r="CC32" t="b">
        <f t="shared" si="64"/>
        <v>0</v>
      </c>
      <c r="CD32" t="b">
        <f t="shared" si="64"/>
        <v>0</v>
      </c>
      <c r="CE32" t="b">
        <f t="shared" si="64"/>
        <v>0</v>
      </c>
      <c r="CF32" t="b">
        <f t="shared" si="64"/>
        <v>0</v>
      </c>
      <c r="CG32" t="b">
        <f t="shared" si="64"/>
        <v>0</v>
      </c>
      <c r="CH32" t="b">
        <f t="shared" si="64"/>
        <v>0</v>
      </c>
      <c r="CI32" t="b">
        <f t="shared" si="64"/>
        <v>0</v>
      </c>
      <c r="CJ32" t="b">
        <f t="shared" ref="CJ32:CS41" si="65">IFERROR(_xlfn.XLOOKUP(_xlfn.CONCAT($Q32,"-",CJ$1),$H$2:$H$926,$I$2:$I$926),FALSE)</f>
        <v>0</v>
      </c>
      <c r="CK32" t="b">
        <f t="shared" si="65"/>
        <v>0</v>
      </c>
      <c r="CL32" t="b">
        <f t="shared" si="65"/>
        <v>0</v>
      </c>
      <c r="CM32" t="b">
        <f t="shared" si="65"/>
        <v>0</v>
      </c>
      <c r="CN32" t="b">
        <f t="shared" si="65"/>
        <v>0</v>
      </c>
      <c r="CO32" t="b">
        <f t="shared" si="65"/>
        <v>0</v>
      </c>
      <c r="CP32" t="b">
        <f t="shared" si="65"/>
        <v>0</v>
      </c>
      <c r="CQ32" t="b">
        <f t="shared" si="65"/>
        <v>0</v>
      </c>
      <c r="CR32" t="b">
        <f t="shared" si="65"/>
        <v>0</v>
      </c>
      <c r="CS32" t="b">
        <f t="shared" si="65"/>
        <v>0</v>
      </c>
      <c r="CT32" t="b">
        <f t="shared" ref="CT32:DC41" si="66">IFERROR(_xlfn.XLOOKUP(_xlfn.CONCAT($Q32,"-",CT$1),$H$2:$H$926,$I$2:$I$926),FALSE)</f>
        <v>0</v>
      </c>
      <c r="CU32" t="b">
        <f t="shared" si="66"/>
        <v>0</v>
      </c>
      <c r="CV32" t="b">
        <f t="shared" si="66"/>
        <v>0</v>
      </c>
      <c r="CW32" t="b">
        <f t="shared" si="66"/>
        <v>0</v>
      </c>
      <c r="CX32" t="b">
        <f t="shared" si="66"/>
        <v>0</v>
      </c>
      <c r="CY32" t="b">
        <f t="shared" si="66"/>
        <v>0</v>
      </c>
      <c r="CZ32" t="b">
        <f t="shared" si="66"/>
        <v>0</v>
      </c>
      <c r="DA32" t="b">
        <f t="shared" si="66"/>
        <v>0</v>
      </c>
      <c r="DB32" t="b">
        <f t="shared" si="66"/>
        <v>0</v>
      </c>
      <c r="DC32" t="b">
        <f t="shared" si="66"/>
        <v>0</v>
      </c>
      <c r="DD32" t="b">
        <f t="shared" ref="DD32:DM41" si="67">IFERROR(_xlfn.XLOOKUP(_xlfn.CONCAT($Q32,"-",DD$1),$H$2:$H$926,$I$2:$I$926),FALSE)</f>
        <v>0</v>
      </c>
      <c r="DE32" t="b">
        <f t="shared" si="67"/>
        <v>0</v>
      </c>
      <c r="DF32" t="b">
        <f t="shared" si="67"/>
        <v>0</v>
      </c>
      <c r="DG32" t="b">
        <f t="shared" si="67"/>
        <v>0</v>
      </c>
      <c r="DH32" t="b">
        <f t="shared" si="67"/>
        <v>0</v>
      </c>
      <c r="DI32" t="b">
        <f t="shared" si="67"/>
        <v>0</v>
      </c>
      <c r="DJ32" t="b">
        <f t="shared" si="67"/>
        <v>0</v>
      </c>
      <c r="DK32" t="b">
        <f t="shared" si="67"/>
        <v>0</v>
      </c>
      <c r="DL32" t="b">
        <f t="shared" si="67"/>
        <v>0</v>
      </c>
      <c r="DM32" t="b">
        <f t="shared" si="67"/>
        <v>0</v>
      </c>
      <c r="DN32" t="b">
        <f t="shared" ref="DN32:DW41" si="68">IFERROR(_xlfn.XLOOKUP(_xlfn.CONCAT($Q32,"-",DN$1),$H$2:$H$926,$I$2:$I$926),FALSE)</f>
        <v>0</v>
      </c>
      <c r="DO32" t="b">
        <f t="shared" si="68"/>
        <v>0</v>
      </c>
      <c r="DP32" t="b">
        <f t="shared" si="68"/>
        <v>0</v>
      </c>
      <c r="DQ32" t="b">
        <f t="shared" si="68"/>
        <v>0</v>
      </c>
      <c r="DR32" t="b">
        <f t="shared" si="68"/>
        <v>0</v>
      </c>
      <c r="DS32" t="b">
        <f t="shared" si="68"/>
        <v>0</v>
      </c>
      <c r="DT32" t="b">
        <f t="shared" si="68"/>
        <v>0</v>
      </c>
      <c r="DU32" t="b">
        <f t="shared" si="68"/>
        <v>0</v>
      </c>
      <c r="DV32" t="b">
        <f t="shared" si="68"/>
        <v>0</v>
      </c>
      <c r="DW32" t="b">
        <f t="shared" si="68"/>
        <v>0</v>
      </c>
      <c r="DX32" t="b">
        <f t="shared" ref="DX32:EG41" si="69">IFERROR(_xlfn.XLOOKUP(_xlfn.CONCAT($Q32,"-",DX$1),$H$2:$H$926,$I$2:$I$926),FALSE)</f>
        <v>0</v>
      </c>
      <c r="DY32" t="b">
        <f t="shared" si="69"/>
        <v>0</v>
      </c>
      <c r="DZ32" t="b">
        <f t="shared" si="69"/>
        <v>0</v>
      </c>
      <c r="EA32" t="b">
        <f t="shared" si="69"/>
        <v>0</v>
      </c>
      <c r="EB32" t="b">
        <f t="shared" si="69"/>
        <v>0</v>
      </c>
      <c r="EC32" t="b">
        <f t="shared" si="69"/>
        <v>0</v>
      </c>
      <c r="ED32" t="b">
        <f t="shared" si="69"/>
        <v>0</v>
      </c>
      <c r="EE32" t="b">
        <f t="shared" si="69"/>
        <v>0</v>
      </c>
      <c r="EF32" t="b">
        <f t="shared" si="69"/>
        <v>0</v>
      </c>
      <c r="EG32" t="b">
        <f t="shared" si="69"/>
        <v>0</v>
      </c>
      <c r="EH32" t="b">
        <f t="shared" ref="EH32:EQ41" si="70">IFERROR(_xlfn.XLOOKUP(_xlfn.CONCAT($Q32,"-",EH$1),$H$2:$H$926,$I$2:$I$926),FALSE)</f>
        <v>0</v>
      </c>
      <c r="EI32" t="b">
        <f t="shared" si="70"/>
        <v>0</v>
      </c>
      <c r="EJ32" t="b">
        <f t="shared" si="70"/>
        <v>0</v>
      </c>
      <c r="EK32" t="b">
        <f t="shared" si="70"/>
        <v>0</v>
      </c>
      <c r="EL32" t="b">
        <f t="shared" si="70"/>
        <v>0</v>
      </c>
      <c r="EM32" t="b">
        <f t="shared" si="70"/>
        <v>0</v>
      </c>
      <c r="EN32" t="b">
        <f t="shared" si="70"/>
        <v>0</v>
      </c>
      <c r="EO32" t="b">
        <f t="shared" si="70"/>
        <v>0</v>
      </c>
      <c r="EP32" t="b">
        <f t="shared" si="70"/>
        <v>0</v>
      </c>
      <c r="EQ32" t="b">
        <f t="shared" si="70"/>
        <v>0</v>
      </c>
      <c r="ER32" t="b">
        <f t="shared" ref="ER32:FA41" si="71">IFERROR(_xlfn.XLOOKUP(_xlfn.CONCAT($Q32,"-",ER$1),$H$2:$H$926,$I$2:$I$926),FALSE)</f>
        <v>0</v>
      </c>
      <c r="ES32" t="b">
        <f t="shared" si="71"/>
        <v>0</v>
      </c>
      <c r="ET32" t="b">
        <f t="shared" si="71"/>
        <v>0</v>
      </c>
      <c r="EU32" t="b">
        <f t="shared" si="71"/>
        <v>0</v>
      </c>
      <c r="EV32" t="b">
        <f t="shared" si="71"/>
        <v>0</v>
      </c>
      <c r="EW32" t="b">
        <f t="shared" si="71"/>
        <v>0</v>
      </c>
      <c r="EX32" t="b">
        <f t="shared" si="71"/>
        <v>0</v>
      </c>
      <c r="EY32" t="b">
        <f t="shared" si="71"/>
        <v>0</v>
      </c>
      <c r="EZ32" t="b">
        <f t="shared" si="71"/>
        <v>0</v>
      </c>
      <c r="FA32" t="b">
        <f t="shared" si="71"/>
        <v>0</v>
      </c>
      <c r="FB32" t="b">
        <f t="shared" ref="FB32:FK41" si="72">IFERROR(_xlfn.XLOOKUP(_xlfn.CONCAT($Q32,"-",FB$1),$H$2:$H$926,$I$2:$I$926),FALSE)</f>
        <v>0</v>
      </c>
      <c r="FC32" t="b">
        <f t="shared" si="72"/>
        <v>0</v>
      </c>
      <c r="FD32" t="b">
        <f t="shared" si="72"/>
        <v>0</v>
      </c>
      <c r="FE32" t="b">
        <f t="shared" si="72"/>
        <v>0</v>
      </c>
      <c r="FF32" t="b">
        <f t="shared" si="72"/>
        <v>0</v>
      </c>
      <c r="FG32" t="b">
        <f t="shared" si="72"/>
        <v>0</v>
      </c>
      <c r="FH32" t="b">
        <f t="shared" si="72"/>
        <v>0</v>
      </c>
      <c r="FI32" t="b">
        <f t="shared" si="72"/>
        <v>0</v>
      </c>
      <c r="FJ32" t="b">
        <f t="shared" si="72"/>
        <v>0</v>
      </c>
      <c r="FK32" t="b">
        <f t="shared" si="72"/>
        <v>0</v>
      </c>
      <c r="FL32" t="b">
        <f t="shared" ref="FL32:FU41" si="73">IFERROR(_xlfn.XLOOKUP(_xlfn.CONCAT($Q32,"-",FL$1),$H$2:$H$926,$I$2:$I$926),FALSE)</f>
        <v>0</v>
      </c>
      <c r="FM32" t="b">
        <f t="shared" si="73"/>
        <v>0</v>
      </c>
      <c r="FN32" t="b">
        <f t="shared" si="73"/>
        <v>0</v>
      </c>
      <c r="FO32" t="b">
        <f t="shared" si="73"/>
        <v>0</v>
      </c>
      <c r="FP32" t="b">
        <f t="shared" si="73"/>
        <v>0</v>
      </c>
      <c r="FQ32" t="b">
        <f t="shared" si="73"/>
        <v>0</v>
      </c>
      <c r="FR32" t="b">
        <f t="shared" si="73"/>
        <v>0</v>
      </c>
      <c r="FS32" t="b">
        <f t="shared" si="73"/>
        <v>0</v>
      </c>
      <c r="FT32" t="b">
        <f t="shared" si="73"/>
        <v>0</v>
      </c>
      <c r="FU32" t="b">
        <f t="shared" si="73"/>
        <v>0</v>
      </c>
      <c r="FV32" t="b">
        <f t="shared" ref="FV32:GE41" si="74">IFERROR(_xlfn.XLOOKUP(_xlfn.CONCAT($Q32,"-",FV$1),$H$2:$H$926,$I$2:$I$926),FALSE)</f>
        <v>0</v>
      </c>
      <c r="FW32" t="b">
        <f t="shared" si="74"/>
        <v>0</v>
      </c>
      <c r="FX32" t="b">
        <f t="shared" si="74"/>
        <v>0</v>
      </c>
      <c r="FY32" t="b">
        <f t="shared" si="74"/>
        <v>0</v>
      </c>
      <c r="FZ32" t="b">
        <f t="shared" si="74"/>
        <v>0</v>
      </c>
      <c r="GA32" t="b">
        <f t="shared" si="74"/>
        <v>0</v>
      </c>
      <c r="GB32" t="b">
        <f t="shared" si="74"/>
        <v>0</v>
      </c>
      <c r="GC32" t="b">
        <f t="shared" si="74"/>
        <v>0</v>
      </c>
      <c r="GD32" t="b">
        <f t="shared" si="74"/>
        <v>0</v>
      </c>
      <c r="GE32" t="b">
        <f t="shared" si="74"/>
        <v>0</v>
      </c>
      <c r="GF32" t="b">
        <f t="shared" ref="GF32:GO41" si="75">IFERROR(_xlfn.XLOOKUP(_xlfn.CONCAT($Q32,"-",GF$1),$H$2:$H$926,$I$2:$I$926),FALSE)</f>
        <v>0</v>
      </c>
      <c r="GG32" t="b">
        <f t="shared" si="75"/>
        <v>0</v>
      </c>
      <c r="GH32" t="b">
        <f t="shared" si="75"/>
        <v>0</v>
      </c>
      <c r="GI32" t="b">
        <f t="shared" si="75"/>
        <v>0</v>
      </c>
      <c r="GJ32" t="b">
        <f t="shared" si="75"/>
        <v>1</v>
      </c>
      <c r="GK32" t="b">
        <f t="shared" si="75"/>
        <v>0</v>
      </c>
      <c r="GL32" t="b">
        <f t="shared" si="75"/>
        <v>0</v>
      </c>
      <c r="GM32" t="b">
        <f t="shared" si="75"/>
        <v>0</v>
      </c>
      <c r="GN32" t="b">
        <f t="shared" si="75"/>
        <v>0</v>
      </c>
      <c r="GO32" t="b">
        <f t="shared" si="75"/>
        <v>0</v>
      </c>
      <c r="GP32" t="b">
        <f t="shared" ref="GP32:GZ41" si="76">IFERROR(_xlfn.XLOOKUP(_xlfn.CONCAT($Q32,"-",GP$1),$H$2:$H$926,$I$2:$I$926),FALSE)</f>
        <v>0</v>
      </c>
      <c r="GQ32" t="b">
        <f t="shared" si="76"/>
        <v>0</v>
      </c>
      <c r="GR32" t="b">
        <f t="shared" si="76"/>
        <v>0</v>
      </c>
      <c r="GS32" t="b">
        <f t="shared" si="76"/>
        <v>0</v>
      </c>
      <c r="GT32" t="b">
        <f t="shared" si="76"/>
        <v>0</v>
      </c>
      <c r="GU32" t="b">
        <f t="shared" si="76"/>
        <v>0</v>
      </c>
      <c r="GV32" t="b">
        <f t="shared" si="76"/>
        <v>0</v>
      </c>
      <c r="GW32" t="b">
        <f t="shared" si="76"/>
        <v>0</v>
      </c>
      <c r="GX32" t="b">
        <f t="shared" si="76"/>
        <v>0</v>
      </c>
      <c r="GY32" t="b">
        <f t="shared" si="76"/>
        <v>0</v>
      </c>
      <c r="GZ32" t="b">
        <f t="shared" si="76"/>
        <v>0</v>
      </c>
    </row>
    <row r="33" spans="1:208" hidden="1" x14ac:dyDescent="0.3">
      <c r="A33" t="s">
        <v>536</v>
      </c>
      <c r="B33" t="s">
        <v>544</v>
      </c>
      <c r="C33" t="s">
        <v>546</v>
      </c>
      <c r="D33" s="3">
        <v>30</v>
      </c>
      <c r="E33" s="3">
        <v>8</v>
      </c>
      <c r="F33" s="3">
        <v>32</v>
      </c>
      <c r="G33" s="3">
        <v>170</v>
      </c>
      <c r="H33" t="str">
        <f t="shared" si="19"/>
        <v>30-8</v>
      </c>
      <c r="I33" t="b">
        <v>1</v>
      </c>
      <c r="Q33" s="6">
        <v>33</v>
      </c>
      <c r="R33" t="b">
        <f t="shared" si="58"/>
        <v>0</v>
      </c>
      <c r="S33" t="b">
        <f t="shared" si="58"/>
        <v>0</v>
      </c>
      <c r="T33" t="b">
        <f t="shared" si="58"/>
        <v>0</v>
      </c>
      <c r="U33" t="b">
        <f t="shared" si="58"/>
        <v>0</v>
      </c>
      <c r="V33" t="b">
        <f t="shared" si="58"/>
        <v>0</v>
      </c>
      <c r="W33" t="b">
        <f t="shared" si="58"/>
        <v>0</v>
      </c>
      <c r="X33" t="b">
        <f t="shared" si="58"/>
        <v>0</v>
      </c>
      <c r="Y33" t="b">
        <f t="shared" si="58"/>
        <v>0</v>
      </c>
      <c r="Z33" t="b">
        <f t="shared" si="58"/>
        <v>0</v>
      </c>
      <c r="AA33" t="b">
        <f t="shared" si="58"/>
        <v>0</v>
      </c>
      <c r="AB33" t="b">
        <f t="shared" si="59"/>
        <v>0</v>
      </c>
      <c r="AC33" t="b">
        <f t="shared" si="59"/>
        <v>0</v>
      </c>
      <c r="AD33" t="b">
        <f t="shared" si="59"/>
        <v>0</v>
      </c>
      <c r="AE33" t="b">
        <f t="shared" si="59"/>
        <v>0</v>
      </c>
      <c r="AF33" t="b">
        <f t="shared" si="59"/>
        <v>0</v>
      </c>
      <c r="AG33" t="b">
        <f t="shared" si="59"/>
        <v>0</v>
      </c>
      <c r="AH33" t="b">
        <f t="shared" si="59"/>
        <v>0</v>
      </c>
      <c r="AI33" t="b">
        <f t="shared" si="59"/>
        <v>0</v>
      </c>
      <c r="AJ33" t="b">
        <f t="shared" si="59"/>
        <v>0</v>
      </c>
      <c r="AK33" t="b">
        <f t="shared" si="59"/>
        <v>0</v>
      </c>
      <c r="AL33" t="b">
        <f t="shared" si="60"/>
        <v>0</v>
      </c>
      <c r="AM33" t="b">
        <f t="shared" si="60"/>
        <v>0</v>
      </c>
      <c r="AN33" t="b">
        <f t="shared" si="60"/>
        <v>0</v>
      </c>
      <c r="AO33" t="b">
        <f t="shared" si="60"/>
        <v>0</v>
      </c>
      <c r="AP33" t="b">
        <f t="shared" si="60"/>
        <v>0</v>
      </c>
      <c r="AQ33" t="b">
        <f t="shared" si="60"/>
        <v>0</v>
      </c>
      <c r="AR33" t="b">
        <f t="shared" si="60"/>
        <v>0</v>
      </c>
      <c r="AS33" t="b">
        <f t="shared" si="60"/>
        <v>1</v>
      </c>
      <c r="AT33" t="b">
        <f t="shared" si="60"/>
        <v>0</v>
      </c>
      <c r="AU33" t="b">
        <f t="shared" si="60"/>
        <v>0</v>
      </c>
      <c r="AV33" t="b">
        <f t="shared" si="61"/>
        <v>0</v>
      </c>
      <c r="AW33" t="b">
        <f t="shared" si="61"/>
        <v>0</v>
      </c>
      <c r="AX33" t="b">
        <f t="shared" si="61"/>
        <v>0</v>
      </c>
      <c r="AY33" t="b">
        <f t="shared" si="61"/>
        <v>0</v>
      </c>
      <c r="AZ33" t="b">
        <f t="shared" si="61"/>
        <v>0</v>
      </c>
      <c r="BA33" t="b">
        <f t="shared" si="61"/>
        <v>0</v>
      </c>
      <c r="BB33" t="b">
        <f t="shared" si="61"/>
        <v>0</v>
      </c>
      <c r="BC33" t="b">
        <f t="shared" si="61"/>
        <v>0</v>
      </c>
      <c r="BD33" t="b">
        <f t="shared" si="61"/>
        <v>0</v>
      </c>
      <c r="BE33" t="b">
        <f t="shared" si="61"/>
        <v>0</v>
      </c>
      <c r="BF33" t="b">
        <f t="shared" si="62"/>
        <v>0</v>
      </c>
      <c r="BG33" t="b">
        <f t="shared" si="62"/>
        <v>0</v>
      </c>
      <c r="BH33" t="b">
        <f t="shared" si="62"/>
        <v>0</v>
      </c>
      <c r="BI33" t="b">
        <f t="shared" si="62"/>
        <v>0</v>
      </c>
      <c r="BJ33" t="b">
        <f t="shared" si="62"/>
        <v>0</v>
      </c>
      <c r="BK33" t="b">
        <f t="shared" si="62"/>
        <v>0</v>
      </c>
      <c r="BL33" t="b">
        <f t="shared" si="62"/>
        <v>0</v>
      </c>
      <c r="BM33" t="b">
        <f t="shared" si="62"/>
        <v>0</v>
      </c>
      <c r="BN33" t="b">
        <f t="shared" si="62"/>
        <v>0</v>
      </c>
      <c r="BO33" t="b">
        <f t="shared" si="62"/>
        <v>0</v>
      </c>
      <c r="BP33" t="b">
        <f t="shared" si="63"/>
        <v>0</v>
      </c>
      <c r="BQ33" t="b">
        <f t="shared" si="63"/>
        <v>0</v>
      </c>
      <c r="BR33" t="b">
        <f t="shared" si="63"/>
        <v>0</v>
      </c>
      <c r="BS33" t="b">
        <f t="shared" si="63"/>
        <v>0</v>
      </c>
      <c r="BT33" t="b">
        <f t="shared" si="63"/>
        <v>0</v>
      </c>
      <c r="BU33" t="b">
        <f t="shared" si="63"/>
        <v>0</v>
      </c>
      <c r="BV33" t="b">
        <f t="shared" si="63"/>
        <v>0</v>
      </c>
      <c r="BW33" t="b">
        <f t="shared" si="63"/>
        <v>0</v>
      </c>
      <c r="BX33" t="b">
        <f t="shared" si="63"/>
        <v>0</v>
      </c>
      <c r="BY33" t="b">
        <f t="shared" si="63"/>
        <v>0</v>
      </c>
      <c r="BZ33" t="b">
        <f t="shared" si="64"/>
        <v>0</v>
      </c>
      <c r="CA33" t="b">
        <f t="shared" si="64"/>
        <v>0</v>
      </c>
      <c r="CB33" t="b">
        <f t="shared" si="64"/>
        <v>0</v>
      </c>
      <c r="CC33" t="b">
        <f t="shared" si="64"/>
        <v>0</v>
      </c>
      <c r="CD33" t="b">
        <f t="shared" si="64"/>
        <v>0</v>
      </c>
      <c r="CE33" t="b">
        <f t="shared" si="64"/>
        <v>0</v>
      </c>
      <c r="CF33" t="b">
        <f t="shared" si="64"/>
        <v>0</v>
      </c>
      <c r="CG33" t="b">
        <f t="shared" si="64"/>
        <v>0</v>
      </c>
      <c r="CH33" t="b">
        <f t="shared" si="64"/>
        <v>0</v>
      </c>
      <c r="CI33" t="b">
        <f t="shared" si="64"/>
        <v>0</v>
      </c>
      <c r="CJ33" t="b">
        <f t="shared" si="65"/>
        <v>0</v>
      </c>
      <c r="CK33" t="b">
        <f t="shared" si="65"/>
        <v>0</v>
      </c>
      <c r="CL33" t="b">
        <f t="shared" si="65"/>
        <v>0</v>
      </c>
      <c r="CM33" t="b">
        <f t="shared" si="65"/>
        <v>0</v>
      </c>
      <c r="CN33" t="b">
        <f t="shared" si="65"/>
        <v>0</v>
      </c>
      <c r="CO33" t="b">
        <f t="shared" si="65"/>
        <v>0</v>
      </c>
      <c r="CP33" t="b">
        <f t="shared" si="65"/>
        <v>0</v>
      </c>
      <c r="CQ33" t="b">
        <f t="shared" si="65"/>
        <v>0</v>
      </c>
      <c r="CR33" t="b">
        <f t="shared" si="65"/>
        <v>0</v>
      </c>
      <c r="CS33" t="b">
        <f t="shared" si="65"/>
        <v>0</v>
      </c>
      <c r="CT33" t="b">
        <f t="shared" si="66"/>
        <v>0</v>
      </c>
      <c r="CU33" t="b">
        <f t="shared" si="66"/>
        <v>0</v>
      </c>
      <c r="CV33" t="b">
        <f t="shared" si="66"/>
        <v>0</v>
      </c>
      <c r="CW33" t="b">
        <f t="shared" si="66"/>
        <v>0</v>
      </c>
      <c r="CX33" t="b">
        <f t="shared" si="66"/>
        <v>0</v>
      </c>
      <c r="CY33" t="b">
        <f t="shared" si="66"/>
        <v>0</v>
      </c>
      <c r="CZ33" t="b">
        <f t="shared" si="66"/>
        <v>0</v>
      </c>
      <c r="DA33" t="b">
        <f t="shared" si="66"/>
        <v>0</v>
      </c>
      <c r="DB33" t="b">
        <f t="shared" si="66"/>
        <v>0</v>
      </c>
      <c r="DC33" t="b">
        <f t="shared" si="66"/>
        <v>0</v>
      </c>
      <c r="DD33" t="b">
        <f t="shared" si="67"/>
        <v>0</v>
      </c>
      <c r="DE33" t="b">
        <f t="shared" si="67"/>
        <v>0</v>
      </c>
      <c r="DF33" t="b">
        <f t="shared" si="67"/>
        <v>0</v>
      </c>
      <c r="DG33" t="b">
        <f t="shared" si="67"/>
        <v>0</v>
      </c>
      <c r="DH33" t="b">
        <f t="shared" si="67"/>
        <v>0</v>
      </c>
      <c r="DI33" t="b">
        <f t="shared" si="67"/>
        <v>0</v>
      </c>
      <c r="DJ33" t="b">
        <f t="shared" si="67"/>
        <v>0</v>
      </c>
      <c r="DK33" t="b">
        <f t="shared" si="67"/>
        <v>0</v>
      </c>
      <c r="DL33" t="b">
        <f t="shared" si="67"/>
        <v>0</v>
      </c>
      <c r="DM33" t="b">
        <f t="shared" si="67"/>
        <v>0</v>
      </c>
      <c r="DN33" t="b">
        <f t="shared" si="68"/>
        <v>0</v>
      </c>
      <c r="DO33" t="b">
        <f t="shared" si="68"/>
        <v>0</v>
      </c>
      <c r="DP33" t="b">
        <f t="shared" si="68"/>
        <v>0</v>
      </c>
      <c r="DQ33" t="b">
        <f t="shared" si="68"/>
        <v>0</v>
      </c>
      <c r="DR33" t="b">
        <f t="shared" si="68"/>
        <v>0</v>
      </c>
      <c r="DS33" t="b">
        <f t="shared" si="68"/>
        <v>0</v>
      </c>
      <c r="DT33" t="b">
        <f t="shared" si="68"/>
        <v>0</v>
      </c>
      <c r="DU33" t="b">
        <f t="shared" si="68"/>
        <v>0</v>
      </c>
      <c r="DV33" t="b">
        <f t="shared" si="68"/>
        <v>0</v>
      </c>
      <c r="DW33" t="b">
        <f t="shared" si="68"/>
        <v>0</v>
      </c>
      <c r="DX33" t="b">
        <f t="shared" si="69"/>
        <v>0</v>
      </c>
      <c r="DY33" t="b">
        <f t="shared" si="69"/>
        <v>0</v>
      </c>
      <c r="DZ33" t="b">
        <f t="shared" si="69"/>
        <v>0</v>
      </c>
      <c r="EA33" t="b">
        <f t="shared" si="69"/>
        <v>0</v>
      </c>
      <c r="EB33" t="b">
        <f t="shared" si="69"/>
        <v>0</v>
      </c>
      <c r="EC33" t="b">
        <f t="shared" si="69"/>
        <v>0</v>
      </c>
      <c r="ED33" t="b">
        <f t="shared" si="69"/>
        <v>0</v>
      </c>
      <c r="EE33" t="b">
        <f t="shared" si="69"/>
        <v>0</v>
      </c>
      <c r="EF33" t="b">
        <f t="shared" si="69"/>
        <v>0</v>
      </c>
      <c r="EG33" t="b">
        <f t="shared" si="69"/>
        <v>0</v>
      </c>
      <c r="EH33" t="b">
        <f t="shared" si="70"/>
        <v>0</v>
      </c>
      <c r="EI33" t="b">
        <f t="shared" si="70"/>
        <v>0</v>
      </c>
      <c r="EJ33" t="b">
        <f t="shared" si="70"/>
        <v>0</v>
      </c>
      <c r="EK33" t="b">
        <f t="shared" si="70"/>
        <v>0</v>
      </c>
      <c r="EL33" t="b">
        <f t="shared" si="70"/>
        <v>0</v>
      </c>
      <c r="EM33" t="b">
        <f t="shared" si="70"/>
        <v>0</v>
      </c>
      <c r="EN33" t="b">
        <f t="shared" si="70"/>
        <v>0</v>
      </c>
      <c r="EO33" t="b">
        <f t="shared" si="70"/>
        <v>0</v>
      </c>
      <c r="EP33" t="b">
        <f t="shared" si="70"/>
        <v>0</v>
      </c>
      <c r="EQ33" t="b">
        <f t="shared" si="70"/>
        <v>0</v>
      </c>
      <c r="ER33" t="b">
        <f t="shared" si="71"/>
        <v>0</v>
      </c>
      <c r="ES33" t="b">
        <f t="shared" si="71"/>
        <v>0</v>
      </c>
      <c r="ET33" t="b">
        <f t="shared" si="71"/>
        <v>0</v>
      </c>
      <c r="EU33" t="b">
        <f t="shared" si="71"/>
        <v>0</v>
      </c>
      <c r="EV33" t="b">
        <f t="shared" si="71"/>
        <v>0</v>
      </c>
      <c r="EW33" t="b">
        <f t="shared" si="71"/>
        <v>0</v>
      </c>
      <c r="EX33" t="b">
        <f t="shared" si="71"/>
        <v>0</v>
      </c>
      <c r="EY33" t="b">
        <f t="shared" si="71"/>
        <v>0</v>
      </c>
      <c r="EZ33" t="b">
        <f t="shared" si="71"/>
        <v>0</v>
      </c>
      <c r="FA33" t="b">
        <f t="shared" si="71"/>
        <v>0</v>
      </c>
      <c r="FB33" t="b">
        <f t="shared" si="72"/>
        <v>0</v>
      </c>
      <c r="FC33" t="b">
        <f t="shared" si="72"/>
        <v>0</v>
      </c>
      <c r="FD33" t="b">
        <f t="shared" si="72"/>
        <v>0</v>
      </c>
      <c r="FE33" t="b">
        <f t="shared" si="72"/>
        <v>0</v>
      </c>
      <c r="FF33" t="b">
        <f t="shared" si="72"/>
        <v>0</v>
      </c>
      <c r="FG33" t="b">
        <f t="shared" si="72"/>
        <v>0</v>
      </c>
      <c r="FH33" t="b">
        <f t="shared" si="72"/>
        <v>0</v>
      </c>
      <c r="FI33" t="b">
        <f t="shared" si="72"/>
        <v>0</v>
      </c>
      <c r="FJ33" t="b">
        <f t="shared" si="72"/>
        <v>0</v>
      </c>
      <c r="FK33" t="b">
        <f t="shared" si="72"/>
        <v>0</v>
      </c>
      <c r="FL33" t="b">
        <f t="shared" si="73"/>
        <v>0</v>
      </c>
      <c r="FM33" t="b">
        <f t="shared" si="73"/>
        <v>0</v>
      </c>
      <c r="FN33" t="b">
        <f t="shared" si="73"/>
        <v>0</v>
      </c>
      <c r="FO33" t="b">
        <f t="shared" si="73"/>
        <v>0</v>
      </c>
      <c r="FP33" t="b">
        <f t="shared" si="73"/>
        <v>0</v>
      </c>
      <c r="FQ33" t="b">
        <f t="shared" si="73"/>
        <v>0</v>
      </c>
      <c r="FR33" t="b">
        <f t="shared" si="73"/>
        <v>0</v>
      </c>
      <c r="FS33" t="b">
        <f t="shared" si="73"/>
        <v>0</v>
      </c>
      <c r="FT33" t="b">
        <f t="shared" si="73"/>
        <v>0</v>
      </c>
      <c r="FU33" t="b">
        <f t="shared" si="73"/>
        <v>0</v>
      </c>
      <c r="FV33" t="b">
        <f t="shared" si="74"/>
        <v>0</v>
      </c>
      <c r="FW33" t="b">
        <f t="shared" si="74"/>
        <v>0</v>
      </c>
      <c r="FX33" t="b">
        <f t="shared" si="74"/>
        <v>0</v>
      </c>
      <c r="FY33" t="b">
        <f t="shared" si="74"/>
        <v>0</v>
      </c>
      <c r="FZ33" t="b">
        <f t="shared" si="74"/>
        <v>0</v>
      </c>
      <c r="GA33" t="b">
        <f t="shared" si="74"/>
        <v>0</v>
      </c>
      <c r="GB33" t="b">
        <f t="shared" si="74"/>
        <v>0</v>
      </c>
      <c r="GC33" t="b">
        <f t="shared" si="74"/>
        <v>0</v>
      </c>
      <c r="GD33" t="b">
        <f t="shared" si="74"/>
        <v>0</v>
      </c>
      <c r="GE33" t="b">
        <f t="shared" si="74"/>
        <v>0</v>
      </c>
      <c r="GF33" t="b">
        <f t="shared" si="75"/>
        <v>0</v>
      </c>
      <c r="GG33" t="b">
        <f t="shared" si="75"/>
        <v>0</v>
      </c>
      <c r="GH33" t="b">
        <f t="shared" si="75"/>
        <v>0</v>
      </c>
      <c r="GI33" t="b">
        <f t="shared" si="75"/>
        <v>0</v>
      </c>
      <c r="GJ33" t="b">
        <f t="shared" si="75"/>
        <v>0</v>
      </c>
      <c r="GK33" t="b">
        <f t="shared" si="75"/>
        <v>0</v>
      </c>
      <c r="GL33" t="b">
        <f t="shared" si="75"/>
        <v>0</v>
      </c>
      <c r="GM33" t="b">
        <f t="shared" si="75"/>
        <v>0</v>
      </c>
      <c r="GN33" t="b">
        <f t="shared" si="75"/>
        <v>0</v>
      </c>
      <c r="GO33" t="b">
        <f t="shared" si="75"/>
        <v>0</v>
      </c>
      <c r="GP33" t="b">
        <f t="shared" si="76"/>
        <v>0</v>
      </c>
      <c r="GQ33" t="b">
        <f t="shared" si="76"/>
        <v>0</v>
      </c>
      <c r="GR33" t="b">
        <f t="shared" si="76"/>
        <v>0</v>
      </c>
      <c r="GS33" t="b">
        <f t="shared" si="76"/>
        <v>0</v>
      </c>
      <c r="GT33" t="b">
        <f t="shared" si="76"/>
        <v>0</v>
      </c>
      <c r="GU33" t="b">
        <f t="shared" si="76"/>
        <v>0</v>
      </c>
      <c r="GV33" t="b">
        <f t="shared" si="76"/>
        <v>0</v>
      </c>
      <c r="GW33" t="b">
        <f t="shared" si="76"/>
        <v>0</v>
      </c>
      <c r="GX33" t="b">
        <f t="shared" si="76"/>
        <v>0</v>
      </c>
      <c r="GY33" t="b">
        <f t="shared" si="76"/>
        <v>0</v>
      </c>
      <c r="GZ33" t="b">
        <f t="shared" si="76"/>
        <v>0</v>
      </c>
    </row>
    <row r="34" spans="1:208" hidden="1" x14ac:dyDescent="0.3">
      <c r="A34" t="s">
        <v>536</v>
      </c>
      <c r="B34" t="s">
        <v>544</v>
      </c>
      <c r="C34" t="s">
        <v>60</v>
      </c>
      <c r="D34" s="3">
        <v>30</v>
      </c>
      <c r="E34" s="3">
        <v>8</v>
      </c>
      <c r="F34" s="3">
        <v>33</v>
      </c>
      <c r="G34" s="3">
        <v>40</v>
      </c>
      <c r="H34" t="str">
        <f t="shared" si="19"/>
        <v>30-8</v>
      </c>
      <c r="I34" t="b">
        <v>1</v>
      </c>
      <c r="Q34" s="6">
        <v>34</v>
      </c>
      <c r="R34" t="b">
        <f t="shared" si="58"/>
        <v>0</v>
      </c>
      <c r="S34" t="b">
        <f t="shared" si="58"/>
        <v>0</v>
      </c>
      <c r="T34" t="b">
        <f t="shared" si="58"/>
        <v>0</v>
      </c>
      <c r="U34" t="b">
        <f t="shared" si="58"/>
        <v>0</v>
      </c>
      <c r="V34" t="b">
        <f t="shared" si="58"/>
        <v>0</v>
      </c>
      <c r="W34" t="b">
        <f t="shared" si="58"/>
        <v>0</v>
      </c>
      <c r="X34" t="b">
        <f t="shared" si="58"/>
        <v>0</v>
      </c>
      <c r="Y34" t="b">
        <f t="shared" si="58"/>
        <v>0</v>
      </c>
      <c r="Z34" t="b">
        <f t="shared" si="58"/>
        <v>0</v>
      </c>
      <c r="AA34" t="b">
        <f t="shared" si="58"/>
        <v>0</v>
      </c>
      <c r="AB34" t="b">
        <f t="shared" si="59"/>
        <v>0</v>
      </c>
      <c r="AC34" t="b">
        <f t="shared" si="59"/>
        <v>0</v>
      </c>
      <c r="AD34" t="b">
        <f t="shared" si="59"/>
        <v>0</v>
      </c>
      <c r="AE34" t="b">
        <f t="shared" si="59"/>
        <v>0</v>
      </c>
      <c r="AF34" t="b">
        <f t="shared" si="59"/>
        <v>0</v>
      </c>
      <c r="AG34" t="b">
        <f t="shared" si="59"/>
        <v>0</v>
      </c>
      <c r="AH34" t="b">
        <f t="shared" si="59"/>
        <v>0</v>
      </c>
      <c r="AI34" t="b">
        <f t="shared" si="59"/>
        <v>0</v>
      </c>
      <c r="AJ34" t="b">
        <f t="shared" si="59"/>
        <v>0</v>
      </c>
      <c r="AK34" t="b">
        <f t="shared" si="59"/>
        <v>0</v>
      </c>
      <c r="AL34" t="b">
        <f t="shared" si="60"/>
        <v>0</v>
      </c>
      <c r="AM34" t="b">
        <f t="shared" si="60"/>
        <v>0</v>
      </c>
      <c r="AN34" t="b">
        <f t="shared" si="60"/>
        <v>0</v>
      </c>
      <c r="AO34" t="b">
        <f t="shared" si="60"/>
        <v>0</v>
      </c>
      <c r="AP34" t="b">
        <f t="shared" si="60"/>
        <v>0</v>
      </c>
      <c r="AQ34" t="b">
        <f t="shared" si="60"/>
        <v>0</v>
      </c>
      <c r="AR34" t="b">
        <f t="shared" si="60"/>
        <v>0</v>
      </c>
      <c r="AS34" t="b">
        <f t="shared" si="60"/>
        <v>0</v>
      </c>
      <c r="AT34" t="b">
        <f t="shared" si="60"/>
        <v>0</v>
      </c>
      <c r="AU34" t="b">
        <f t="shared" si="60"/>
        <v>0</v>
      </c>
      <c r="AV34" t="b">
        <f t="shared" si="61"/>
        <v>0</v>
      </c>
      <c r="AW34" t="b">
        <f t="shared" si="61"/>
        <v>0</v>
      </c>
      <c r="AX34" t="b">
        <f t="shared" si="61"/>
        <v>0</v>
      </c>
      <c r="AY34" t="b">
        <f t="shared" si="61"/>
        <v>0</v>
      </c>
      <c r="AZ34" t="b">
        <f t="shared" si="61"/>
        <v>0</v>
      </c>
      <c r="BA34" t="b">
        <f t="shared" si="61"/>
        <v>0</v>
      </c>
      <c r="BB34" t="b">
        <f t="shared" si="61"/>
        <v>0</v>
      </c>
      <c r="BC34" t="b">
        <f t="shared" si="61"/>
        <v>0</v>
      </c>
      <c r="BD34" t="b">
        <f t="shared" si="61"/>
        <v>0</v>
      </c>
      <c r="BE34" t="b">
        <f t="shared" si="61"/>
        <v>0</v>
      </c>
      <c r="BF34" t="b">
        <f t="shared" si="62"/>
        <v>0</v>
      </c>
      <c r="BG34" t="b">
        <f t="shared" si="62"/>
        <v>0</v>
      </c>
      <c r="BH34" t="b">
        <f t="shared" si="62"/>
        <v>0</v>
      </c>
      <c r="BI34" t="b">
        <f t="shared" si="62"/>
        <v>0</v>
      </c>
      <c r="BJ34" t="b">
        <f t="shared" si="62"/>
        <v>0</v>
      </c>
      <c r="BK34" t="b">
        <f t="shared" si="62"/>
        <v>0</v>
      </c>
      <c r="BL34" t="b">
        <f t="shared" si="62"/>
        <v>0</v>
      </c>
      <c r="BM34" t="b">
        <f t="shared" si="62"/>
        <v>0</v>
      </c>
      <c r="BN34" t="b">
        <f t="shared" si="62"/>
        <v>0</v>
      </c>
      <c r="BO34" t="b">
        <f t="shared" si="62"/>
        <v>0</v>
      </c>
      <c r="BP34" t="b">
        <f t="shared" si="63"/>
        <v>0</v>
      </c>
      <c r="BQ34" t="b">
        <f t="shared" si="63"/>
        <v>0</v>
      </c>
      <c r="BR34" t="b">
        <f t="shared" si="63"/>
        <v>0</v>
      </c>
      <c r="BS34" t="b">
        <f t="shared" si="63"/>
        <v>0</v>
      </c>
      <c r="BT34" t="b">
        <f t="shared" si="63"/>
        <v>0</v>
      </c>
      <c r="BU34" t="b">
        <f t="shared" si="63"/>
        <v>0</v>
      </c>
      <c r="BV34" t="b">
        <f t="shared" si="63"/>
        <v>0</v>
      </c>
      <c r="BW34" t="b">
        <f t="shared" si="63"/>
        <v>0</v>
      </c>
      <c r="BX34" t="b">
        <f t="shared" si="63"/>
        <v>0</v>
      </c>
      <c r="BY34" t="b">
        <f t="shared" si="63"/>
        <v>0</v>
      </c>
      <c r="BZ34" t="b">
        <f t="shared" si="64"/>
        <v>0</v>
      </c>
      <c r="CA34" t="b">
        <f t="shared" si="64"/>
        <v>0</v>
      </c>
      <c r="CB34" t="b">
        <f t="shared" si="64"/>
        <v>0</v>
      </c>
      <c r="CC34" t="b">
        <f t="shared" si="64"/>
        <v>0</v>
      </c>
      <c r="CD34" t="b">
        <f t="shared" si="64"/>
        <v>0</v>
      </c>
      <c r="CE34" t="b">
        <f t="shared" si="64"/>
        <v>0</v>
      </c>
      <c r="CF34" t="b">
        <f t="shared" si="64"/>
        <v>0</v>
      </c>
      <c r="CG34" t="b">
        <f t="shared" si="64"/>
        <v>0</v>
      </c>
      <c r="CH34" t="b">
        <f t="shared" si="64"/>
        <v>0</v>
      </c>
      <c r="CI34" t="b">
        <f t="shared" si="64"/>
        <v>0</v>
      </c>
      <c r="CJ34" t="b">
        <f t="shared" si="65"/>
        <v>0</v>
      </c>
      <c r="CK34" t="b">
        <f t="shared" si="65"/>
        <v>0</v>
      </c>
      <c r="CL34" t="b">
        <f t="shared" si="65"/>
        <v>0</v>
      </c>
      <c r="CM34" t="b">
        <f t="shared" si="65"/>
        <v>0</v>
      </c>
      <c r="CN34" t="b">
        <f t="shared" si="65"/>
        <v>0</v>
      </c>
      <c r="CO34" t="b">
        <f t="shared" si="65"/>
        <v>0</v>
      </c>
      <c r="CP34" t="b">
        <f t="shared" si="65"/>
        <v>0</v>
      </c>
      <c r="CQ34" t="b">
        <f t="shared" si="65"/>
        <v>0</v>
      </c>
      <c r="CR34" t="b">
        <f t="shared" si="65"/>
        <v>0</v>
      </c>
      <c r="CS34" t="b">
        <f t="shared" si="65"/>
        <v>0</v>
      </c>
      <c r="CT34" t="b">
        <f t="shared" si="66"/>
        <v>0</v>
      </c>
      <c r="CU34" t="b">
        <f t="shared" si="66"/>
        <v>0</v>
      </c>
      <c r="CV34" t="b">
        <f t="shared" si="66"/>
        <v>0</v>
      </c>
      <c r="CW34" t="b">
        <f t="shared" si="66"/>
        <v>0</v>
      </c>
      <c r="CX34" t="b">
        <f t="shared" si="66"/>
        <v>0</v>
      </c>
      <c r="CY34" t="b">
        <f t="shared" si="66"/>
        <v>0</v>
      </c>
      <c r="CZ34" t="b">
        <f t="shared" si="66"/>
        <v>0</v>
      </c>
      <c r="DA34" t="b">
        <f t="shared" si="66"/>
        <v>0</v>
      </c>
      <c r="DB34" t="b">
        <f t="shared" si="66"/>
        <v>0</v>
      </c>
      <c r="DC34" t="b">
        <f t="shared" si="66"/>
        <v>0</v>
      </c>
      <c r="DD34" t="b">
        <f t="shared" si="67"/>
        <v>0</v>
      </c>
      <c r="DE34" t="b">
        <f t="shared" si="67"/>
        <v>0</v>
      </c>
      <c r="DF34" t="b">
        <f t="shared" si="67"/>
        <v>0</v>
      </c>
      <c r="DG34" t="b">
        <f t="shared" si="67"/>
        <v>0</v>
      </c>
      <c r="DH34" t="b">
        <f t="shared" si="67"/>
        <v>0</v>
      </c>
      <c r="DI34" t="b">
        <f t="shared" si="67"/>
        <v>0</v>
      </c>
      <c r="DJ34" t="b">
        <f t="shared" si="67"/>
        <v>0</v>
      </c>
      <c r="DK34" t="b">
        <f t="shared" si="67"/>
        <v>0</v>
      </c>
      <c r="DL34" t="b">
        <f t="shared" si="67"/>
        <v>0</v>
      </c>
      <c r="DM34" t="b">
        <f t="shared" si="67"/>
        <v>0</v>
      </c>
      <c r="DN34" t="b">
        <f t="shared" si="68"/>
        <v>0</v>
      </c>
      <c r="DO34" t="b">
        <f t="shared" si="68"/>
        <v>0</v>
      </c>
      <c r="DP34" t="b">
        <f t="shared" si="68"/>
        <v>0</v>
      </c>
      <c r="DQ34" t="b">
        <f t="shared" si="68"/>
        <v>0</v>
      </c>
      <c r="DR34" t="b">
        <f t="shared" si="68"/>
        <v>0</v>
      </c>
      <c r="DS34" t="b">
        <f t="shared" si="68"/>
        <v>0</v>
      </c>
      <c r="DT34" t="b">
        <f t="shared" si="68"/>
        <v>0</v>
      </c>
      <c r="DU34" t="b">
        <f t="shared" si="68"/>
        <v>0</v>
      </c>
      <c r="DV34" t="b">
        <f t="shared" si="68"/>
        <v>0</v>
      </c>
      <c r="DW34" t="b">
        <f t="shared" si="68"/>
        <v>0</v>
      </c>
      <c r="DX34" t="b">
        <f t="shared" si="69"/>
        <v>0</v>
      </c>
      <c r="DY34" t="b">
        <f t="shared" si="69"/>
        <v>0</v>
      </c>
      <c r="DZ34" t="b">
        <f t="shared" si="69"/>
        <v>0</v>
      </c>
      <c r="EA34" t="b">
        <f t="shared" si="69"/>
        <v>0</v>
      </c>
      <c r="EB34" t="b">
        <f t="shared" si="69"/>
        <v>0</v>
      </c>
      <c r="EC34" t="b">
        <f t="shared" si="69"/>
        <v>1</v>
      </c>
      <c r="ED34" t="b">
        <f t="shared" si="69"/>
        <v>0</v>
      </c>
      <c r="EE34" t="b">
        <f t="shared" si="69"/>
        <v>0</v>
      </c>
      <c r="EF34" t="b">
        <f t="shared" si="69"/>
        <v>0</v>
      </c>
      <c r="EG34" t="b">
        <f t="shared" si="69"/>
        <v>0</v>
      </c>
      <c r="EH34" t="b">
        <f t="shared" si="70"/>
        <v>0</v>
      </c>
      <c r="EI34" t="b">
        <f t="shared" si="70"/>
        <v>0</v>
      </c>
      <c r="EJ34" t="b">
        <f t="shared" si="70"/>
        <v>0</v>
      </c>
      <c r="EK34" t="b">
        <f t="shared" si="70"/>
        <v>0</v>
      </c>
      <c r="EL34" t="b">
        <f t="shared" si="70"/>
        <v>0</v>
      </c>
      <c r="EM34" t="b">
        <f t="shared" si="70"/>
        <v>0</v>
      </c>
      <c r="EN34" t="b">
        <f t="shared" si="70"/>
        <v>0</v>
      </c>
      <c r="EO34" t="b">
        <f t="shared" si="70"/>
        <v>0</v>
      </c>
      <c r="EP34" t="b">
        <f t="shared" si="70"/>
        <v>0</v>
      </c>
      <c r="EQ34" t="b">
        <f t="shared" si="70"/>
        <v>0</v>
      </c>
      <c r="ER34" t="b">
        <f t="shared" si="71"/>
        <v>0</v>
      </c>
      <c r="ES34" t="b">
        <f t="shared" si="71"/>
        <v>0</v>
      </c>
      <c r="ET34" t="b">
        <f t="shared" si="71"/>
        <v>0</v>
      </c>
      <c r="EU34" t="b">
        <f t="shared" si="71"/>
        <v>0</v>
      </c>
      <c r="EV34" t="b">
        <f t="shared" si="71"/>
        <v>0</v>
      </c>
      <c r="EW34" t="b">
        <f t="shared" si="71"/>
        <v>0</v>
      </c>
      <c r="EX34" t="b">
        <f t="shared" si="71"/>
        <v>0</v>
      </c>
      <c r="EY34" t="b">
        <f t="shared" si="71"/>
        <v>0</v>
      </c>
      <c r="EZ34" t="b">
        <f t="shared" si="71"/>
        <v>0</v>
      </c>
      <c r="FA34" t="b">
        <f t="shared" si="71"/>
        <v>0</v>
      </c>
      <c r="FB34" t="b">
        <f t="shared" si="72"/>
        <v>0</v>
      </c>
      <c r="FC34" t="b">
        <f t="shared" si="72"/>
        <v>0</v>
      </c>
      <c r="FD34" t="b">
        <f t="shared" si="72"/>
        <v>0</v>
      </c>
      <c r="FE34" t="b">
        <f t="shared" si="72"/>
        <v>0</v>
      </c>
      <c r="FF34" t="b">
        <f t="shared" si="72"/>
        <v>0</v>
      </c>
      <c r="FG34" t="b">
        <f t="shared" si="72"/>
        <v>0</v>
      </c>
      <c r="FH34" t="b">
        <f t="shared" si="72"/>
        <v>0</v>
      </c>
      <c r="FI34" t="b">
        <f t="shared" si="72"/>
        <v>0</v>
      </c>
      <c r="FJ34" t="b">
        <f t="shared" si="72"/>
        <v>0</v>
      </c>
      <c r="FK34" t="b">
        <f t="shared" si="72"/>
        <v>0</v>
      </c>
      <c r="FL34" t="b">
        <f t="shared" si="73"/>
        <v>0</v>
      </c>
      <c r="FM34" t="b">
        <f t="shared" si="73"/>
        <v>0</v>
      </c>
      <c r="FN34" t="b">
        <f t="shared" si="73"/>
        <v>0</v>
      </c>
      <c r="FO34" t="b">
        <f t="shared" si="73"/>
        <v>0</v>
      </c>
      <c r="FP34" t="b">
        <f t="shared" si="73"/>
        <v>0</v>
      </c>
      <c r="FQ34" t="b">
        <f t="shared" si="73"/>
        <v>0</v>
      </c>
      <c r="FR34" t="b">
        <f t="shared" si="73"/>
        <v>0</v>
      </c>
      <c r="FS34" t="b">
        <f t="shared" si="73"/>
        <v>0</v>
      </c>
      <c r="FT34" t="b">
        <f t="shared" si="73"/>
        <v>0</v>
      </c>
      <c r="FU34" t="b">
        <f t="shared" si="73"/>
        <v>0</v>
      </c>
      <c r="FV34" t="b">
        <f t="shared" si="74"/>
        <v>0</v>
      </c>
      <c r="FW34" t="b">
        <f t="shared" si="74"/>
        <v>0</v>
      </c>
      <c r="FX34" t="b">
        <f t="shared" si="74"/>
        <v>0</v>
      </c>
      <c r="FY34" t="b">
        <f t="shared" si="74"/>
        <v>0</v>
      </c>
      <c r="FZ34" t="b">
        <f t="shared" si="74"/>
        <v>0</v>
      </c>
      <c r="GA34" t="b">
        <f t="shared" si="74"/>
        <v>0</v>
      </c>
      <c r="GB34" t="b">
        <f t="shared" si="74"/>
        <v>0</v>
      </c>
      <c r="GC34" t="b">
        <f t="shared" si="74"/>
        <v>0</v>
      </c>
      <c r="GD34" t="b">
        <f t="shared" si="74"/>
        <v>0</v>
      </c>
      <c r="GE34" t="b">
        <f t="shared" si="74"/>
        <v>0</v>
      </c>
      <c r="GF34" t="b">
        <f t="shared" si="75"/>
        <v>0</v>
      </c>
      <c r="GG34" t="b">
        <f t="shared" si="75"/>
        <v>0</v>
      </c>
      <c r="GH34" t="b">
        <f t="shared" si="75"/>
        <v>0</v>
      </c>
      <c r="GI34" t="b">
        <f t="shared" si="75"/>
        <v>0</v>
      </c>
      <c r="GJ34" t="b">
        <f t="shared" si="75"/>
        <v>0</v>
      </c>
      <c r="GK34" t="b">
        <f t="shared" si="75"/>
        <v>0</v>
      </c>
      <c r="GL34" t="b">
        <f t="shared" si="75"/>
        <v>0</v>
      </c>
      <c r="GM34" t="b">
        <f t="shared" si="75"/>
        <v>0</v>
      </c>
      <c r="GN34" t="b">
        <f t="shared" si="75"/>
        <v>0</v>
      </c>
      <c r="GO34" t="b">
        <f t="shared" si="75"/>
        <v>0</v>
      </c>
      <c r="GP34" t="b">
        <f t="shared" si="76"/>
        <v>0</v>
      </c>
      <c r="GQ34" t="b">
        <f t="shared" si="76"/>
        <v>0</v>
      </c>
      <c r="GR34" t="b">
        <f t="shared" si="76"/>
        <v>0</v>
      </c>
      <c r="GS34" t="b">
        <f t="shared" si="76"/>
        <v>0</v>
      </c>
      <c r="GT34" t="b">
        <f t="shared" si="76"/>
        <v>0</v>
      </c>
      <c r="GU34" t="b">
        <f t="shared" si="76"/>
        <v>0</v>
      </c>
      <c r="GV34" t="b">
        <f t="shared" si="76"/>
        <v>0</v>
      </c>
      <c r="GW34" t="b">
        <f t="shared" si="76"/>
        <v>0</v>
      </c>
      <c r="GX34" t="b">
        <f t="shared" si="76"/>
        <v>0</v>
      </c>
      <c r="GY34" t="b">
        <f t="shared" si="76"/>
        <v>0</v>
      </c>
      <c r="GZ34" t="b">
        <f t="shared" si="76"/>
        <v>0</v>
      </c>
    </row>
    <row r="35" spans="1:208" hidden="1" x14ac:dyDescent="0.3">
      <c r="A35" t="s">
        <v>593</v>
      </c>
      <c r="B35" t="s">
        <v>596</v>
      </c>
      <c r="C35" t="s">
        <v>179</v>
      </c>
      <c r="D35" s="3">
        <v>31</v>
      </c>
      <c r="E35" s="3">
        <v>9</v>
      </c>
      <c r="F35" s="3">
        <v>34</v>
      </c>
      <c r="G35" s="3">
        <v>50</v>
      </c>
      <c r="H35" t="str">
        <f t="shared" si="19"/>
        <v>31-9</v>
      </c>
      <c r="I35" t="b">
        <v>1</v>
      </c>
      <c r="Q35" s="6">
        <v>35</v>
      </c>
      <c r="R35" t="b">
        <f t="shared" si="58"/>
        <v>0</v>
      </c>
      <c r="S35" t="b">
        <f t="shared" si="58"/>
        <v>0</v>
      </c>
      <c r="T35" t="b">
        <f t="shared" si="58"/>
        <v>0</v>
      </c>
      <c r="U35" t="b">
        <f t="shared" si="58"/>
        <v>0</v>
      </c>
      <c r="V35" t="b">
        <f t="shared" si="58"/>
        <v>0</v>
      </c>
      <c r="W35" t="b">
        <f t="shared" si="58"/>
        <v>0</v>
      </c>
      <c r="X35" t="b">
        <f t="shared" si="58"/>
        <v>0</v>
      </c>
      <c r="Y35" t="b">
        <f t="shared" si="58"/>
        <v>0</v>
      </c>
      <c r="Z35" t="b">
        <f t="shared" si="58"/>
        <v>0</v>
      </c>
      <c r="AA35" t="b">
        <f t="shared" si="58"/>
        <v>0</v>
      </c>
      <c r="AB35" t="b">
        <f t="shared" si="59"/>
        <v>0</v>
      </c>
      <c r="AC35" t="b">
        <f t="shared" si="59"/>
        <v>0</v>
      </c>
      <c r="AD35" t="b">
        <f t="shared" si="59"/>
        <v>0</v>
      </c>
      <c r="AE35" t="b">
        <f t="shared" si="59"/>
        <v>0</v>
      </c>
      <c r="AF35" t="b">
        <f t="shared" si="59"/>
        <v>0</v>
      </c>
      <c r="AG35" t="b">
        <f t="shared" si="59"/>
        <v>0</v>
      </c>
      <c r="AH35" t="b">
        <f t="shared" si="59"/>
        <v>0</v>
      </c>
      <c r="AI35" t="b">
        <f t="shared" si="59"/>
        <v>0</v>
      </c>
      <c r="AJ35" t="b">
        <f t="shared" si="59"/>
        <v>0</v>
      </c>
      <c r="AK35" t="b">
        <f t="shared" si="59"/>
        <v>0</v>
      </c>
      <c r="AL35" t="b">
        <f t="shared" si="60"/>
        <v>0</v>
      </c>
      <c r="AM35" t="b">
        <f t="shared" si="60"/>
        <v>0</v>
      </c>
      <c r="AN35" t="b">
        <f t="shared" si="60"/>
        <v>0</v>
      </c>
      <c r="AO35" t="b">
        <f t="shared" si="60"/>
        <v>0</v>
      </c>
      <c r="AP35" t="b">
        <f t="shared" si="60"/>
        <v>0</v>
      </c>
      <c r="AQ35" t="b">
        <f t="shared" si="60"/>
        <v>0</v>
      </c>
      <c r="AR35" t="b">
        <f t="shared" si="60"/>
        <v>0</v>
      </c>
      <c r="AS35" t="b">
        <f t="shared" si="60"/>
        <v>0</v>
      </c>
      <c r="AT35" t="b">
        <f t="shared" si="60"/>
        <v>1</v>
      </c>
      <c r="AU35" t="b">
        <f t="shared" si="60"/>
        <v>0</v>
      </c>
      <c r="AV35" t="b">
        <f t="shared" si="61"/>
        <v>0</v>
      </c>
      <c r="AW35" t="b">
        <f t="shared" si="61"/>
        <v>0</v>
      </c>
      <c r="AX35" t="b">
        <f t="shared" si="61"/>
        <v>1</v>
      </c>
      <c r="AY35" t="b">
        <f t="shared" si="61"/>
        <v>0</v>
      </c>
      <c r="AZ35" t="b">
        <f t="shared" si="61"/>
        <v>0</v>
      </c>
      <c r="BA35" t="b">
        <f t="shared" si="61"/>
        <v>0</v>
      </c>
      <c r="BB35" t="b">
        <f t="shared" si="61"/>
        <v>0</v>
      </c>
      <c r="BC35" t="b">
        <f t="shared" si="61"/>
        <v>1</v>
      </c>
      <c r="BD35" t="b">
        <f t="shared" si="61"/>
        <v>0</v>
      </c>
      <c r="BE35" t="b">
        <f t="shared" si="61"/>
        <v>0</v>
      </c>
      <c r="BF35" t="b">
        <f t="shared" si="62"/>
        <v>0</v>
      </c>
      <c r="BG35" t="b">
        <f t="shared" si="62"/>
        <v>0</v>
      </c>
      <c r="BH35" t="b">
        <f t="shared" si="62"/>
        <v>0</v>
      </c>
      <c r="BI35" t="b">
        <f t="shared" si="62"/>
        <v>0</v>
      </c>
      <c r="BJ35" t="b">
        <f t="shared" si="62"/>
        <v>0</v>
      </c>
      <c r="BK35" t="b">
        <f t="shared" si="62"/>
        <v>0</v>
      </c>
      <c r="BL35" t="b">
        <f t="shared" si="62"/>
        <v>0</v>
      </c>
      <c r="BM35" t="b">
        <f t="shared" si="62"/>
        <v>0</v>
      </c>
      <c r="BN35" t="b">
        <f t="shared" si="62"/>
        <v>0</v>
      </c>
      <c r="BO35" t="b">
        <f t="shared" si="62"/>
        <v>0</v>
      </c>
      <c r="BP35" t="b">
        <f t="shared" si="63"/>
        <v>0</v>
      </c>
      <c r="BQ35" t="b">
        <f t="shared" si="63"/>
        <v>0</v>
      </c>
      <c r="BR35" t="b">
        <f t="shared" si="63"/>
        <v>0</v>
      </c>
      <c r="BS35" t="b">
        <f t="shared" si="63"/>
        <v>0</v>
      </c>
      <c r="BT35" t="b">
        <f t="shared" si="63"/>
        <v>0</v>
      </c>
      <c r="BU35" t="b">
        <f t="shared" si="63"/>
        <v>0</v>
      </c>
      <c r="BV35" t="b">
        <f t="shared" si="63"/>
        <v>0</v>
      </c>
      <c r="BW35" t="b">
        <f t="shared" si="63"/>
        <v>0</v>
      </c>
      <c r="BX35" t="b">
        <f t="shared" si="63"/>
        <v>0</v>
      </c>
      <c r="BY35" t="b">
        <f t="shared" si="63"/>
        <v>0</v>
      </c>
      <c r="BZ35" t="b">
        <f t="shared" si="64"/>
        <v>0</v>
      </c>
      <c r="CA35" t="b">
        <f t="shared" si="64"/>
        <v>0</v>
      </c>
      <c r="CB35" t="b">
        <f t="shared" si="64"/>
        <v>0</v>
      </c>
      <c r="CC35" t="b">
        <f t="shared" si="64"/>
        <v>0</v>
      </c>
      <c r="CD35" t="b">
        <f t="shared" si="64"/>
        <v>0</v>
      </c>
      <c r="CE35" t="b">
        <f t="shared" si="64"/>
        <v>0</v>
      </c>
      <c r="CF35" t="b">
        <f t="shared" si="64"/>
        <v>0</v>
      </c>
      <c r="CG35" t="b">
        <f t="shared" si="64"/>
        <v>0</v>
      </c>
      <c r="CH35" t="b">
        <f t="shared" si="64"/>
        <v>0</v>
      </c>
      <c r="CI35" t="b">
        <f t="shared" si="64"/>
        <v>0</v>
      </c>
      <c r="CJ35" t="b">
        <f t="shared" si="65"/>
        <v>0</v>
      </c>
      <c r="CK35" t="b">
        <f t="shared" si="65"/>
        <v>0</v>
      </c>
      <c r="CL35" t="b">
        <f t="shared" si="65"/>
        <v>0</v>
      </c>
      <c r="CM35" t="b">
        <f t="shared" si="65"/>
        <v>0</v>
      </c>
      <c r="CN35" t="b">
        <f t="shared" si="65"/>
        <v>0</v>
      </c>
      <c r="CO35" t="b">
        <f t="shared" si="65"/>
        <v>0</v>
      </c>
      <c r="CP35" t="b">
        <f t="shared" si="65"/>
        <v>0</v>
      </c>
      <c r="CQ35" t="b">
        <f t="shared" si="65"/>
        <v>0</v>
      </c>
      <c r="CR35" t="b">
        <f t="shared" si="65"/>
        <v>0</v>
      </c>
      <c r="CS35" t="b">
        <f t="shared" si="65"/>
        <v>0</v>
      </c>
      <c r="CT35" t="b">
        <f t="shared" si="66"/>
        <v>0</v>
      </c>
      <c r="CU35" t="b">
        <f t="shared" si="66"/>
        <v>0</v>
      </c>
      <c r="CV35" t="b">
        <f t="shared" si="66"/>
        <v>0</v>
      </c>
      <c r="CW35" t="b">
        <f t="shared" si="66"/>
        <v>0</v>
      </c>
      <c r="CX35" t="b">
        <f t="shared" si="66"/>
        <v>1</v>
      </c>
      <c r="CY35" t="b">
        <f t="shared" si="66"/>
        <v>0</v>
      </c>
      <c r="CZ35" t="b">
        <f t="shared" si="66"/>
        <v>0</v>
      </c>
      <c r="DA35" t="b">
        <f t="shared" si="66"/>
        <v>0</v>
      </c>
      <c r="DB35" t="b">
        <f t="shared" si="66"/>
        <v>0</v>
      </c>
      <c r="DC35" t="b">
        <f t="shared" si="66"/>
        <v>0</v>
      </c>
      <c r="DD35" t="b">
        <f t="shared" si="67"/>
        <v>0</v>
      </c>
      <c r="DE35" t="b">
        <f t="shared" si="67"/>
        <v>0</v>
      </c>
      <c r="DF35" t="b">
        <f t="shared" si="67"/>
        <v>0</v>
      </c>
      <c r="DG35" t="b">
        <f t="shared" si="67"/>
        <v>0</v>
      </c>
      <c r="DH35" t="b">
        <f t="shared" si="67"/>
        <v>0</v>
      </c>
      <c r="DI35" t="b">
        <f t="shared" si="67"/>
        <v>0</v>
      </c>
      <c r="DJ35" t="b">
        <f t="shared" si="67"/>
        <v>0</v>
      </c>
      <c r="DK35" t="b">
        <f t="shared" si="67"/>
        <v>0</v>
      </c>
      <c r="DL35" t="b">
        <f t="shared" si="67"/>
        <v>0</v>
      </c>
      <c r="DM35" t="b">
        <f t="shared" si="67"/>
        <v>1</v>
      </c>
      <c r="DN35" t="b">
        <f t="shared" si="68"/>
        <v>0</v>
      </c>
      <c r="DO35" t="b">
        <f t="shared" si="68"/>
        <v>0</v>
      </c>
      <c r="DP35" t="b">
        <f t="shared" si="68"/>
        <v>0</v>
      </c>
      <c r="DQ35" t="b">
        <f t="shared" si="68"/>
        <v>0</v>
      </c>
      <c r="DR35" t="b">
        <f t="shared" si="68"/>
        <v>0</v>
      </c>
      <c r="DS35" t="b">
        <f t="shared" si="68"/>
        <v>0</v>
      </c>
      <c r="DT35" t="b">
        <f t="shared" si="68"/>
        <v>0</v>
      </c>
      <c r="DU35" t="b">
        <f t="shared" si="68"/>
        <v>0</v>
      </c>
      <c r="DV35" t="b">
        <f t="shared" si="68"/>
        <v>0</v>
      </c>
      <c r="DW35" t="b">
        <f t="shared" si="68"/>
        <v>0</v>
      </c>
      <c r="DX35" t="b">
        <f t="shared" si="69"/>
        <v>0</v>
      </c>
      <c r="DY35" t="b">
        <f t="shared" si="69"/>
        <v>0</v>
      </c>
      <c r="DZ35" t="b">
        <f t="shared" si="69"/>
        <v>0</v>
      </c>
      <c r="EA35" t="b">
        <f t="shared" si="69"/>
        <v>0</v>
      </c>
      <c r="EB35" t="b">
        <f t="shared" si="69"/>
        <v>0</v>
      </c>
      <c r="EC35" t="b">
        <f t="shared" si="69"/>
        <v>0</v>
      </c>
      <c r="ED35" t="b">
        <f t="shared" si="69"/>
        <v>0</v>
      </c>
      <c r="EE35" t="b">
        <f t="shared" si="69"/>
        <v>0</v>
      </c>
      <c r="EF35" t="b">
        <f t="shared" si="69"/>
        <v>0</v>
      </c>
      <c r="EG35" t="b">
        <f t="shared" si="69"/>
        <v>0</v>
      </c>
      <c r="EH35" t="b">
        <f t="shared" si="70"/>
        <v>0</v>
      </c>
      <c r="EI35" t="b">
        <f t="shared" si="70"/>
        <v>0</v>
      </c>
      <c r="EJ35" t="b">
        <f t="shared" si="70"/>
        <v>0</v>
      </c>
      <c r="EK35" t="b">
        <f t="shared" si="70"/>
        <v>0</v>
      </c>
      <c r="EL35" t="b">
        <f t="shared" si="70"/>
        <v>0</v>
      </c>
      <c r="EM35" t="b">
        <f t="shared" si="70"/>
        <v>0</v>
      </c>
      <c r="EN35" t="b">
        <f t="shared" si="70"/>
        <v>0</v>
      </c>
      <c r="EO35" t="b">
        <f t="shared" si="70"/>
        <v>0</v>
      </c>
      <c r="EP35" t="b">
        <f t="shared" si="70"/>
        <v>0</v>
      </c>
      <c r="EQ35" t="b">
        <f t="shared" si="70"/>
        <v>0</v>
      </c>
      <c r="ER35" t="b">
        <f t="shared" si="71"/>
        <v>0</v>
      </c>
      <c r="ES35" t="b">
        <f t="shared" si="71"/>
        <v>0</v>
      </c>
      <c r="ET35" t="b">
        <f t="shared" si="71"/>
        <v>0</v>
      </c>
      <c r="EU35" t="b">
        <f t="shared" si="71"/>
        <v>0</v>
      </c>
      <c r="EV35" t="b">
        <f t="shared" si="71"/>
        <v>0</v>
      </c>
      <c r="EW35" t="b">
        <f t="shared" si="71"/>
        <v>0</v>
      </c>
      <c r="EX35" t="b">
        <f t="shared" si="71"/>
        <v>0</v>
      </c>
      <c r="EY35" t="b">
        <f t="shared" si="71"/>
        <v>0</v>
      </c>
      <c r="EZ35" t="b">
        <f t="shared" si="71"/>
        <v>0</v>
      </c>
      <c r="FA35" t="b">
        <f t="shared" si="71"/>
        <v>0</v>
      </c>
      <c r="FB35" t="b">
        <f t="shared" si="72"/>
        <v>0</v>
      </c>
      <c r="FC35" t="b">
        <f t="shared" si="72"/>
        <v>0</v>
      </c>
      <c r="FD35" t="b">
        <f t="shared" si="72"/>
        <v>0</v>
      </c>
      <c r="FE35" t="b">
        <f t="shared" si="72"/>
        <v>0</v>
      </c>
      <c r="FF35" t="b">
        <f t="shared" si="72"/>
        <v>0</v>
      </c>
      <c r="FG35" t="b">
        <f t="shared" si="72"/>
        <v>0</v>
      </c>
      <c r="FH35" t="b">
        <f t="shared" si="72"/>
        <v>0</v>
      </c>
      <c r="FI35" t="b">
        <f t="shared" si="72"/>
        <v>0</v>
      </c>
      <c r="FJ35" t="b">
        <f t="shared" si="72"/>
        <v>0</v>
      </c>
      <c r="FK35" t="b">
        <f t="shared" si="72"/>
        <v>0</v>
      </c>
      <c r="FL35" t="b">
        <f t="shared" si="73"/>
        <v>0</v>
      </c>
      <c r="FM35" t="b">
        <f t="shared" si="73"/>
        <v>0</v>
      </c>
      <c r="FN35" t="b">
        <f t="shared" si="73"/>
        <v>0</v>
      </c>
      <c r="FO35" t="b">
        <f t="shared" si="73"/>
        <v>0</v>
      </c>
      <c r="FP35" t="b">
        <f t="shared" si="73"/>
        <v>0</v>
      </c>
      <c r="FQ35" t="b">
        <f t="shared" si="73"/>
        <v>0</v>
      </c>
      <c r="FR35" t="b">
        <f t="shared" si="73"/>
        <v>0</v>
      </c>
      <c r="FS35" t="b">
        <f t="shared" si="73"/>
        <v>0</v>
      </c>
      <c r="FT35" t="b">
        <f t="shared" si="73"/>
        <v>0</v>
      </c>
      <c r="FU35" t="b">
        <f t="shared" si="73"/>
        <v>0</v>
      </c>
      <c r="FV35" t="b">
        <f t="shared" si="74"/>
        <v>0</v>
      </c>
      <c r="FW35" t="b">
        <f t="shared" si="74"/>
        <v>0</v>
      </c>
      <c r="FX35" t="b">
        <f t="shared" si="74"/>
        <v>0</v>
      </c>
      <c r="FY35" t="b">
        <f t="shared" si="74"/>
        <v>0</v>
      </c>
      <c r="FZ35" t="b">
        <f t="shared" si="74"/>
        <v>0</v>
      </c>
      <c r="GA35" t="b">
        <f t="shared" si="74"/>
        <v>0</v>
      </c>
      <c r="GB35" t="b">
        <f t="shared" si="74"/>
        <v>0</v>
      </c>
      <c r="GC35" t="b">
        <f t="shared" si="74"/>
        <v>0</v>
      </c>
      <c r="GD35" t="b">
        <f t="shared" si="74"/>
        <v>0</v>
      </c>
      <c r="GE35" t="b">
        <f t="shared" si="74"/>
        <v>1</v>
      </c>
      <c r="GF35" t="b">
        <f t="shared" si="75"/>
        <v>0</v>
      </c>
      <c r="GG35" t="b">
        <f t="shared" si="75"/>
        <v>0</v>
      </c>
      <c r="GH35" t="b">
        <f t="shared" si="75"/>
        <v>0</v>
      </c>
      <c r="GI35" t="b">
        <f t="shared" si="75"/>
        <v>0</v>
      </c>
      <c r="GJ35" t="b">
        <f t="shared" si="75"/>
        <v>0</v>
      </c>
      <c r="GK35" t="b">
        <f t="shared" si="75"/>
        <v>0</v>
      </c>
      <c r="GL35" t="b">
        <f t="shared" si="75"/>
        <v>0</v>
      </c>
      <c r="GM35" t="b">
        <f t="shared" si="75"/>
        <v>0</v>
      </c>
      <c r="GN35" t="b">
        <f t="shared" si="75"/>
        <v>0</v>
      </c>
      <c r="GO35" t="b">
        <f t="shared" si="75"/>
        <v>0</v>
      </c>
      <c r="GP35" t="b">
        <f t="shared" si="76"/>
        <v>0</v>
      </c>
      <c r="GQ35" t="b">
        <f t="shared" si="76"/>
        <v>0</v>
      </c>
      <c r="GR35" t="b">
        <f t="shared" si="76"/>
        <v>0</v>
      </c>
      <c r="GS35" t="b">
        <f t="shared" si="76"/>
        <v>0</v>
      </c>
      <c r="GT35" t="b">
        <f t="shared" si="76"/>
        <v>0</v>
      </c>
      <c r="GU35" t="b">
        <f t="shared" si="76"/>
        <v>0</v>
      </c>
      <c r="GV35" t="b">
        <f t="shared" si="76"/>
        <v>0</v>
      </c>
      <c r="GW35" t="b">
        <f t="shared" si="76"/>
        <v>0</v>
      </c>
      <c r="GX35" t="b">
        <f t="shared" si="76"/>
        <v>0</v>
      </c>
      <c r="GY35" t="b">
        <f t="shared" si="76"/>
        <v>0</v>
      </c>
      <c r="GZ35" t="b">
        <f t="shared" si="76"/>
        <v>0</v>
      </c>
    </row>
    <row r="36" spans="1:208" hidden="1" x14ac:dyDescent="0.3">
      <c r="A36" t="s">
        <v>363</v>
      </c>
      <c r="B36" t="s">
        <v>364</v>
      </c>
      <c r="C36" t="s">
        <v>365</v>
      </c>
      <c r="D36" s="3">
        <v>26</v>
      </c>
      <c r="E36" s="3">
        <v>10</v>
      </c>
      <c r="F36" s="3">
        <v>35</v>
      </c>
      <c r="G36" s="3">
        <v>50</v>
      </c>
      <c r="H36" t="str">
        <f t="shared" si="19"/>
        <v>26-10</v>
      </c>
      <c r="I36" t="b">
        <v>1</v>
      </c>
      <c r="Q36" s="6">
        <v>36</v>
      </c>
      <c r="R36" t="b">
        <f t="shared" si="58"/>
        <v>0</v>
      </c>
      <c r="S36" t="b">
        <f t="shared" si="58"/>
        <v>0</v>
      </c>
      <c r="T36" t="b">
        <f t="shared" si="58"/>
        <v>0</v>
      </c>
      <c r="U36" t="b">
        <f t="shared" si="58"/>
        <v>0</v>
      </c>
      <c r="V36" t="b">
        <f t="shared" si="58"/>
        <v>0</v>
      </c>
      <c r="W36" t="b">
        <f t="shared" si="58"/>
        <v>0</v>
      </c>
      <c r="X36" t="b">
        <f t="shared" si="58"/>
        <v>0</v>
      </c>
      <c r="Y36" t="b">
        <f t="shared" si="58"/>
        <v>0</v>
      </c>
      <c r="Z36" t="b">
        <f t="shared" si="58"/>
        <v>0</v>
      </c>
      <c r="AA36" t="b">
        <f t="shared" si="58"/>
        <v>0</v>
      </c>
      <c r="AB36" t="b">
        <f t="shared" si="59"/>
        <v>0</v>
      </c>
      <c r="AC36" t="b">
        <f t="shared" si="59"/>
        <v>0</v>
      </c>
      <c r="AD36" t="b">
        <f t="shared" si="59"/>
        <v>0</v>
      </c>
      <c r="AE36" t="b">
        <f t="shared" si="59"/>
        <v>0</v>
      </c>
      <c r="AF36" t="b">
        <f t="shared" si="59"/>
        <v>0</v>
      </c>
      <c r="AG36" t="b">
        <f t="shared" si="59"/>
        <v>0</v>
      </c>
      <c r="AH36" t="b">
        <f t="shared" si="59"/>
        <v>1</v>
      </c>
      <c r="AI36" t="b">
        <f t="shared" si="59"/>
        <v>0</v>
      </c>
      <c r="AJ36" t="b">
        <f t="shared" si="59"/>
        <v>0</v>
      </c>
      <c r="AK36" t="b">
        <f t="shared" si="59"/>
        <v>0</v>
      </c>
      <c r="AL36" t="b">
        <f t="shared" si="60"/>
        <v>0</v>
      </c>
      <c r="AM36" t="b">
        <f t="shared" si="60"/>
        <v>0</v>
      </c>
      <c r="AN36" t="b">
        <f t="shared" si="60"/>
        <v>0</v>
      </c>
      <c r="AO36" t="b">
        <f t="shared" si="60"/>
        <v>1</v>
      </c>
      <c r="AP36" t="b">
        <f t="shared" si="60"/>
        <v>0</v>
      </c>
      <c r="AQ36" t="b">
        <f t="shared" si="60"/>
        <v>0</v>
      </c>
      <c r="AR36" t="b">
        <f t="shared" si="60"/>
        <v>0</v>
      </c>
      <c r="AS36" t="b">
        <f t="shared" si="60"/>
        <v>0</v>
      </c>
      <c r="AT36" t="b">
        <f t="shared" si="60"/>
        <v>0</v>
      </c>
      <c r="AU36" t="b">
        <f t="shared" si="60"/>
        <v>0</v>
      </c>
      <c r="AV36" t="b">
        <f t="shared" si="61"/>
        <v>0</v>
      </c>
      <c r="AW36" t="b">
        <f t="shared" si="61"/>
        <v>0</v>
      </c>
      <c r="AX36" t="b">
        <f t="shared" si="61"/>
        <v>0</v>
      </c>
      <c r="AY36" t="b">
        <f t="shared" si="61"/>
        <v>0</v>
      </c>
      <c r="AZ36" t="b">
        <f t="shared" si="61"/>
        <v>0</v>
      </c>
      <c r="BA36" t="b">
        <f t="shared" si="61"/>
        <v>0</v>
      </c>
      <c r="BB36" t="b">
        <f t="shared" si="61"/>
        <v>0</v>
      </c>
      <c r="BC36" t="b">
        <f t="shared" si="61"/>
        <v>0</v>
      </c>
      <c r="BD36" t="b">
        <f t="shared" si="61"/>
        <v>0</v>
      </c>
      <c r="BE36" t="b">
        <f t="shared" si="61"/>
        <v>0</v>
      </c>
      <c r="BF36" t="b">
        <f t="shared" si="62"/>
        <v>0</v>
      </c>
      <c r="BG36" t="b">
        <f t="shared" si="62"/>
        <v>0</v>
      </c>
      <c r="BH36" t="b">
        <f t="shared" si="62"/>
        <v>1</v>
      </c>
      <c r="BI36" t="b">
        <f t="shared" si="62"/>
        <v>1</v>
      </c>
      <c r="BJ36" t="b">
        <f t="shared" si="62"/>
        <v>0</v>
      </c>
      <c r="BK36" t="b">
        <f t="shared" si="62"/>
        <v>0</v>
      </c>
      <c r="BL36" t="b">
        <f t="shared" si="62"/>
        <v>0</v>
      </c>
      <c r="BM36" t="b">
        <f t="shared" si="62"/>
        <v>0</v>
      </c>
      <c r="BN36" t="b">
        <f t="shared" si="62"/>
        <v>0</v>
      </c>
      <c r="BO36" t="b">
        <f t="shared" si="62"/>
        <v>0</v>
      </c>
      <c r="BP36" t="b">
        <f t="shared" si="63"/>
        <v>0</v>
      </c>
      <c r="BQ36" t="b">
        <f t="shared" si="63"/>
        <v>0</v>
      </c>
      <c r="BR36" t="b">
        <f t="shared" si="63"/>
        <v>0</v>
      </c>
      <c r="BS36" t="b">
        <f t="shared" si="63"/>
        <v>0</v>
      </c>
      <c r="BT36" t="b">
        <f t="shared" si="63"/>
        <v>0</v>
      </c>
      <c r="BU36" t="b">
        <f t="shared" si="63"/>
        <v>0</v>
      </c>
      <c r="BV36" t="b">
        <f t="shared" si="63"/>
        <v>0</v>
      </c>
      <c r="BW36" t="b">
        <f t="shared" si="63"/>
        <v>0</v>
      </c>
      <c r="BX36" t="b">
        <f t="shared" si="63"/>
        <v>0</v>
      </c>
      <c r="BY36" t="b">
        <f t="shared" si="63"/>
        <v>0</v>
      </c>
      <c r="BZ36" t="b">
        <f t="shared" si="64"/>
        <v>0</v>
      </c>
      <c r="CA36" t="b">
        <f t="shared" si="64"/>
        <v>0</v>
      </c>
      <c r="CB36" t="b">
        <f t="shared" si="64"/>
        <v>0</v>
      </c>
      <c r="CC36" t="b">
        <f t="shared" si="64"/>
        <v>0</v>
      </c>
      <c r="CD36" t="b">
        <f t="shared" si="64"/>
        <v>0</v>
      </c>
      <c r="CE36" t="b">
        <f t="shared" si="64"/>
        <v>0</v>
      </c>
      <c r="CF36" t="b">
        <f t="shared" si="64"/>
        <v>0</v>
      </c>
      <c r="CG36" t="b">
        <f t="shared" si="64"/>
        <v>0</v>
      </c>
      <c r="CH36" t="b">
        <f t="shared" si="64"/>
        <v>0</v>
      </c>
      <c r="CI36" t="b">
        <f t="shared" si="64"/>
        <v>0</v>
      </c>
      <c r="CJ36" t="b">
        <f t="shared" si="65"/>
        <v>0</v>
      </c>
      <c r="CK36" t="b">
        <f t="shared" si="65"/>
        <v>0</v>
      </c>
      <c r="CL36" t="b">
        <f t="shared" si="65"/>
        <v>0</v>
      </c>
      <c r="CM36" t="b">
        <f t="shared" si="65"/>
        <v>0</v>
      </c>
      <c r="CN36" t="b">
        <f t="shared" si="65"/>
        <v>0</v>
      </c>
      <c r="CO36" t="b">
        <f t="shared" si="65"/>
        <v>1</v>
      </c>
      <c r="CP36" t="b">
        <f t="shared" si="65"/>
        <v>0</v>
      </c>
      <c r="CQ36" t="b">
        <f t="shared" si="65"/>
        <v>0</v>
      </c>
      <c r="CR36" t="b">
        <f t="shared" si="65"/>
        <v>0</v>
      </c>
      <c r="CS36" t="b">
        <f t="shared" si="65"/>
        <v>0</v>
      </c>
      <c r="CT36" t="b">
        <f t="shared" si="66"/>
        <v>0</v>
      </c>
      <c r="CU36" t="b">
        <f t="shared" si="66"/>
        <v>0</v>
      </c>
      <c r="CV36" t="b">
        <f t="shared" si="66"/>
        <v>0</v>
      </c>
      <c r="CW36" t="b">
        <f t="shared" si="66"/>
        <v>0</v>
      </c>
      <c r="CX36" t="b">
        <f t="shared" si="66"/>
        <v>0</v>
      </c>
      <c r="CY36" t="b">
        <f t="shared" si="66"/>
        <v>0</v>
      </c>
      <c r="CZ36" t="b">
        <f t="shared" si="66"/>
        <v>0</v>
      </c>
      <c r="DA36" t="b">
        <f t="shared" si="66"/>
        <v>0</v>
      </c>
      <c r="DB36" t="b">
        <f t="shared" si="66"/>
        <v>0</v>
      </c>
      <c r="DC36" t="b">
        <f t="shared" si="66"/>
        <v>0</v>
      </c>
      <c r="DD36" t="b">
        <f t="shared" si="67"/>
        <v>0</v>
      </c>
      <c r="DE36" t="b">
        <f t="shared" si="67"/>
        <v>0</v>
      </c>
      <c r="DF36" t="b">
        <f t="shared" si="67"/>
        <v>0</v>
      </c>
      <c r="DG36" t="b">
        <f t="shared" si="67"/>
        <v>0</v>
      </c>
      <c r="DH36" t="b">
        <f t="shared" si="67"/>
        <v>0</v>
      </c>
      <c r="DI36" t="b">
        <f t="shared" si="67"/>
        <v>0</v>
      </c>
      <c r="DJ36" t="b">
        <f t="shared" si="67"/>
        <v>0</v>
      </c>
      <c r="DK36" t="b">
        <f t="shared" si="67"/>
        <v>0</v>
      </c>
      <c r="DL36" t="b">
        <f t="shared" si="67"/>
        <v>0</v>
      </c>
      <c r="DM36" t="b">
        <f t="shared" si="67"/>
        <v>0</v>
      </c>
      <c r="DN36" t="b">
        <f t="shared" si="68"/>
        <v>0</v>
      </c>
      <c r="DO36" t="b">
        <f t="shared" si="68"/>
        <v>0</v>
      </c>
      <c r="DP36" t="b">
        <f t="shared" si="68"/>
        <v>0</v>
      </c>
      <c r="DQ36" t="b">
        <f t="shared" si="68"/>
        <v>0</v>
      </c>
      <c r="DR36" t="b">
        <f t="shared" si="68"/>
        <v>0</v>
      </c>
      <c r="DS36" t="b">
        <f t="shared" si="68"/>
        <v>0</v>
      </c>
      <c r="DT36" t="b">
        <f t="shared" si="68"/>
        <v>0</v>
      </c>
      <c r="DU36" t="b">
        <f t="shared" si="68"/>
        <v>0</v>
      </c>
      <c r="DV36" t="b">
        <f t="shared" si="68"/>
        <v>0</v>
      </c>
      <c r="DW36" t="b">
        <f t="shared" si="68"/>
        <v>0</v>
      </c>
      <c r="DX36" t="b">
        <f t="shared" si="69"/>
        <v>0</v>
      </c>
      <c r="DY36" t="b">
        <f t="shared" si="69"/>
        <v>0</v>
      </c>
      <c r="DZ36" t="b">
        <f t="shared" si="69"/>
        <v>0</v>
      </c>
      <c r="EA36" t="b">
        <f t="shared" si="69"/>
        <v>0</v>
      </c>
      <c r="EB36" t="b">
        <f t="shared" si="69"/>
        <v>0</v>
      </c>
      <c r="EC36" t="b">
        <f t="shared" si="69"/>
        <v>0</v>
      </c>
      <c r="ED36" t="b">
        <f t="shared" si="69"/>
        <v>0</v>
      </c>
      <c r="EE36" t="b">
        <f t="shared" si="69"/>
        <v>0</v>
      </c>
      <c r="EF36" t="b">
        <f t="shared" si="69"/>
        <v>0</v>
      </c>
      <c r="EG36" t="b">
        <f t="shared" si="69"/>
        <v>0</v>
      </c>
      <c r="EH36" t="b">
        <f t="shared" si="70"/>
        <v>0</v>
      </c>
      <c r="EI36" t="b">
        <f t="shared" si="70"/>
        <v>0</v>
      </c>
      <c r="EJ36" t="b">
        <f t="shared" si="70"/>
        <v>0</v>
      </c>
      <c r="EK36" t="b">
        <f t="shared" si="70"/>
        <v>0</v>
      </c>
      <c r="EL36" t="b">
        <f t="shared" si="70"/>
        <v>0</v>
      </c>
      <c r="EM36" t="b">
        <f t="shared" si="70"/>
        <v>0</v>
      </c>
      <c r="EN36" t="b">
        <f t="shared" si="70"/>
        <v>0</v>
      </c>
      <c r="EO36" t="b">
        <f t="shared" si="70"/>
        <v>0</v>
      </c>
      <c r="EP36" t="b">
        <f t="shared" si="70"/>
        <v>0</v>
      </c>
      <c r="EQ36" t="b">
        <f t="shared" si="70"/>
        <v>0</v>
      </c>
      <c r="ER36" t="b">
        <f t="shared" si="71"/>
        <v>0</v>
      </c>
      <c r="ES36" t="b">
        <f t="shared" si="71"/>
        <v>0</v>
      </c>
      <c r="ET36" t="b">
        <f t="shared" si="71"/>
        <v>0</v>
      </c>
      <c r="EU36" t="b">
        <f t="shared" si="71"/>
        <v>0</v>
      </c>
      <c r="EV36" t="b">
        <f t="shared" si="71"/>
        <v>0</v>
      </c>
      <c r="EW36" t="b">
        <f t="shared" si="71"/>
        <v>0</v>
      </c>
      <c r="EX36" t="b">
        <f t="shared" si="71"/>
        <v>0</v>
      </c>
      <c r="EY36" t="b">
        <f t="shared" si="71"/>
        <v>0</v>
      </c>
      <c r="EZ36" t="b">
        <f t="shared" si="71"/>
        <v>0</v>
      </c>
      <c r="FA36" t="b">
        <f t="shared" si="71"/>
        <v>0</v>
      </c>
      <c r="FB36" t="b">
        <f t="shared" si="72"/>
        <v>0</v>
      </c>
      <c r="FC36" t="b">
        <f t="shared" si="72"/>
        <v>0</v>
      </c>
      <c r="FD36" t="b">
        <f t="shared" si="72"/>
        <v>0</v>
      </c>
      <c r="FE36" t="b">
        <f t="shared" si="72"/>
        <v>0</v>
      </c>
      <c r="FF36" t="b">
        <f t="shared" si="72"/>
        <v>0</v>
      </c>
      <c r="FG36" t="b">
        <f t="shared" si="72"/>
        <v>0</v>
      </c>
      <c r="FH36" t="b">
        <f t="shared" si="72"/>
        <v>0</v>
      </c>
      <c r="FI36" t="b">
        <f t="shared" si="72"/>
        <v>0</v>
      </c>
      <c r="FJ36" t="b">
        <f t="shared" si="72"/>
        <v>0</v>
      </c>
      <c r="FK36" t="b">
        <f t="shared" si="72"/>
        <v>0</v>
      </c>
      <c r="FL36" t="b">
        <f t="shared" si="73"/>
        <v>0</v>
      </c>
      <c r="FM36" t="b">
        <f t="shared" si="73"/>
        <v>0</v>
      </c>
      <c r="FN36" t="b">
        <f t="shared" si="73"/>
        <v>0</v>
      </c>
      <c r="FO36" t="b">
        <f t="shared" si="73"/>
        <v>0</v>
      </c>
      <c r="FP36" t="b">
        <f t="shared" si="73"/>
        <v>0</v>
      </c>
      <c r="FQ36" t="b">
        <f t="shared" si="73"/>
        <v>0</v>
      </c>
      <c r="FR36" t="b">
        <f t="shared" si="73"/>
        <v>0</v>
      </c>
      <c r="FS36" t="b">
        <f t="shared" si="73"/>
        <v>0</v>
      </c>
      <c r="FT36" t="b">
        <f t="shared" si="73"/>
        <v>0</v>
      </c>
      <c r="FU36" t="b">
        <f t="shared" si="73"/>
        <v>0</v>
      </c>
      <c r="FV36" t="b">
        <f t="shared" si="74"/>
        <v>0</v>
      </c>
      <c r="FW36" t="b">
        <f t="shared" si="74"/>
        <v>0</v>
      </c>
      <c r="FX36" t="b">
        <f t="shared" si="74"/>
        <v>0</v>
      </c>
      <c r="FY36" t="b">
        <f t="shared" si="74"/>
        <v>0</v>
      </c>
      <c r="FZ36" t="b">
        <f t="shared" si="74"/>
        <v>0</v>
      </c>
      <c r="GA36" t="b">
        <f t="shared" si="74"/>
        <v>0</v>
      </c>
      <c r="GB36" t="b">
        <f t="shared" si="74"/>
        <v>0</v>
      </c>
      <c r="GC36" t="b">
        <f t="shared" si="74"/>
        <v>0</v>
      </c>
      <c r="GD36" t="b">
        <f t="shared" si="74"/>
        <v>0</v>
      </c>
      <c r="GE36" t="b">
        <f t="shared" si="74"/>
        <v>0</v>
      </c>
      <c r="GF36" t="b">
        <f t="shared" si="75"/>
        <v>0</v>
      </c>
      <c r="GG36" t="b">
        <f t="shared" si="75"/>
        <v>0</v>
      </c>
      <c r="GH36" t="b">
        <f t="shared" si="75"/>
        <v>0</v>
      </c>
      <c r="GI36" t="b">
        <f t="shared" si="75"/>
        <v>0</v>
      </c>
      <c r="GJ36" t="b">
        <f t="shared" si="75"/>
        <v>0</v>
      </c>
      <c r="GK36" t="b">
        <f t="shared" si="75"/>
        <v>0</v>
      </c>
      <c r="GL36" t="b">
        <f t="shared" si="75"/>
        <v>0</v>
      </c>
      <c r="GM36" t="b">
        <f t="shared" si="75"/>
        <v>0</v>
      </c>
      <c r="GN36" t="b">
        <f t="shared" si="75"/>
        <v>0</v>
      </c>
      <c r="GO36" t="b">
        <f t="shared" si="75"/>
        <v>0</v>
      </c>
      <c r="GP36" t="b">
        <f t="shared" si="76"/>
        <v>0</v>
      </c>
      <c r="GQ36" t="b">
        <f t="shared" si="76"/>
        <v>0</v>
      </c>
      <c r="GR36" t="b">
        <f t="shared" si="76"/>
        <v>0</v>
      </c>
      <c r="GS36" t="b">
        <f t="shared" si="76"/>
        <v>0</v>
      </c>
      <c r="GT36" t="b">
        <f t="shared" si="76"/>
        <v>0</v>
      </c>
      <c r="GU36" t="b">
        <f t="shared" si="76"/>
        <v>0</v>
      </c>
      <c r="GV36" t="b">
        <f t="shared" si="76"/>
        <v>0</v>
      </c>
      <c r="GW36" t="b">
        <f t="shared" si="76"/>
        <v>0</v>
      </c>
      <c r="GX36" t="b">
        <f t="shared" si="76"/>
        <v>0</v>
      </c>
      <c r="GY36" t="b">
        <f t="shared" si="76"/>
        <v>0</v>
      </c>
      <c r="GZ36" t="b">
        <f t="shared" si="76"/>
        <v>0</v>
      </c>
    </row>
    <row r="37" spans="1:208" hidden="1" x14ac:dyDescent="0.3">
      <c r="A37" t="s">
        <v>456</v>
      </c>
      <c r="B37" t="s">
        <v>467</v>
      </c>
      <c r="C37" t="s">
        <v>468</v>
      </c>
      <c r="D37" s="3">
        <v>29</v>
      </c>
      <c r="E37" s="3">
        <v>11</v>
      </c>
      <c r="F37" s="3">
        <v>36</v>
      </c>
      <c r="G37" s="3">
        <v>2320</v>
      </c>
      <c r="H37" t="str">
        <f t="shared" si="19"/>
        <v>29-11</v>
      </c>
      <c r="I37" t="b">
        <v>1</v>
      </c>
      <c r="Q37" s="6">
        <v>37</v>
      </c>
      <c r="R37" t="b">
        <f t="shared" si="58"/>
        <v>0</v>
      </c>
      <c r="S37" t="b">
        <f t="shared" si="58"/>
        <v>0</v>
      </c>
      <c r="T37" t="b">
        <f t="shared" si="58"/>
        <v>0</v>
      </c>
      <c r="U37" t="b">
        <f t="shared" si="58"/>
        <v>0</v>
      </c>
      <c r="V37" t="b">
        <f t="shared" si="58"/>
        <v>0</v>
      </c>
      <c r="W37" t="b">
        <f t="shared" si="58"/>
        <v>0</v>
      </c>
      <c r="X37" t="b">
        <f t="shared" si="58"/>
        <v>0</v>
      </c>
      <c r="Y37" t="b">
        <f t="shared" si="58"/>
        <v>0</v>
      </c>
      <c r="Z37" t="b">
        <f t="shared" si="58"/>
        <v>0</v>
      </c>
      <c r="AA37" t="b">
        <f t="shared" si="58"/>
        <v>0</v>
      </c>
      <c r="AB37" t="b">
        <f t="shared" si="59"/>
        <v>0</v>
      </c>
      <c r="AC37" t="b">
        <f t="shared" si="59"/>
        <v>0</v>
      </c>
      <c r="AD37" t="b">
        <f t="shared" si="59"/>
        <v>0</v>
      </c>
      <c r="AE37" t="b">
        <f t="shared" si="59"/>
        <v>0</v>
      </c>
      <c r="AF37" t="b">
        <f t="shared" si="59"/>
        <v>0</v>
      </c>
      <c r="AG37" t="b">
        <f t="shared" si="59"/>
        <v>0</v>
      </c>
      <c r="AH37" t="b">
        <f t="shared" si="59"/>
        <v>0</v>
      </c>
      <c r="AI37" t="b">
        <f t="shared" si="59"/>
        <v>0</v>
      </c>
      <c r="AJ37" t="b">
        <f t="shared" si="59"/>
        <v>0</v>
      </c>
      <c r="AK37" t="b">
        <f t="shared" si="59"/>
        <v>0</v>
      </c>
      <c r="AL37" t="b">
        <f t="shared" si="60"/>
        <v>0</v>
      </c>
      <c r="AM37" t="b">
        <f t="shared" si="60"/>
        <v>0</v>
      </c>
      <c r="AN37" t="b">
        <f t="shared" si="60"/>
        <v>0</v>
      </c>
      <c r="AO37" t="b">
        <f t="shared" si="60"/>
        <v>0</v>
      </c>
      <c r="AP37" t="b">
        <f t="shared" si="60"/>
        <v>0</v>
      </c>
      <c r="AQ37" t="b">
        <f t="shared" si="60"/>
        <v>0</v>
      </c>
      <c r="AR37" t="b">
        <f t="shared" si="60"/>
        <v>0</v>
      </c>
      <c r="AS37" t="b">
        <f t="shared" si="60"/>
        <v>0</v>
      </c>
      <c r="AT37" t="b">
        <f t="shared" si="60"/>
        <v>0</v>
      </c>
      <c r="AU37" t="b">
        <f t="shared" si="60"/>
        <v>0</v>
      </c>
      <c r="AV37" t="b">
        <f t="shared" si="61"/>
        <v>0</v>
      </c>
      <c r="AW37" t="b">
        <f t="shared" si="61"/>
        <v>0</v>
      </c>
      <c r="AX37" t="b">
        <f t="shared" si="61"/>
        <v>0</v>
      </c>
      <c r="AY37" t="b">
        <f t="shared" si="61"/>
        <v>0</v>
      </c>
      <c r="AZ37" t="b">
        <f t="shared" si="61"/>
        <v>0</v>
      </c>
      <c r="BA37" t="b">
        <f t="shared" si="61"/>
        <v>0</v>
      </c>
      <c r="BB37" t="b">
        <f t="shared" si="61"/>
        <v>0</v>
      </c>
      <c r="BC37" t="b">
        <f t="shared" si="61"/>
        <v>0</v>
      </c>
      <c r="BD37" t="b">
        <f t="shared" si="61"/>
        <v>0</v>
      </c>
      <c r="BE37" t="b">
        <f t="shared" si="61"/>
        <v>0</v>
      </c>
      <c r="BF37" t="b">
        <f t="shared" si="62"/>
        <v>0</v>
      </c>
      <c r="BG37" t="b">
        <f t="shared" si="62"/>
        <v>0</v>
      </c>
      <c r="BH37" t="b">
        <f t="shared" si="62"/>
        <v>0</v>
      </c>
      <c r="BI37" t="b">
        <f t="shared" si="62"/>
        <v>0</v>
      </c>
      <c r="BJ37" t="b">
        <f t="shared" si="62"/>
        <v>0</v>
      </c>
      <c r="BK37" t="b">
        <f t="shared" si="62"/>
        <v>0</v>
      </c>
      <c r="BL37" t="b">
        <f t="shared" si="62"/>
        <v>0</v>
      </c>
      <c r="BM37" t="b">
        <f t="shared" si="62"/>
        <v>0</v>
      </c>
      <c r="BN37" t="b">
        <f t="shared" si="62"/>
        <v>0</v>
      </c>
      <c r="BO37" t="b">
        <f t="shared" si="62"/>
        <v>0</v>
      </c>
      <c r="BP37" t="b">
        <f t="shared" si="63"/>
        <v>0</v>
      </c>
      <c r="BQ37" t="b">
        <f t="shared" si="63"/>
        <v>0</v>
      </c>
      <c r="BR37" t="b">
        <f t="shared" si="63"/>
        <v>0</v>
      </c>
      <c r="BS37" t="b">
        <f t="shared" si="63"/>
        <v>0</v>
      </c>
      <c r="BT37" t="b">
        <f t="shared" si="63"/>
        <v>0</v>
      </c>
      <c r="BU37" t="b">
        <f t="shared" si="63"/>
        <v>0</v>
      </c>
      <c r="BV37" t="b">
        <f t="shared" si="63"/>
        <v>0</v>
      </c>
      <c r="BW37" t="b">
        <f t="shared" si="63"/>
        <v>0</v>
      </c>
      <c r="BX37" t="b">
        <f t="shared" si="63"/>
        <v>0</v>
      </c>
      <c r="BY37" t="b">
        <f t="shared" si="63"/>
        <v>0</v>
      </c>
      <c r="BZ37" t="b">
        <f t="shared" si="64"/>
        <v>0</v>
      </c>
      <c r="CA37" t="b">
        <f t="shared" si="64"/>
        <v>0</v>
      </c>
      <c r="CB37" t="b">
        <f t="shared" si="64"/>
        <v>0</v>
      </c>
      <c r="CC37" t="b">
        <f t="shared" si="64"/>
        <v>0</v>
      </c>
      <c r="CD37" t="b">
        <f t="shared" si="64"/>
        <v>0</v>
      </c>
      <c r="CE37" t="b">
        <f t="shared" si="64"/>
        <v>0</v>
      </c>
      <c r="CF37" t="b">
        <f t="shared" si="64"/>
        <v>0</v>
      </c>
      <c r="CG37" t="b">
        <f t="shared" si="64"/>
        <v>0</v>
      </c>
      <c r="CH37" t="b">
        <f t="shared" si="64"/>
        <v>0</v>
      </c>
      <c r="CI37" t="b">
        <f t="shared" si="64"/>
        <v>0</v>
      </c>
      <c r="CJ37" t="b">
        <f t="shared" si="65"/>
        <v>0</v>
      </c>
      <c r="CK37" t="b">
        <f t="shared" si="65"/>
        <v>0</v>
      </c>
      <c r="CL37" t="b">
        <f t="shared" si="65"/>
        <v>0</v>
      </c>
      <c r="CM37" t="b">
        <f t="shared" si="65"/>
        <v>0</v>
      </c>
      <c r="CN37" t="b">
        <f t="shared" si="65"/>
        <v>0</v>
      </c>
      <c r="CO37" t="b">
        <f t="shared" si="65"/>
        <v>0</v>
      </c>
      <c r="CP37" t="b">
        <f t="shared" si="65"/>
        <v>0</v>
      </c>
      <c r="CQ37" t="b">
        <f t="shared" si="65"/>
        <v>0</v>
      </c>
      <c r="CR37" t="b">
        <f t="shared" si="65"/>
        <v>0</v>
      </c>
      <c r="CS37" t="b">
        <f t="shared" si="65"/>
        <v>0</v>
      </c>
      <c r="CT37" t="b">
        <f t="shared" si="66"/>
        <v>0</v>
      </c>
      <c r="CU37" t="b">
        <f t="shared" si="66"/>
        <v>0</v>
      </c>
      <c r="CV37" t="b">
        <f t="shared" si="66"/>
        <v>0</v>
      </c>
      <c r="CW37" t="b">
        <f t="shared" si="66"/>
        <v>0</v>
      </c>
      <c r="CX37" t="b">
        <f t="shared" si="66"/>
        <v>0</v>
      </c>
      <c r="CY37" t="b">
        <f t="shared" si="66"/>
        <v>0</v>
      </c>
      <c r="CZ37" t="b">
        <f t="shared" si="66"/>
        <v>0</v>
      </c>
      <c r="DA37" t="b">
        <f t="shared" si="66"/>
        <v>0</v>
      </c>
      <c r="DB37" t="b">
        <f t="shared" si="66"/>
        <v>0</v>
      </c>
      <c r="DC37" t="b">
        <f t="shared" si="66"/>
        <v>0</v>
      </c>
      <c r="DD37" t="b">
        <f t="shared" si="67"/>
        <v>0</v>
      </c>
      <c r="DE37" t="b">
        <f t="shared" si="67"/>
        <v>0</v>
      </c>
      <c r="DF37" t="b">
        <f t="shared" si="67"/>
        <v>0</v>
      </c>
      <c r="DG37" t="b">
        <f t="shared" si="67"/>
        <v>0</v>
      </c>
      <c r="DH37" t="b">
        <f t="shared" si="67"/>
        <v>0</v>
      </c>
      <c r="DI37" t="b">
        <f t="shared" si="67"/>
        <v>0</v>
      </c>
      <c r="DJ37" t="b">
        <f t="shared" si="67"/>
        <v>0</v>
      </c>
      <c r="DK37" t="b">
        <f t="shared" si="67"/>
        <v>0</v>
      </c>
      <c r="DL37" t="b">
        <f t="shared" si="67"/>
        <v>0</v>
      </c>
      <c r="DM37" t="b">
        <f t="shared" si="67"/>
        <v>0</v>
      </c>
      <c r="DN37" t="b">
        <f t="shared" si="68"/>
        <v>0</v>
      </c>
      <c r="DO37" t="b">
        <f t="shared" si="68"/>
        <v>0</v>
      </c>
      <c r="DP37" t="b">
        <f t="shared" si="68"/>
        <v>0</v>
      </c>
      <c r="DQ37" t="b">
        <f t="shared" si="68"/>
        <v>0</v>
      </c>
      <c r="DR37" t="b">
        <f t="shared" si="68"/>
        <v>0</v>
      </c>
      <c r="DS37" t="b">
        <f t="shared" si="68"/>
        <v>0</v>
      </c>
      <c r="DT37" t="b">
        <f t="shared" si="68"/>
        <v>0</v>
      </c>
      <c r="DU37" t="b">
        <f t="shared" si="68"/>
        <v>0</v>
      </c>
      <c r="DV37" t="b">
        <f t="shared" si="68"/>
        <v>0</v>
      </c>
      <c r="DW37" t="b">
        <f t="shared" si="68"/>
        <v>0</v>
      </c>
      <c r="DX37" t="b">
        <f t="shared" si="69"/>
        <v>0</v>
      </c>
      <c r="DY37" t="b">
        <f t="shared" si="69"/>
        <v>0</v>
      </c>
      <c r="DZ37" t="b">
        <f t="shared" si="69"/>
        <v>0</v>
      </c>
      <c r="EA37" t="b">
        <f t="shared" si="69"/>
        <v>0</v>
      </c>
      <c r="EB37" t="b">
        <f t="shared" si="69"/>
        <v>0</v>
      </c>
      <c r="EC37" t="b">
        <f t="shared" si="69"/>
        <v>0</v>
      </c>
      <c r="ED37" t="b">
        <f t="shared" si="69"/>
        <v>0</v>
      </c>
      <c r="EE37" t="b">
        <f t="shared" si="69"/>
        <v>0</v>
      </c>
      <c r="EF37" t="b">
        <f t="shared" si="69"/>
        <v>0</v>
      </c>
      <c r="EG37" t="b">
        <f t="shared" si="69"/>
        <v>0</v>
      </c>
      <c r="EH37" t="b">
        <f t="shared" si="70"/>
        <v>0</v>
      </c>
      <c r="EI37" t="b">
        <f t="shared" si="70"/>
        <v>0</v>
      </c>
      <c r="EJ37" t="b">
        <f t="shared" si="70"/>
        <v>0</v>
      </c>
      <c r="EK37" t="b">
        <f t="shared" si="70"/>
        <v>0</v>
      </c>
      <c r="EL37" t="b">
        <f t="shared" si="70"/>
        <v>0</v>
      </c>
      <c r="EM37" t="b">
        <f t="shared" si="70"/>
        <v>0</v>
      </c>
      <c r="EN37" t="b">
        <f t="shared" si="70"/>
        <v>0</v>
      </c>
      <c r="EO37" t="b">
        <f t="shared" si="70"/>
        <v>0</v>
      </c>
      <c r="EP37" t="b">
        <f t="shared" si="70"/>
        <v>0</v>
      </c>
      <c r="EQ37" t="b">
        <f t="shared" si="70"/>
        <v>0</v>
      </c>
      <c r="ER37" t="b">
        <f t="shared" si="71"/>
        <v>0</v>
      </c>
      <c r="ES37" t="b">
        <f t="shared" si="71"/>
        <v>0</v>
      </c>
      <c r="ET37" t="b">
        <f t="shared" si="71"/>
        <v>0</v>
      </c>
      <c r="EU37" t="b">
        <f t="shared" si="71"/>
        <v>0</v>
      </c>
      <c r="EV37" t="b">
        <f t="shared" si="71"/>
        <v>0</v>
      </c>
      <c r="EW37" t="b">
        <f t="shared" si="71"/>
        <v>0</v>
      </c>
      <c r="EX37" t="b">
        <f t="shared" si="71"/>
        <v>0</v>
      </c>
      <c r="EY37" t="b">
        <f t="shared" si="71"/>
        <v>0</v>
      </c>
      <c r="EZ37" t="b">
        <f t="shared" si="71"/>
        <v>0</v>
      </c>
      <c r="FA37" t="b">
        <f t="shared" si="71"/>
        <v>0</v>
      </c>
      <c r="FB37" t="b">
        <f t="shared" si="72"/>
        <v>0</v>
      </c>
      <c r="FC37" t="b">
        <f t="shared" si="72"/>
        <v>0</v>
      </c>
      <c r="FD37" t="b">
        <f t="shared" si="72"/>
        <v>0</v>
      </c>
      <c r="FE37" t="b">
        <f t="shared" si="72"/>
        <v>0</v>
      </c>
      <c r="FF37" t="b">
        <f t="shared" si="72"/>
        <v>0</v>
      </c>
      <c r="FG37" t="b">
        <f t="shared" si="72"/>
        <v>0</v>
      </c>
      <c r="FH37" t="b">
        <f t="shared" si="72"/>
        <v>0</v>
      </c>
      <c r="FI37" t="b">
        <f t="shared" si="72"/>
        <v>0</v>
      </c>
      <c r="FJ37" t="b">
        <f t="shared" si="72"/>
        <v>0</v>
      </c>
      <c r="FK37" t="b">
        <f t="shared" si="72"/>
        <v>0</v>
      </c>
      <c r="FL37" t="b">
        <f t="shared" si="73"/>
        <v>0</v>
      </c>
      <c r="FM37" t="b">
        <f t="shared" si="73"/>
        <v>0</v>
      </c>
      <c r="FN37" t="b">
        <f t="shared" si="73"/>
        <v>0</v>
      </c>
      <c r="FO37" t="b">
        <f t="shared" si="73"/>
        <v>0</v>
      </c>
      <c r="FP37" t="b">
        <f t="shared" si="73"/>
        <v>0</v>
      </c>
      <c r="FQ37" t="b">
        <f t="shared" si="73"/>
        <v>0</v>
      </c>
      <c r="FR37" t="b">
        <f t="shared" si="73"/>
        <v>0</v>
      </c>
      <c r="FS37" t="b">
        <f t="shared" si="73"/>
        <v>0</v>
      </c>
      <c r="FT37" t="b">
        <f t="shared" si="73"/>
        <v>0</v>
      </c>
      <c r="FU37" t="b">
        <f t="shared" si="73"/>
        <v>0</v>
      </c>
      <c r="FV37" t="b">
        <f t="shared" si="74"/>
        <v>0</v>
      </c>
      <c r="FW37" t="b">
        <f t="shared" si="74"/>
        <v>0</v>
      </c>
      <c r="FX37" t="b">
        <f t="shared" si="74"/>
        <v>0</v>
      </c>
      <c r="FY37" t="b">
        <f t="shared" si="74"/>
        <v>0</v>
      </c>
      <c r="FZ37" t="b">
        <f t="shared" si="74"/>
        <v>0</v>
      </c>
      <c r="GA37" t="b">
        <f t="shared" si="74"/>
        <v>0</v>
      </c>
      <c r="GB37" t="b">
        <f t="shared" si="74"/>
        <v>0</v>
      </c>
      <c r="GC37" t="b">
        <f t="shared" si="74"/>
        <v>0</v>
      </c>
      <c r="GD37" t="b">
        <f t="shared" si="74"/>
        <v>0</v>
      </c>
      <c r="GE37" t="b">
        <f t="shared" si="74"/>
        <v>0</v>
      </c>
      <c r="GF37" t="b">
        <f t="shared" si="75"/>
        <v>0</v>
      </c>
      <c r="GG37" t="b">
        <f t="shared" si="75"/>
        <v>0</v>
      </c>
      <c r="GH37" t="b">
        <f t="shared" si="75"/>
        <v>0</v>
      </c>
      <c r="GI37" t="b">
        <f t="shared" si="75"/>
        <v>0</v>
      </c>
      <c r="GJ37" t="b">
        <f t="shared" si="75"/>
        <v>0</v>
      </c>
      <c r="GK37" t="b">
        <f t="shared" si="75"/>
        <v>0</v>
      </c>
      <c r="GL37" t="b">
        <f t="shared" si="75"/>
        <v>0</v>
      </c>
      <c r="GM37" t="b">
        <f t="shared" si="75"/>
        <v>0</v>
      </c>
      <c r="GN37" t="b">
        <f t="shared" si="75"/>
        <v>0</v>
      </c>
      <c r="GO37" t="b">
        <f t="shared" si="75"/>
        <v>0</v>
      </c>
      <c r="GP37" t="b">
        <f t="shared" si="76"/>
        <v>0</v>
      </c>
      <c r="GQ37" t="b">
        <f t="shared" si="76"/>
        <v>0</v>
      </c>
      <c r="GR37" t="b">
        <f t="shared" si="76"/>
        <v>0</v>
      </c>
      <c r="GS37" t="b">
        <f t="shared" si="76"/>
        <v>0</v>
      </c>
      <c r="GT37" t="b">
        <f t="shared" si="76"/>
        <v>0</v>
      </c>
      <c r="GU37" t="b">
        <f t="shared" si="76"/>
        <v>0</v>
      </c>
      <c r="GV37" t="b">
        <f t="shared" si="76"/>
        <v>0</v>
      </c>
      <c r="GW37" t="b">
        <f t="shared" si="76"/>
        <v>0</v>
      </c>
      <c r="GX37" t="b">
        <f t="shared" si="76"/>
        <v>1</v>
      </c>
      <c r="GY37" t="b">
        <f t="shared" si="76"/>
        <v>0</v>
      </c>
      <c r="GZ37" t="b">
        <f t="shared" si="76"/>
        <v>0</v>
      </c>
    </row>
    <row r="38" spans="1:208" hidden="1" x14ac:dyDescent="0.3">
      <c r="A38" t="s">
        <v>456</v>
      </c>
      <c r="B38" t="s">
        <v>467</v>
      </c>
      <c r="C38" t="s">
        <v>469</v>
      </c>
      <c r="D38" s="3">
        <v>29</v>
      </c>
      <c r="E38" s="3">
        <v>11</v>
      </c>
      <c r="F38" s="3">
        <v>37</v>
      </c>
      <c r="G38" s="3">
        <v>110</v>
      </c>
      <c r="H38" t="str">
        <f t="shared" si="19"/>
        <v>29-11</v>
      </c>
      <c r="I38" t="b">
        <v>1</v>
      </c>
      <c r="Q38" s="6">
        <v>38</v>
      </c>
      <c r="R38" t="b">
        <f t="shared" si="58"/>
        <v>0</v>
      </c>
      <c r="S38" t="b">
        <f t="shared" si="58"/>
        <v>0</v>
      </c>
      <c r="T38" t="b">
        <f t="shared" si="58"/>
        <v>0</v>
      </c>
      <c r="U38" t="b">
        <f t="shared" si="58"/>
        <v>0</v>
      </c>
      <c r="V38" t="b">
        <f t="shared" si="58"/>
        <v>0</v>
      </c>
      <c r="W38" t="b">
        <f t="shared" si="58"/>
        <v>0</v>
      </c>
      <c r="X38" t="b">
        <f t="shared" si="58"/>
        <v>0</v>
      </c>
      <c r="Y38" t="b">
        <f t="shared" si="58"/>
        <v>0</v>
      </c>
      <c r="Z38" t="b">
        <f t="shared" si="58"/>
        <v>0</v>
      </c>
      <c r="AA38" t="b">
        <f t="shared" si="58"/>
        <v>0</v>
      </c>
      <c r="AB38" t="b">
        <f t="shared" si="59"/>
        <v>0</v>
      </c>
      <c r="AC38" t="b">
        <f t="shared" si="59"/>
        <v>0</v>
      </c>
      <c r="AD38" t="b">
        <f t="shared" si="59"/>
        <v>0</v>
      </c>
      <c r="AE38" t="b">
        <f t="shared" si="59"/>
        <v>0</v>
      </c>
      <c r="AF38" t="b">
        <f t="shared" si="59"/>
        <v>0</v>
      </c>
      <c r="AG38" t="b">
        <f t="shared" si="59"/>
        <v>0</v>
      </c>
      <c r="AH38" t="b">
        <f t="shared" si="59"/>
        <v>0</v>
      </c>
      <c r="AI38" t="b">
        <f t="shared" si="59"/>
        <v>0</v>
      </c>
      <c r="AJ38" t="b">
        <f t="shared" si="59"/>
        <v>0</v>
      </c>
      <c r="AK38" t="b">
        <f t="shared" si="59"/>
        <v>0</v>
      </c>
      <c r="AL38" t="b">
        <f t="shared" si="60"/>
        <v>0</v>
      </c>
      <c r="AM38" t="b">
        <f t="shared" si="60"/>
        <v>0</v>
      </c>
      <c r="AN38" t="b">
        <f t="shared" si="60"/>
        <v>0</v>
      </c>
      <c r="AO38" t="b">
        <f t="shared" si="60"/>
        <v>0</v>
      </c>
      <c r="AP38" t="b">
        <f t="shared" si="60"/>
        <v>0</v>
      </c>
      <c r="AQ38" t="b">
        <f t="shared" si="60"/>
        <v>0</v>
      </c>
      <c r="AR38" t="b">
        <f t="shared" si="60"/>
        <v>0</v>
      </c>
      <c r="AS38" t="b">
        <f t="shared" si="60"/>
        <v>0</v>
      </c>
      <c r="AT38" t="b">
        <f t="shared" si="60"/>
        <v>0</v>
      </c>
      <c r="AU38" t="b">
        <f t="shared" si="60"/>
        <v>0</v>
      </c>
      <c r="AV38" t="b">
        <f t="shared" si="61"/>
        <v>0</v>
      </c>
      <c r="AW38" t="b">
        <f t="shared" si="61"/>
        <v>0</v>
      </c>
      <c r="AX38" t="b">
        <f t="shared" si="61"/>
        <v>0</v>
      </c>
      <c r="AY38" t="b">
        <f t="shared" si="61"/>
        <v>0</v>
      </c>
      <c r="AZ38" t="b">
        <f t="shared" si="61"/>
        <v>0</v>
      </c>
      <c r="BA38" t="b">
        <f t="shared" si="61"/>
        <v>0</v>
      </c>
      <c r="BB38" t="b">
        <f t="shared" si="61"/>
        <v>0</v>
      </c>
      <c r="BC38" t="b">
        <f t="shared" si="61"/>
        <v>0</v>
      </c>
      <c r="BD38" t="b">
        <f t="shared" si="61"/>
        <v>0</v>
      </c>
      <c r="BE38" t="b">
        <f t="shared" si="61"/>
        <v>0</v>
      </c>
      <c r="BF38" t="b">
        <f t="shared" si="62"/>
        <v>0</v>
      </c>
      <c r="BG38" t="b">
        <f t="shared" si="62"/>
        <v>0</v>
      </c>
      <c r="BH38" t="b">
        <f t="shared" si="62"/>
        <v>0</v>
      </c>
      <c r="BI38" t="b">
        <f t="shared" si="62"/>
        <v>0</v>
      </c>
      <c r="BJ38" t="b">
        <f t="shared" si="62"/>
        <v>0</v>
      </c>
      <c r="BK38" t="b">
        <f t="shared" si="62"/>
        <v>0</v>
      </c>
      <c r="BL38" t="b">
        <f t="shared" si="62"/>
        <v>0</v>
      </c>
      <c r="BM38" t="b">
        <f t="shared" si="62"/>
        <v>0</v>
      </c>
      <c r="BN38" t="b">
        <f t="shared" si="62"/>
        <v>0</v>
      </c>
      <c r="BO38" t="b">
        <f t="shared" si="62"/>
        <v>0</v>
      </c>
      <c r="BP38" t="b">
        <f t="shared" si="63"/>
        <v>0</v>
      </c>
      <c r="BQ38" t="b">
        <f t="shared" si="63"/>
        <v>0</v>
      </c>
      <c r="BR38" t="b">
        <f t="shared" si="63"/>
        <v>0</v>
      </c>
      <c r="BS38" t="b">
        <f t="shared" si="63"/>
        <v>0</v>
      </c>
      <c r="BT38" t="b">
        <f t="shared" si="63"/>
        <v>0</v>
      </c>
      <c r="BU38" t="b">
        <f t="shared" si="63"/>
        <v>0</v>
      </c>
      <c r="BV38" t="b">
        <f t="shared" si="63"/>
        <v>0</v>
      </c>
      <c r="BW38" t="b">
        <f t="shared" si="63"/>
        <v>0</v>
      </c>
      <c r="BX38" t="b">
        <f t="shared" si="63"/>
        <v>0</v>
      </c>
      <c r="BY38" t="b">
        <f t="shared" si="63"/>
        <v>0</v>
      </c>
      <c r="BZ38" t="b">
        <f t="shared" si="64"/>
        <v>0</v>
      </c>
      <c r="CA38" t="b">
        <f t="shared" si="64"/>
        <v>0</v>
      </c>
      <c r="CB38" t="b">
        <f t="shared" si="64"/>
        <v>0</v>
      </c>
      <c r="CC38" t="b">
        <f t="shared" si="64"/>
        <v>0</v>
      </c>
      <c r="CD38" t="b">
        <f t="shared" si="64"/>
        <v>0</v>
      </c>
      <c r="CE38" t="b">
        <f t="shared" si="64"/>
        <v>0</v>
      </c>
      <c r="CF38" t="b">
        <f t="shared" si="64"/>
        <v>0</v>
      </c>
      <c r="CG38" t="b">
        <f t="shared" si="64"/>
        <v>0</v>
      </c>
      <c r="CH38" t="b">
        <f t="shared" si="64"/>
        <v>0</v>
      </c>
      <c r="CI38" t="b">
        <f t="shared" si="64"/>
        <v>0</v>
      </c>
      <c r="CJ38" t="b">
        <f t="shared" si="65"/>
        <v>0</v>
      </c>
      <c r="CK38" t="b">
        <f t="shared" si="65"/>
        <v>1</v>
      </c>
      <c r="CL38" t="b">
        <f t="shared" si="65"/>
        <v>1</v>
      </c>
      <c r="CM38" t="b">
        <f t="shared" si="65"/>
        <v>0</v>
      </c>
      <c r="CN38" t="b">
        <f t="shared" si="65"/>
        <v>0</v>
      </c>
      <c r="CO38" t="b">
        <f t="shared" si="65"/>
        <v>0</v>
      </c>
      <c r="CP38" t="b">
        <f t="shared" si="65"/>
        <v>0</v>
      </c>
      <c r="CQ38" t="b">
        <f t="shared" si="65"/>
        <v>0</v>
      </c>
      <c r="CR38" t="b">
        <f t="shared" si="65"/>
        <v>0</v>
      </c>
      <c r="CS38" t="b">
        <f t="shared" si="65"/>
        <v>0</v>
      </c>
      <c r="CT38" t="b">
        <f t="shared" si="66"/>
        <v>0</v>
      </c>
      <c r="CU38" t="b">
        <f t="shared" si="66"/>
        <v>0</v>
      </c>
      <c r="CV38" t="b">
        <f t="shared" si="66"/>
        <v>0</v>
      </c>
      <c r="CW38" t="b">
        <f t="shared" si="66"/>
        <v>0</v>
      </c>
      <c r="CX38" t="b">
        <f t="shared" si="66"/>
        <v>0</v>
      </c>
      <c r="CY38" t="b">
        <f t="shared" si="66"/>
        <v>0</v>
      </c>
      <c r="CZ38" t="b">
        <f t="shared" si="66"/>
        <v>0</v>
      </c>
      <c r="DA38" t="b">
        <f t="shared" si="66"/>
        <v>0</v>
      </c>
      <c r="DB38" t="b">
        <f t="shared" si="66"/>
        <v>0</v>
      </c>
      <c r="DC38" t="b">
        <f t="shared" si="66"/>
        <v>0</v>
      </c>
      <c r="DD38" t="b">
        <f t="shared" si="67"/>
        <v>0</v>
      </c>
      <c r="DE38" t="b">
        <f t="shared" si="67"/>
        <v>0</v>
      </c>
      <c r="DF38" t="b">
        <f t="shared" si="67"/>
        <v>0</v>
      </c>
      <c r="DG38" t="b">
        <f t="shared" si="67"/>
        <v>0</v>
      </c>
      <c r="DH38" t="b">
        <f t="shared" si="67"/>
        <v>0</v>
      </c>
      <c r="DI38" t="b">
        <f t="shared" si="67"/>
        <v>0</v>
      </c>
      <c r="DJ38" t="b">
        <f t="shared" si="67"/>
        <v>0</v>
      </c>
      <c r="DK38" t="b">
        <f t="shared" si="67"/>
        <v>0</v>
      </c>
      <c r="DL38" t="b">
        <f t="shared" si="67"/>
        <v>0</v>
      </c>
      <c r="DM38" t="b">
        <f t="shared" si="67"/>
        <v>0</v>
      </c>
      <c r="DN38" t="b">
        <f t="shared" si="68"/>
        <v>0</v>
      </c>
      <c r="DO38" t="b">
        <f t="shared" si="68"/>
        <v>0</v>
      </c>
      <c r="DP38" t="b">
        <f t="shared" si="68"/>
        <v>0</v>
      </c>
      <c r="DQ38" t="b">
        <f t="shared" si="68"/>
        <v>0</v>
      </c>
      <c r="DR38" t="b">
        <f t="shared" si="68"/>
        <v>0</v>
      </c>
      <c r="DS38" t="b">
        <f t="shared" si="68"/>
        <v>0</v>
      </c>
      <c r="DT38" t="b">
        <f t="shared" si="68"/>
        <v>0</v>
      </c>
      <c r="DU38" t="b">
        <f t="shared" si="68"/>
        <v>0</v>
      </c>
      <c r="DV38" t="b">
        <f t="shared" si="68"/>
        <v>0</v>
      </c>
      <c r="DW38" t="b">
        <f t="shared" si="68"/>
        <v>0</v>
      </c>
      <c r="DX38" t="b">
        <f t="shared" si="69"/>
        <v>0</v>
      </c>
      <c r="DY38" t="b">
        <f t="shared" si="69"/>
        <v>0</v>
      </c>
      <c r="DZ38" t="b">
        <f t="shared" si="69"/>
        <v>0</v>
      </c>
      <c r="EA38" t="b">
        <f t="shared" si="69"/>
        <v>0</v>
      </c>
      <c r="EB38" t="b">
        <f t="shared" si="69"/>
        <v>0</v>
      </c>
      <c r="EC38" t="b">
        <f t="shared" si="69"/>
        <v>0</v>
      </c>
      <c r="ED38" t="b">
        <f t="shared" si="69"/>
        <v>0</v>
      </c>
      <c r="EE38" t="b">
        <f t="shared" si="69"/>
        <v>0</v>
      </c>
      <c r="EF38" t="b">
        <f t="shared" si="69"/>
        <v>0</v>
      </c>
      <c r="EG38" t="b">
        <f t="shared" si="69"/>
        <v>0</v>
      </c>
      <c r="EH38" t="b">
        <f t="shared" si="70"/>
        <v>0</v>
      </c>
      <c r="EI38" t="b">
        <f t="shared" si="70"/>
        <v>0</v>
      </c>
      <c r="EJ38" t="b">
        <f t="shared" si="70"/>
        <v>0</v>
      </c>
      <c r="EK38" t="b">
        <f t="shared" si="70"/>
        <v>0</v>
      </c>
      <c r="EL38" t="b">
        <f t="shared" si="70"/>
        <v>0</v>
      </c>
      <c r="EM38" t="b">
        <f t="shared" si="70"/>
        <v>0</v>
      </c>
      <c r="EN38" t="b">
        <f t="shared" si="70"/>
        <v>0</v>
      </c>
      <c r="EO38" t="b">
        <f t="shared" si="70"/>
        <v>0</v>
      </c>
      <c r="EP38" t="b">
        <f t="shared" si="70"/>
        <v>0</v>
      </c>
      <c r="EQ38" t="b">
        <f t="shared" si="70"/>
        <v>0</v>
      </c>
      <c r="ER38" t="b">
        <f t="shared" si="71"/>
        <v>0</v>
      </c>
      <c r="ES38" t="b">
        <f t="shared" si="71"/>
        <v>0</v>
      </c>
      <c r="ET38" t="b">
        <f t="shared" si="71"/>
        <v>0</v>
      </c>
      <c r="EU38" t="b">
        <f t="shared" si="71"/>
        <v>1</v>
      </c>
      <c r="EV38" t="b">
        <f t="shared" si="71"/>
        <v>0</v>
      </c>
      <c r="EW38" t="b">
        <f t="shared" si="71"/>
        <v>0</v>
      </c>
      <c r="EX38" t="b">
        <f t="shared" si="71"/>
        <v>0</v>
      </c>
      <c r="EY38" t="b">
        <f t="shared" si="71"/>
        <v>0</v>
      </c>
      <c r="EZ38" t="b">
        <f t="shared" si="71"/>
        <v>0</v>
      </c>
      <c r="FA38" t="b">
        <f t="shared" si="71"/>
        <v>0</v>
      </c>
      <c r="FB38" t="b">
        <f t="shared" si="72"/>
        <v>0</v>
      </c>
      <c r="FC38" t="b">
        <f t="shared" si="72"/>
        <v>0</v>
      </c>
      <c r="FD38" t="b">
        <f t="shared" si="72"/>
        <v>0</v>
      </c>
      <c r="FE38" t="b">
        <f t="shared" si="72"/>
        <v>0</v>
      </c>
      <c r="FF38" t="b">
        <f t="shared" si="72"/>
        <v>0</v>
      </c>
      <c r="FG38" t="b">
        <f t="shared" si="72"/>
        <v>0</v>
      </c>
      <c r="FH38" t="b">
        <f t="shared" si="72"/>
        <v>0</v>
      </c>
      <c r="FI38" t="b">
        <f t="shared" si="72"/>
        <v>0</v>
      </c>
      <c r="FJ38" t="b">
        <f t="shared" si="72"/>
        <v>0</v>
      </c>
      <c r="FK38" t="b">
        <f t="shared" si="72"/>
        <v>0</v>
      </c>
      <c r="FL38" t="b">
        <f t="shared" si="73"/>
        <v>1</v>
      </c>
      <c r="FM38" t="b">
        <f t="shared" si="73"/>
        <v>0</v>
      </c>
      <c r="FN38" t="b">
        <f t="shared" si="73"/>
        <v>0</v>
      </c>
      <c r="FO38" t="b">
        <f t="shared" si="73"/>
        <v>0</v>
      </c>
      <c r="FP38" t="b">
        <f t="shared" si="73"/>
        <v>0</v>
      </c>
      <c r="FQ38" t="b">
        <f t="shared" si="73"/>
        <v>0</v>
      </c>
      <c r="FR38" t="b">
        <f t="shared" si="73"/>
        <v>0</v>
      </c>
      <c r="FS38" t="b">
        <f t="shared" si="73"/>
        <v>0</v>
      </c>
      <c r="FT38" t="b">
        <f t="shared" si="73"/>
        <v>0</v>
      </c>
      <c r="FU38" t="b">
        <f t="shared" si="73"/>
        <v>0</v>
      </c>
      <c r="FV38" t="b">
        <f t="shared" si="74"/>
        <v>0</v>
      </c>
      <c r="FW38" t="b">
        <f t="shared" si="74"/>
        <v>0</v>
      </c>
      <c r="FX38" t="b">
        <f t="shared" si="74"/>
        <v>0</v>
      </c>
      <c r="FY38" t="b">
        <f t="shared" si="74"/>
        <v>0</v>
      </c>
      <c r="FZ38" t="b">
        <f t="shared" si="74"/>
        <v>0</v>
      </c>
      <c r="GA38" t="b">
        <f t="shared" si="74"/>
        <v>0</v>
      </c>
      <c r="GB38" t="b">
        <f t="shared" si="74"/>
        <v>0</v>
      </c>
      <c r="GC38" t="b">
        <f t="shared" si="74"/>
        <v>0</v>
      </c>
      <c r="GD38" t="b">
        <f t="shared" si="74"/>
        <v>0</v>
      </c>
      <c r="GE38" t="b">
        <f t="shared" si="74"/>
        <v>0</v>
      </c>
      <c r="GF38" t="b">
        <f t="shared" si="75"/>
        <v>0</v>
      </c>
      <c r="GG38" t="b">
        <f t="shared" si="75"/>
        <v>0</v>
      </c>
      <c r="GH38" t="b">
        <f t="shared" si="75"/>
        <v>0</v>
      </c>
      <c r="GI38" t="b">
        <f t="shared" si="75"/>
        <v>0</v>
      </c>
      <c r="GJ38" t="b">
        <f t="shared" si="75"/>
        <v>0</v>
      </c>
      <c r="GK38" t="b">
        <f t="shared" si="75"/>
        <v>0</v>
      </c>
      <c r="GL38" t="b">
        <f t="shared" si="75"/>
        <v>0</v>
      </c>
      <c r="GM38" t="b">
        <f t="shared" si="75"/>
        <v>0</v>
      </c>
      <c r="GN38" t="b">
        <f t="shared" si="75"/>
        <v>0</v>
      </c>
      <c r="GO38" t="b">
        <f t="shared" si="75"/>
        <v>0</v>
      </c>
      <c r="GP38" t="b">
        <f t="shared" si="76"/>
        <v>0</v>
      </c>
      <c r="GQ38" t="b">
        <f t="shared" si="76"/>
        <v>0</v>
      </c>
      <c r="GR38" t="b">
        <f t="shared" si="76"/>
        <v>0</v>
      </c>
      <c r="GS38" t="b">
        <f t="shared" si="76"/>
        <v>0</v>
      </c>
      <c r="GT38" t="b">
        <f t="shared" si="76"/>
        <v>0</v>
      </c>
      <c r="GU38" t="b">
        <f t="shared" si="76"/>
        <v>0</v>
      </c>
      <c r="GV38" t="b">
        <f t="shared" si="76"/>
        <v>0</v>
      </c>
      <c r="GW38" t="b">
        <f t="shared" si="76"/>
        <v>0</v>
      </c>
      <c r="GX38" t="b">
        <f t="shared" si="76"/>
        <v>0</v>
      </c>
      <c r="GY38" t="b">
        <f t="shared" si="76"/>
        <v>0</v>
      </c>
      <c r="GZ38" t="b">
        <f t="shared" si="76"/>
        <v>0</v>
      </c>
    </row>
    <row r="39" spans="1:208" hidden="1" x14ac:dyDescent="0.3">
      <c r="A39" t="s">
        <v>942</v>
      </c>
      <c r="B39" t="s">
        <v>943</v>
      </c>
      <c r="C39" t="s">
        <v>820</v>
      </c>
      <c r="D39" s="3">
        <v>56</v>
      </c>
      <c r="E39" s="3">
        <v>12</v>
      </c>
      <c r="F39" s="3">
        <v>38</v>
      </c>
      <c r="G39" s="3">
        <v>170</v>
      </c>
      <c r="H39" t="str">
        <f t="shared" si="19"/>
        <v>56-12</v>
      </c>
      <c r="I39" t="b">
        <v>1</v>
      </c>
      <c r="Q39" s="6">
        <v>39</v>
      </c>
      <c r="R39" t="b">
        <f t="shared" si="58"/>
        <v>0</v>
      </c>
      <c r="S39" t="b">
        <f t="shared" si="58"/>
        <v>0</v>
      </c>
      <c r="T39" t="b">
        <f t="shared" si="58"/>
        <v>0</v>
      </c>
      <c r="U39" t="b">
        <f t="shared" si="58"/>
        <v>0</v>
      </c>
      <c r="V39" t="b">
        <f t="shared" si="58"/>
        <v>0</v>
      </c>
      <c r="W39" t="b">
        <f t="shared" si="58"/>
        <v>0</v>
      </c>
      <c r="X39" t="b">
        <f t="shared" si="58"/>
        <v>0</v>
      </c>
      <c r="Y39" t="b">
        <f t="shared" si="58"/>
        <v>0</v>
      </c>
      <c r="Z39" t="b">
        <f t="shared" si="58"/>
        <v>0</v>
      </c>
      <c r="AA39" t="b">
        <f t="shared" si="58"/>
        <v>0</v>
      </c>
      <c r="AB39" t="b">
        <f t="shared" si="59"/>
        <v>0</v>
      </c>
      <c r="AC39" t="b">
        <f t="shared" si="59"/>
        <v>0</v>
      </c>
      <c r="AD39" t="b">
        <f t="shared" si="59"/>
        <v>0</v>
      </c>
      <c r="AE39" t="b">
        <f t="shared" si="59"/>
        <v>0</v>
      </c>
      <c r="AF39" t="b">
        <f t="shared" si="59"/>
        <v>0</v>
      </c>
      <c r="AG39" t="b">
        <f t="shared" si="59"/>
        <v>0</v>
      </c>
      <c r="AH39" t="b">
        <f t="shared" si="59"/>
        <v>0</v>
      </c>
      <c r="AI39" t="b">
        <f t="shared" si="59"/>
        <v>0</v>
      </c>
      <c r="AJ39" t="b">
        <f t="shared" si="59"/>
        <v>0</v>
      </c>
      <c r="AK39" t="b">
        <f t="shared" si="59"/>
        <v>0</v>
      </c>
      <c r="AL39" t="b">
        <f t="shared" si="60"/>
        <v>0</v>
      </c>
      <c r="AM39" t="b">
        <f t="shared" si="60"/>
        <v>0</v>
      </c>
      <c r="AN39" t="b">
        <f t="shared" si="60"/>
        <v>0</v>
      </c>
      <c r="AO39" t="b">
        <f t="shared" si="60"/>
        <v>0</v>
      </c>
      <c r="AP39" t="b">
        <f t="shared" si="60"/>
        <v>0</v>
      </c>
      <c r="AQ39" t="b">
        <f t="shared" si="60"/>
        <v>0</v>
      </c>
      <c r="AR39" t="b">
        <f t="shared" si="60"/>
        <v>0</v>
      </c>
      <c r="AS39" t="b">
        <f t="shared" si="60"/>
        <v>0</v>
      </c>
      <c r="AT39" t="b">
        <f t="shared" si="60"/>
        <v>0</v>
      </c>
      <c r="AU39" t="b">
        <f t="shared" si="60"/>
        <v>0</v>
      </c>
      <c r="AV39" t="b">
        <f t="shared" si="61"/>
        <v>0</v>
      </c>
      <c r="AW39" t="b">
        <f t="shared" si="61"/>
        <v>0</v>
      </c>
      <c r="AX39" t="b">
        <f t="shared" si="61"/>
        <v>0</v>
      </c>
      <c r="AY39" t="b">
        <f t="shared" si="61"/>
        <v>0</v>
      </c>
      <c r="AZ39" t="b">
        <f t="shared" si="61"/>
        <v>0</v>
      </c>
      <c r="BA39" t="b">
        <f t="shared" si="61"/>
        <v>0</v>
      </c>
      <c r="BB39" t="b">
        <f t="shared" si="61"/>
        <v>0</v>
      </c>
      <c r="BC39" t="b">
        <f t="shared" si="61"/>
        <v>0</v>
      </c>
      <c r="BD39" t="b">
        <f t="shared" si="61"/>
        <v>0</v>
      </c>
      <c r="BE39" t="b">
        <f t="shared" si="61"/>
        <v>0</v>
      </c>
      <c r="BF39" t="b">
        <f t="shared" si="62"/>
        <v>0</v>
      </c>
      <c r="BG39" t="b">
        <f t="shared" si="62"/>
        <v>0</v>
      </c>
      <c r="BH39" t="b">
        <f t="shared" si="62"/>
        <v>0</v>
      </c>
      <c r="BI39" t="b">
        <f t="shared" si="62"/>
        <v>0</v>
      </c>
      <c r="BJ39" t="b">
        <f t="shared" si="62"/>
        <v>0</v>
      </c>
      <c r="BK39" t="b">
        <f t="shared" si="62"/>
        <v>0</v>
      </c>
      <c r="BL39" t="b">
        <f t="shared" si="62"/>
        <v>0</v>
      </c>
      <c r="BM39" t="b">
        <f t="shared" si="62"/>
        <v>0</v>
      </c>
      <c r="BN39" t="b">
        <f t="shared" si="62"/>
        <v>0</v>
      </c>
      <c r="BO39" t="b">
        <f t="shared" si="62"/>
        <v>0</v>
      </c>
      <c r="BP39" t="b">
        <f t="shared" si="63"/>
        <v>0</v>
      </c>
      <c r="BQ39" t="b">
        <f t="shared" si="63"/>
        <v>0</v>
      </c>
      <c r="BR39" t="b">
        <f t="shared" si="63"/>
        <v>0</v>
      </c>
      <c r="BS39" t="b">
        <f t="shared" si="63"/>
        <v>0</v>
      </c>
      <c r="BT39" t="b">
        <f t="shared" si="63"/>
        <v>0</v>
      </c>
      <c r="BU39" t="b">
        <f t="shared" si="63"/>
        <v>0</v>
      </c>
      <c r="BV39" t="b">
        <f t="shared" si="63"/>
        <v>0</v>
      </c>
      <c r="BW39" t="b">
        <f t="shared" si="63"/>
        <v>0</v>
      </c>
      <c r="BX39" t="b">
        <f t="shared" si="63"/>
        <v>0</v>
      </c>
      <c r="BY39" t="b">
        <f t="shared" si="63"/>
        <v>0</v>
      </c>
      <c r="BZ39" t="b">
        <f t="shared" si="64"/>
        <v>0</v>
      </c>
      <c r="CA39" t="b">
        <f t="shared" si="64"/>
        <v>0</v>
      </c>
      <c r="CB39" t="b">
        <f t="shared" si="64"/>
        <v>0</v>
      </c>
      <c r="CC39" t="b">
        <f t="shared" si="64"/>
        <v>0</v>
      </c>
      <c r="CD39" t="b">
        <f t="shared" si="64"/>
        <v>0</v>
      </c>
      <c r="CE39" t="b">
        <f t="shared" si="64"/>
        <v>0</v>
      </c>
      <c r="CF39" t="b">
        <f t="shared" si="64"/>
        <v>0</v>
      </c>
      <c r="CG39" t="b">
        <f t="shared" si="64"/>
        <v>0</v>
      </c>
      <c r="CH39" t="b">
        <f t="shared" si="64"/>
        <v>0</v>
      </c>
      <c r="CI39" t="b">
        <f t="shared" si="64"/>
        <v>0</v>
      </c>
      <c r="CJ39" t="b">
        <f t="shared" si="65"/>
        <v>0</v>
      </c>
      <c r="CK39" t="b">
        <f t="shared" si="65"/>
        <v>0</v>
      </c>
      <c r="CL39" t="b">
        <f t="shared" si="65"/>
        <v>0</v>
      </c>
      <c r="CM39" t="b">
        <f t="shared" si="65"/>
        <v>0</v>
      </c>
      <c r="CN39" t="b">
        <f t="shared" si="65"/>
        <v>0</v>
      </c>
      <c r="CO39" t="b">
        <f t="shared" si="65"/>
        <v>0</v>
      </c>
      <c r="CP39" t="b">
        <f t="shared" si="65"/>
        <v>0</v>
      </c>
      <c r="CQ39" t="b">
        <f t="shared" si="65"/>
        <v>0</v>
      </c>
      <c r="CR39" t="b">
        <f t="shared" si="65"/>
        <v>0</v>
      </c>
      <c r="CS39" t="b">
        <f t="shared" si="65"/>
        <v>0</v>
      </c>
      <c r="CT39" t="b">
        <f t="shared" si="66"/>
        <v>0</v>
      </c>
      <c r="CU39" t="b">
        <f t="shared" si="66"/>
        <v>0</v>
      </c>
      <c r="CV39" t="b">
        <f t="shared" si="66"/>
        <v>0</v>
      </c>
      <c r="CW39" t="b">
        <f t="shared" si="66"/>
        <v>0</v>
      </c>
      <c r="CX39" t="b">
        <f t="shared" si="66"/>
        <v>0</v>
      </c>
      <c r="CY39" t="b">
        <f t="shared" si="66"/>
        <v>0</v>
      </c>
      <c r="CZ39" t="b">
        <f t="shared" si="66"/>
        <v>0</v>
      </c>
      <c r="DA39" t="b">
        <f t="shared" si="66"/>
        <v>0</v>
      </c>
      <c r="DB39" t="b">
        <f t="shared" si="66"/>
        <v>0</v>
      </c>
      <c r="DC39" t="b">
        <f t="shared" si="66"/>
        <v>0</v>
      </c>
      <c r="DD39" t="b">
        <f t="shared" si="67"/>
        <v>0</v>
      </c>
      <c r="DE39" t="b">
        <f t="shared" si="67"/>
        <v>0</v>
      </c>
      <c r="DF39" t="b">
        <f t="shared" si="67"/>
        <v>0</v>
      </c>
      <c r="DG39" t="b">
        <f t="shared" si="67"/>
        <v>0</v>
      </c>
      <c r="DH39" t="b">
        <f t="shared" si="67"/>
        <v>0</v>
      </c>
      <c r="DI39" t="b">
        <f t="shared" si="67"/>
        <v>0</v>
      </c>
      <c r="DJ39" t="b">
        <f t="shared" si="67"/>
        <v>0</v>
      </c>
      <c r="DK39" t="b">
        <f t="shared" si="67"/>
        <v>0</v>
      </c>
      <c r="DL39" t="b">
        <f t="shared" si="67"/>
        <v>0</v>
      </c>
      <c r="DM39" t="b">
        <f t="shared" si="67"/>
        <v>0</v>
      </c>
      <c r="DN39" t="b">
        <f t="shared" si="68"/>
        <v>0</v>
      </c>
      <c r="DO39" t="b">
        <f t="shared" si="68"/>
        <v>0</v>
      </c>
      <c r="DP39" t="b">
        <f t="shared" si="68"/>
        <v>0</v>
      </c>
      <c r="DQ39" t="b">
        <f t="shared" si="68"/>
        <v>0</v>
      </c>
      <c r="DR39" t="b">
        <f t="shared" si="68"/>
        <v>0</v>
      </c>
      <c r="DS39" t="b">
        <f t="shared" si="68"/>
        <v>0</v>
      </c>
      <c r="DT39" t="b">
        <f t="shared" si="68"/>
        <v>0</v>
      </c>
      <c r="DU39" t="b">
        <f t="shared" si="68"/>
        <v>0</v>
      </c>
      <c r="DV39" t="b">
        <f t="shared" si="68"/>
        <v>0</v>
      </c>
      <c r="DW39" t="b">
        <f t="shared" si="68"/>
        <v>0</v>
      </c>
      <c r="DX39" t="b">
        <f t="shared" si="69"/>
        <v>0</v>
      </c>
      <c r="DY39" t="b">
        <f t="shared" si="69"/>
        <v>0</v>
      </c>
      <c r="DZ39" t="b">
        <f t="shared" si="69"/>
        <v>0</v>
      </c>
      <c r="EA39" t="b">
        <f t="shared" si="69"/>
        <v>0</v>
      </c>
      <c r="EB39" t="b">
        <f t="shared" si="69"/>
        <v>0</v>
      </c>
      <c r="EC39" t="b">
        <f t="shared" si="69"/>
        <v>0</v>
      </c>
      <c r="ED39" t="b">
        <f t="shared" si="69"/>
        <v>0</v>
      </c>
      <c r="EE39" t="b">
        <f t="shared" si="69"/>
        <v>0</v>
      </c>
      <c r="EF39" t="b">
        <f t="shared" si="69"/>
        <v>0</v>
      </c>
      <c r="EG39" t="b">
        <f t="shared" si="69"/>
        <v>1</v>
      </c>
      <c r="EH39" t="b">
        <f t="shared" si="70"/>
        <v>0</v>
      </c>
      <c r="EI39" t="b">
        <f t="shared" si="70"/>
        <v>0</v>
      </c>
      <c r="EJ39" t="b">
        <f t="shared" si="70"/>
        <v>0</v>
      </c>
      <c r="EK39" t="b">
        <f t="shared" si="70"/>
        <v>0</v>
      </c>
      <c r="EL39" t="b">
        <f t="shared" si="70"/>
        <v>0</v>
      </c>
      <c r="EM39" t="b">
        <f t="shared" si="70"/>
        <v>0</v>
      </c>
      <c r="EN39" t="b">
        <f t="shared" si="70"/>
        <v>0</v>
      </c>
      <c r="EO39" t="b">
        <f t="shared" si="70"/>
        <v>0</v>
      </c>
      <c r="EP39" t="b">
        <f t="shared" si="70"/>
        <v>0</v>
      </c>
      <c r="EQ39" t="b">
        <f t="shared" si="70"/>
        <v>0</v>
      </c>
      <c r="ER39" t="b">
        <f t="shared" si="71"/>
        <v>0</v>
      </c>
      <c r="ES39" t="b">
        <f t="shared" si="71"/>
        <v>0</v>
      </c>
      <c r="ET39" t="b">
        <f t="shared" si="71"/>
        <v>0</v>
      </c>
      <c r="EU39" t="b">
        <f t="shared" si="71"/>
        <v>0</v>
      </c>
      <c r="EV39" t="b">
        <f t="shared" si="71"/>
        <v>0</v>
      </c>
      <c r="EW39" t="b">
        <f t="shared" si="71"/>
        <v>0</v>
      </c>
      <c r="EX39" t="b">
        <f t="shared" si="71"/>
        <v>0</v>
      </c>
      <c r="EY39" t="b">
        <f t="shared" si="71"/>
        <v>1</v>
      </c>
      <c r="EZ39" t="b">
        <f t="shared" si="71"/>
        <v>0</v>
      </c>
      <c r="FA39" t="b">
        <f t="shared" si="71"/>
        <v>0</v>
      </c>
      <c r="FB39" t="b">
        <f t="shared" si="72"/>
        <v>0</v>
      </c>
      <c r="FC39" t="b">
        <f t="shared" si="72"/>
        <v>0</v>
      </c>
      <c r="FD39" t="b">
        <f t="shared" si="72"/>
        <v>0</v>
      </c>
      <c r="FE39" t="b">
        <f t="shared" si="72"/>
        <v>0</v>
      </c>
      <c r="FF39" t="b">
        <f t="shared" si="72"/>
        <v>0</v>
      </c>
      <c r="FG39" t="b">
        <f t="shared" si="72"/>
        <v>0</v>
      </c>
      <c r="FH39" t="b">
        <f t="shared" si="72"/>
        <v>0</v>
      </c>
      <c r="FI39" t="b">
        <f t="shared" si="72"/>
        <v>0</v>
      </c>
      <c r="FJ39" t="b">
        <f t="shared" si="72"/>
        <v>0</v>
      </c>
      <c r="FK39" t="b">
        <f t="shared" si="72"/>
        <v>0</v>
      </c>
      <c r="FL39" t="b">
        <f t="shared" si="73"/>
        <v>0</v>
      </c>
      <c r="FM39" t="b">
        <f t="shared" si="73"/>
        <v>0</v>
      </c>
      <c r="FN39" t="b">
        <f t="shared" si="73"/>
        <v>0</v>
      </c>
      <c r="FO39" t="b">
        <f t="shared" si="73"/>
        <v>0</v>
      </c>
      <c r="FP39" t="b">
        <f t="shared" si="73"/>
        <v>0</v>
      </c>
      <c r="FQ39" t="b">
        <f t="shared" si="73"/>
        <v>0</v>
      </c>
      <c r="FR39" t="b">
        <f t="shared" si="73"/>
        <v>0</v>
      </c>
      <c r="FS39" t="b">
        <f t="shared" si="73"/>
        <v>0</v>
      </c>
      <c r="FT39" t="b">
        <f t="shared" si="73"/>
        <v>0</v>
      </c>
      <c r="FU39" t="b">
        <f t="shared" si="73"/>
        <v>0</v>
      </c>
      <c r="FV39" t="b">
        <f t="shared" si="74"/>
        <v>0</v>
      </c>
      <c r="FW39" t="b">
        <f t="shared" si="74"/>
        <v>0</v>
      </c>
      <c r="FX39" t="b">
        <f t="shared" si="74"/>
        <v>0</v>
      </c>
      <c r="FY39" t="b">
        <f t="shared" si="74"/>
        <v>0</v>
      </c>
      <c r="FZ39" t="b">
        <f t="shared" si="74"/>
        <v>0</v>
      </c>
      <c r="GA39" t="b">
        <f t="shared" si="74"/>
        <v>0</v>
      </c>
      <c r="GB39" t="b">
        <f t="shared" si="74"/>
        <v>0</v>
      </c>
      <c r="GC39" t="b">
        <f t="shared" si="74"/>
        <v>0</v>
      </c>
      <c r="GD39" t="b">
        <f t="shared" si="74"/>
        <v>0</v>
      </c>
      <c r="GE39" t="b">
        <f t="shared" si="74"/>
        <v>0</v>
      </c>
      <c r="GF39" t="b">
        <f t="shared" si="75"/>
        <v>0</v>
      </c>
      <c r="GG39" t="b">
        <f t="shared" si="75"/>
        <v>0</v>
      </c>
      <c r="GH39" t="b">
        <f t="shared" si="75"/>
        <v>0</v>
      </c>
      <c r="GI39" t="b">
        <f t="shared" si="75"/>
        <v>0</v>
      </c>
      <c r="GJ39" t="b">
        <f t="shared" si="75"/>
        <v>0</v>
      </c>
      <c r="GK39" t="b">
        <f t="shared" si="75"/>
        <v>0</v>
      </c>
      <c r="GL39" t="b">
        <f t="shared" si="75"/>
        <v>0</v>
      </c>
      <c r="GM39" t="b">
        <f t="shared" si="75"/>
        <v>0</v>
      </c>
      <c r="GN39" t="b">
        <f t="shared" si="75"/>
        <v>0</v>
      </c>
      <c r="GO39" t="b">
        <f t="shared" si="75"/>
        <v>0</v>
      </c>
      <c r="GP39" t="b">
        <f t="shared" si="76"/>
        <v>0</v>
      </c>
      <c r="GQ39" t="b">
        <f t="shared" si="76"/>
        <v>0</v>
      </c>
      <c r="GR39" t="b">
        <f t="shared" si="76"/>
        <v>0</v>
      </c>
      <c r="GS39" t="b">
        <f t="shared" si="76"/>
        <v>0</v>
      </c>
      <c r="GT39" t="b">
        <f t="shared" si="76"/>
        <v>0</v>
      </c>
      <c r="GU39" t="b">
        <f t="shared" si="76"/>
        <v>0</v>
      </c>
      <c r="GV39" t="b">
        <f t="shared" si="76"/>
        <v>0</v>
      </c>
      <c r="GW39" t="b">
        <f t="shared" si="76"/>
        <v>0</v>
      </c>
      <c r="GX39" t="b">
        <f t="shared" si="76"/>
        <v>0</v>
      </c>
      <c r="GY39" t="b">
        <f t="shared" si="76"/>
        <v>0</v>
      </c>
      <c r="GZ39" t="b">
        <f t="shared" si="76"/>
        <v>0</v>
      </c>
    </row>
    <row r="40" spans="1:208" hidden="1" x14ac:dyDescent="0.3">
      <c r="A40" t="s">
        <v>942</v>
      </c>
      <c r="B40" t="s">
        <v>943</v>
      </c>
      <c r="C40" t="s">
        <v>944</v>
      </c>
      <c r="D40" s="3">
        <v>56</v>
      </c>
      <c r="E40" s="3">
        <v>12</v>
      </c>
      <c r="F40" s="3">
        <v>39</v>
      </c>
      <c r="G40" s="3">
        <v>40</v>
      </c>
      <c r="H40" t="str">
        <f t="shared" si="19"/>
        <v>56-12</v>
      </c>
      <c r="I40" t="b">
        <v>1</v>
      </c>
      <c r="Q40" s="6">
        <v>40</v>
      </c>
      <c r="R40" t="b">
        <f t="shared" si="58"/>
        <v>0</v>
      </c>
      <c r="S40" t="b">
        <f t="shared" si="58"/>
        <v>0</v>
      </c>
      <c r="T40" t="b">
        <f t="shared" si="58"/>
        <v>0</v>
      </c>
      <c r="U40" t="b">
        <f t="shared" si="58"/>
        <v>0</v>
      </c>
      <c r="V40" t="b">
        <f t="shared" si="58"/>
        <v>0</v>
      </c>
      <c r="W40" t="b">
        <f t="shared" si="58"/>
        <v>0</v>
      </c>
      <c r="X40" t="b">
        <f t="shared" si="58"/>
        <v>0</v>
      </c>
      <c r="Y40" t="b">
        <f t="shared" si="58"/>
        <v>0</v>
      </c>
      <c r="Z40" t="b">
        <f t="shared" si="58"/>
        <v>0</v>
      </c>
      <c r="AA40" t="b">
        <f t="shared" si="58"/>
        <v>0</v>
      </c>
      <c r="AB40" t="b">
        <f t="shared" si="59"/>
        <v>0</v>
      </c>
      <c r="AC40" t="b">
        <f t="shared" si="59"/>
        <v>0</v>
      </c>
      <c r="AD40" t="b">
        <f t="shared" si="59"/>
        <v>0</v>
      </c>
      <c r="AE40" t="b">
        <f t="shared" si="59"/>
        <v>0</v>
      </c>
      <c r="AF40" t="b">
        <f t="shared" si="59"/>
        <v>0</v>
      </c>
      <c r="AG40" t="b">
        <f t="shared" si="59"/>
        <v>0</v>
      </c>
      <c r="AH40" t="b">
        <f t="shared" si="59"/>
        <v>0</v>
      </c>
      <c r="AI40" t="b">
        <f t="shared" si="59"/>
        <v>0</v>
      </c>
      <c r="AJ40" t="b">
        <f t="shared" si="59"/>
        <v>0</v>
      </c>
      <c r="AK40" t="b">
        <f t="shared" si="59"/>
        <v>0</v>
      </c>
      <c r="AL40" t="b">
        <f t="shared" si="60"/>
        <v>0</v>
      </c>
      <c r="AM40" t="b">
        <f t="shared" si="60"/>
        <v>0</v>
      </c>
      <c r="AN40" t="b">
        <f t="shared" si="60"/>
        <v>0</v>
      </c>
      <c r="AO40" t="b">
        <f t="shared" si="60"/>
        <v>0</v>
      </c>
      <c r="AP40" t="b">
        <f t="shared" si="60"/>
        <v>0</v>
      </c>
      <c r="AQ40" t="b">
        <f t="shared" si="60"/>
        <v>0</v>
      </c>
      <c r="AR40" t="b">
        <f t="shared" si="60"/>
        <v>0</v>
      </c>
      <c r="AS40" t="b">
        <f t="shared" si="60"/>
        <v>0</v>
      </c>
      <c r="AT40" t="b">
        <f t="shared" si="60"/>
        <v>0</v>
      </c>
      <c r="AU40" t="b">
        <f t="shared" si="60"/>
        <v>0</v>
      </c>
      <c r="AV40" t="b">
        <f t="shared" si="61"/>
        <v>0</v>
      </c>
      <c r="AW40" t="b">
        <f t="shared" si="61"/>
        <v>0</v>
      </c>
      <c r="AX40" t="b">
        <f t="shared" si="61"/>
        <v>0</v>
      </c>
      <c r="AY40" t="b">
        <f t="shared" si="61"/>
        <v>0</v>
      </c>
      <c r="AZ40" t="b">
        <f t="shared" si="61"/>
        <v>0</v>
      </c>
      <c r="BA40" t="b">
        <f t="shared" si="61"/>
        <v>0</v>
      </c>
      <c r="BB40" t="b">
        <f t="shared" si="61"/>
        <v>0</v>
      </c>
      <c r="BC40" t="b">
        <f t="shared" si="61"/>
        <v>0</v>
      </c>
      <c r="BD40" t="b">
        <f t="shared" si="61"/>
        <v>0</v>
      </c>
      <c r="BE40" t="b">
        <f t="shared" si="61"/>
        <v>0</v>
      </c>
      <c r="BF40" t="b">
        <f t="shared" si="62"/>
        <v>0</v>
      </c>
      <c r="BG40" t="b">
        <f t="shared" si="62"/>
        <v>0</v>
      </c>
      <c r="BH40" t="b">
        <f t="shared" si="62"/>
        <v>0</v>
      </c>
      <c r="BI40" t="b">
        <f t="shared" si="62"/>
        <v>0</v>
      </c>
      <c r="BJ40" t="b">
        <f t="shared" si="62"/>
        <v>0</v>
      </c>
      <c r="BK40" t="b">
        <f t="shared" si="62"/>
        <v>0</v>
      </c>
      <c r="BL40" t="b">
        <f t="shared" si="62"/>
        <v>0</v>
      </c>
      <c r="BM40" t="b">
        <f t="shared" si="62"/>
        <v>0</v>
      </c>
      <c r="BN40" t="b">
        <f t="shared" si="62"/>
        <v>0</v>
      </c>
      <c r="BO40" t="b">
        <f t="shared" si="62"/>
        <v>0</v>
      </c>
      <c r="BP40" t="b">
        <f t="shared" si="63"/>
        <v>0</v>
      </c>
      <c r="BQ40" t="b">
        <f t="shared" si="63"/>
        <v>0</v>
      </c>
      <c r="BR40" t="b">
        <f t="shared" si="63"/>
        <v>0</v>
      </c>
      <c r="BS40" t="b">
        <f t="shared" si="63"/>
        <v>0</v>
      </c>
      <c r="BT40" t="b">
        <f t="shared" si="63"/>
        <v>0</v>
      </c>
      <c r="BU40" t="b">
        <f t="shared" si="63"/>
        <v>0</v>
      </c>
      <c r="BV40" t="b">
        <f t="shared" si="63"/>
        <v>0</v>
      </c>
      <c r="BW40" t="b">
        <f t="shared" si="63"/>
        <v>0</v>
      </c>
      <c r="BX40" t="b">
        <f t="shared" si="63"/>
        <v>0</v>
      </c>
      <c r="BY40" t="b">
        <f t="shared" si="63"/>
        <v>0</v>
      </c>
      <c r="BZ40" t="b">
        <f t="shared" si="64"/>
        <v>0</v>
      </c>
      <c r="CA40" t="b">
        <f t="shared" si="64"/>
        <v>0</v>
      </c>
      <c r="CB40" t="b">
        <f t="shared" si="64"/>
        <v>0</v>
      </c>
      <c r="CC40" t="b">
        <f t="shared" si="64"/>
        <v>0</v>
      </c>
      <c r="CD40" t="b">
        <f t="shared" si="64"/>
        <v>0</v>
      </c>
      <c r="CE40" t="b">
        <f t="shared" si="64"/>
        <v>0</v>
      </c>
      <c r="CF40" t="b">
        <f t="shared" si="64"/>
        <v>0</v>
      </c>
      <c r="CG40" t="b">
        <f t="shared" si="64"/>
        <v>0</v>
      </c>
      <c r="CH40" t="b">
        <f t="shared" si="64"/>
        <v>0</v>
      </c>
      <c r="CI40" t="b">
        <f t="shared" si="64"/>
        <v>0</v>
      </c>
      <c r="CJ40" t="b">
        <f t="shared" si="65"/>
        <v>0</v>
      </c>
      <c r="CK40" t="b">
        <f t="shared" si="65"/>
        <v>0</v>
      </c>
      <c r="CL40" t="b">
        <f t="shared" si="65"/>
        <v>0</v>
      </c>
      <c r="CM40" t="b">
        <f t="shared" si="65"/>
        <v>0</v>
      </c>
      <c r="CN40" t="b">
        <f t="shared" si="65"/>
        <v>0</v>
      </c>
      <c r="CO40" t="b">
        <f t="shared" si="65"/>
        <v>0</v>
      </c>
      <c r="CP40" t="b">
        <f t="shared" si="65"/>
        <v>0</v>
      </c>
      <c r="CQ40" t="b">
        <f t="shared" si="65"/>
        <v>0</v>
      </c>
      <c r="CR40" t="b">
        <f t="shared" si="65"/>
        <v>0</v>
      </c>
      <c r="CS40" t="b">
        <f t="shared" si="65"/>
        <v>0</v>
      </c>
      <c r="CT40" t="b">
        <f t="shared" si="66"/>
        <v>0</v>
      </c>
      <c r="CU40" t="b">
        <f t="shared" si="66"/>
        <v>0</v>
      </c>
      <c r="CV40" t="b">
        <f t="shared" si="66"/>
        <v>0</v>
      </c>
      <c r="CW40" t="b">
        <f t="shared" si="66"/>
        <v>0</v>
      </c>
      <c r="CX40" t="b">
        <f t="shared" si="66"/>
        <v>0</v>
      </c>
      <c r="CY40" t="b">
        <f t="shared" si="66"/>
        <v>0</v>
      </c>
      <c r="CZ40" t="b">
        <f t="shared" si="66"/>
        <v>0</v>
      </c>
      <c r="DA40" t="b">
        <f t="shared" si="66"/>
        <v>0</v>
      </c>
      <c r="DB40" t="b">
        <f t="shared" si="66"/>
        <v>0</v>
      </c>
      <c r="DC40" t="b">
        <f t="shared" si="66"/>
        <v>0</v>
      </c>
      <c r="DD40" t="b">
        <f t="shared" si="67"/>
        <v>0</v>
      </c>
      <c r="DE40" t="b">
        <f t="shared" si="67"/>
        <v>0</v>
      </c>
      <c r="DF40" t="b">
        <f t="shared" si="67"/>
        <v>0</v>
      </c>
      <c r="DG40" t="b">
        <f t="shared" si="67"/>
        <v>0</v>
      </c>
      <c r="DH40" t="b">
        <f t="shared" si="67"/>
        <v>0</v>
      </c>
      <c r="DI40" t="b">
        <f t="shared" si="67"/>
        <v>0</v>
      </c>
      <c r="DJ40" t="b">
        <f t="shared" si="67"/>
        <v>0</v>
      </c>
      <c r="DK40" t="b">
        <f t="shared" si="67"/>
        <v>0</v>
      </c>
      <c r="DL40" t="b">
        <f t="shared" si="67"/>
        <v>0</v>
      </c>
      <c r="DM40" t="b">
        <f t="shared" si="67"/>
        <v>0</v>
      </c>
      <c r="DN40" t="b">
        <f t="shared" si="68"/>
        <v>0</v>
      </c>
      <c r="DO40" t="b">
        <f t="shared" si="68"/>
        <v>0</v>
      </c>
      <c r="DP40" t="b">
        <f t="shared" si="68"/>
        <v>0</v>
      </c>
      <c r="DQ40" t="b">
        <f t="shared" si="68"/>
        <v>0</v>
      </c>
      <c r="DR40" t="b">
        <f t="shared" si="68"/>
        <v>0</v>
      </c>
      <c r="DS40" t="b">
        <f t="shared" si="68"/>
        <v>0</v>
      </c>
      <c r="DT40" t="b">
        <f t="shared" si="68"/>
        <v>0</v>
      </c>
      <c r="DU40" t="b">
        <f t="shared" si="68"/>
        <v>0</v>
      </c>
      <c r="DV40" t="b">
        <f t="shared" si="68"/>
        <v>0</v>
      </c>
      <c r="DW40" t="b">
        <f t="shared" si="68"/>
        <v>0</v>
      </c>
      <c r="DX40" t="b">
        <f t="shared" si="69"/>
        <v>0</v>
      </c>
      <c r="DY40" t="b">
        <f t="shared" si="69"/>
        <v>0</v>
      </c>
      <c r="DZ40" t="b">
        <f t="shared" si="69"/>
        <v>0</v>
      </c>
      <c r="EA40" t="b">
        <f t="shared" si="69"/>
        <v>1</v>
      </c>
      <c r="EB40" t="b">
        <f t="shared" si="69"/>
        <v>0</v>
      </c>
      <c r="EC40" t="b">
        <f t="shared" si="69"/>
        <v>0</v>
      </c>
      <c r="ED40" t="b">
        <f t="shared" si="69"/>
        <v>0</v>
      </c>
      <c r="EE40" t="b">
        <f t="shared" si="69"/>
        <v>0</v>
      </c>
      <c r="EF40" t="b">
        <f t="shared" si="69"/>
        <v>0</v>
      </c>
      <c r="EG40" t="b">
        <f t="shared" si="69"/>
        <v>0</v>
      </c>
      <c r="EH40" t="b">
        <f t="shared" si="70"/>
        <v>0</v>
      </c>
      <c r="EI40" t="b">
        <f t="shared" si="70"/>
        <v>0</v>
      </c>
      <c r="EJ40" t="b">
        <f t="shared" si="70"/>
        <v>0</v>
      </c>
      <c r="EK40" t="b">
        <f t="shared" si="70"/>
        <v>0</v>
      </c>
      <c r="EL40" t="b">
        <f t="shared" si="70"/>
        <v>0</v>
      </c>
      <c r="EM40" t="b">
        <f t="shared" si="70"/>
        <v>0</v>
      </c>
      <c r="EN40" t="b">
        <f t="shared" si="70"/>
        <v>0</v>
      </c>
      <c r="EO40" t="b">
        <f t="shared" si="70"/>
        <v>0</v>
      </c>
      <c r="EP40" t="b">
        <f t="shared" si="70"/>
        <v>0</v>
      </c>
      <c r="EQ40" t="b">
        <f t="shared" si="70"/>
        <v>0</v>
      </c>
      <c r="ER40" t="b">
        <f t="shared" si="71"/>
        <v>0</v>
      </c>
      <c r="ES40" t="b">
        <f t="shared" si="71"/>
        <v>0</v>
      </c>
      <c r="ET40" t="b">
        <f t="shared" si="71"/>
        <v>0</v>
      </c>
      <c r="EU40" t="b">
        <f t="shared" si="71"/>
        <v>0</v>
      </c>
      <c r="EV40" t="b">
        <f t="shared" si="71"/>
        <v>0</v>
      </c>
      <c r="EW40" t="b">
        <f t="shared" si="71"/>
        <v>0</v>
      </c>
      <c r="EX40" t="b">
        <f t="shared" si="71"/>
        <v>0</v>
      </c>
      <c r="EY40" t="b">
        <f t="shared" si="71"/>
        <v>0</v>
      </c>
      <c r="EZ40" t="b">
        <f t="shared" si="71"/>
        <v>0</v>
      </c>
      <c r="FA40" t="b">
        <f t="shared" si="71"/>
        <v>0</v>
      </c>
      <c r="FB40" t="b">
        <f t="shared" si="72"/>
        <v>0</v>
      </c>
      <c r="FC40" t="b">
        <f t="shared" si="72"/>
        <v>0</v>
      </c>
      <c r="FD40" t="b">
        <f t="shared" si="72"/>
        <v>0</v>
      </c>
      <c r="FE40" t="b">
        <f t="shared" si="72"/>
        <v>0</v>
      </c>
      <c r="FF40" t="b">
        <f t="shared" si="72"/>
        <v>0</v>
      </c>
      <c r="FG40" t="b">
        <f t="shared" si="72"/>
        <v>0</v>
      </c>
      <c r="FH40" t="b">
        <f t="shared" si="72"/>
        <v>0</v>
      </c>
      <c r="FI40" t="b">
        <f t="shared" si="72"/>
        <v>0</v>
      </c>
      <c r="FJ40" t="b">
        <f t="shared" si="72"/>
        <v>0</v>
      </c>
      <c r="FK40" t="b">
        <f t="shared" si="72"/>
        <v>0</v>
      </c>
      <c r="FL40" t="b">
        <f t="shared" si="73"/>
        <v>0</v>
      </c>
      <c r="FM40" t="b">
        <f t="shared" si="73"/>
        <v>0</v>
      </c>
      <c r="FN40" t="b">
        <f t="shared" si="73"/>
        <v>0</v>
      </c>
      <c r="FO40" t="b">
        <f t="shared" si="73"/>
        <v>0</v>
      </c>
      <c r="FP40" t="b">
        <f t="shared" si="73"/>
        <v>0</v>
      </c>
      <c r="FQ40" t="b">
        <f t="shared" si="73"/>
        <v>0</v>
      </c>
      <c r="FR40" t="b">
        <f t="shared" si="73"/>
        <v>0</v>
      </c>
      <c r="FS40" t="b">
        <f t="shared" si="73"/>
        <v>0</v>
      </c>
      <c r="FT40" t="b">
        <f t="shared" si="73"/>
        <v>0</v>
      </c>
      <c r="FU40" t="b">
        <f t="shared" si="73"/>
        <v>0</v>
      </c>
      <c r="FV40" t="b">
        <f t="shared" si="74"/>
        <v>0</v>
      </c>
      <c r="FW40" t="b">
        <f t="shared" si="74"/>
        <v>0</v>
      </c>
      <c r="FX40" t="b">
        <f t="shared" si="74"/>
        <v>0</v>
      </c>
      <c r="FY40" t="b">
        <f t="shared" si="74"/>
        <v>0</v>
      </c>
      <c r="FZ40" t="b">
        <f t="shared" si="74"/>
        <v>0</v>
      </c>
      <c r="GA40" t="b">
        <f t="shared" si="74"/>
        <v>0</v>
      </c>
      <c r="GB40" t="b">
        <f t="shared" si="74"/>
        <v>0</v>
      </c>
      <c r="GC40" t="b">
        <f t="shared" si="74"/>
        <v>0</v>
      </c>
      <c r="GD40" t="b">
        <f t="shared" si="74"/>
        <v>0</v>
      </c>
      <c r="GE40" t="b">
        <f t="shared" si="74"/>
        <v>0</v>
      </c>
      <c r="GF40" t="b">
        <f t="shared" si="75"/>
        <v>0</v>
      </c>
      <c r="GG40" t="b">
        <f t="shared" si="75"/>
        <v>0</v>
      </c>
      <c r="GH40" t="b">
        <f t="shared" si="75"/>
        <v>0</v>
      </c>
      <c r="GI40" t="b">
        <f t="shared" si="75"/>
        <v>0</v>
      </c>
      <c r="GJ40" t="b">
        <f t="shared" si="75"/>
        <v>0</v>
      </c>
      <c r="GK40" t="b">
        <f t="shared" si="75"/>
        <v>0</v>
      </c>
      <c r="GL40" t="b">
        <f t="shared" si="75"/>
        <v>0</v>
      </c>
      <c r="GM40" t="b">
        <f t="shared" si="75"/>
        <v>0</v>
      </c>
      <c r="GN40" t="b">
        <f t="shared" si="75"/>
        <v>0</v>
      </c>
      <c r="GO40" t="b">
        <f t="shared" si="75"/>
        <v>0</v>
      </c>
      <c r="GP40" t="b">
        <f t="shared" si="76"/>
        <v>0</v>
      </c>
      <c r="GQ40" t="b">
        <f t="shared" si="76"/>
        <v>0</v>
      </c>
      <c r="GR40" t="b">
        <f t="shared" si="76"/>
        <v>0</v>
      </c>
      <c r="GS40" t="b">
        <f t="shared" si="76"/>
        <v>0</v>
      </c>
      <c r="GT40" t="b">
        <f t="shared" si="76"/>
        <v>0</v>
      </c>
      <c r="GU40" t="b">
        <f t="shared" si="76"/>
        <v>0</v>
      </c>
      <c r="GV40" t="b">
        <f t="shared" si="76"/>
        <v>0</v>
      </c>
      <c r="GW40" t="b">
        <f t="shared" si="76"/>
        <v>0</v>
      </c>
      <c r="GX40" t="b">
        <f t="shared" si="76"/>
        <v>0</v>
      </c>
      <c r="GY40" t="b">
        <f t="shared" si="76"/>
        <v>0</v>
      </c>
      <c r="GZ40" t="b">
        <f t="shared" si="76"/>
        <v>0</v>
      </c>
    </row>
    <row r="41" spans="1:208" hidden="1" x14ac:dyDescent="0.3">
      <c r="A41" t="s">
        <v>456</v>
      </c>
      <c r="B41" t="s">
        <v>470</v>
      </c>
      <c r="C41" t="s">
        <v>471</v>
      </c>
      <c r="D41" s="3">
        <v>29</v>
      </c>
      <c r="E41" s="3">
        <v>13</v>
      </c>
      <c r="F41" s="3">
        <v>40</v>
      </c>
      <c r="G41" s="3">
        <v>130</v>
      </c>
      <c r="H41" t="str">
        <f t="shared" si="19"/>
        <v>29-13</v>
      </c>
      <c r="I41" t="b">
        <v>1</v>
      </c>
      <c r="Q41" s="6">
        <v>41</v>
      </c>
      <c r="R41" t="b">
        <f t="shared" si="58"/>
        <v>0</v>
      </c>
      <c r="S41" t="b">
        <f t="shared" si="58"/>
        <v>0</v>
      </c>
      <c r="T41" t="b">
        <f t="shared" si="58"/>
        <v>0</v>
      </c>
      <c r="U41" t="b">
        <f t="shared" si="58"/>
        <v>0</v>
      </c>
      <c r="V41" t="b">
        <f t="shared" si="58"/>
        <v>0</v>
      </c>
      <c r="W41" t="b">
        <f t="shared" si="58"/>
        <v>0</v>
      </c>
      <c r="X41" t="b">
        <f t="shared" si="58"/>
        <v>0</v>
      </c>
      <c r="Y41" t="b">
        <f t="shared" si="58"/>
        <v>0</v>
      </c>
      <c r="Z41" t="b">
        <f t="shared" si="58"/>
        <v>0</v>
      </c>
      <c r="AA41" t="b">
        <f t="shared" si="58"/>
        <v>0</v>
      </c>
      <c r="AB41" t="b">
        <f t="shared" si="59"/>
        <v>0</v>
      </c>
      <c r="AC41" t="b">
        <f t="shared" si="59"/>
        <v>0</v>
      </c>
      <c r="AD41" t="b">
        <f t="shared" si="59"/>
        <v>0</v>
      </c>
      <c r="AE41" t="b">
        <f t="shared" si="59"/>
        <v>0</v>
      </c>
      <c r="AF41" t="b">
        <f t="shared" si="59"/>
        <v>0</v>
      </c>
      <c r="AG41" t="b">
        <f t="shared" si="59"/>
        <v>0</v>
      </c>
      <c r="AH41" t="b">
        <f t="shared" si="59"/>
        <v>0</v>
      </c>
      <c r="AI41" t="b">
        <f t="shared" si="59"/>
        <v>0</v>
      </c>
      <c r="AJ41" t="b">
        <f t="shared" si="59"/>
        <v>0</v>
      </c>
      <c r="AK41" t="b">
        <f t="shared" si="59"/>
        <v>0</v>
      </c>
      <c r="AL41" t="b">
        <f t="shared" si="60"/>
        <v>0</v>
      </c>
      <c r="AM41" t="b">
        <f t="shared" si="60"/>
        <v>0</v>
      </c>
      <c r="AN41" t="b">
        <f t="shared" si="60"/>
        <v>0</v>
      </c>
      <c r="AO41" t="b">
        <f t="shared" si="60"/>
        <v>0</v>
      </c>
      <c r="AP41" t="b">
        <f t="shared" si="60"/>
        <v>0</v>
      </c>
      <c r="AQ41" t="b">
        <f t="shared" si="60"/>
        <v>0</v>
      </c>
      <c r="AR41" t="b">
        <f t="shared" si="60"/>
        <v>0</v>
      </c>
      <c r="AS41" t="b">
        <f t="shared" si="60"/>
        <v>0</v>
      </c>
      <c r="AT41" t="b">
        <f t="shared" si="60"/>
        <v>0</v>
      </c>
      <c r="AU41" t="b">
        <f t="shared" si="60"/>
        <v>0</v>
      </c>
      <c r="AV41" t="b">
        <f t="shared" si="61"/>
        <v>0</v>
      </c>
      <c r="AW41" t="b">
        <f t="shared" si="61"/>
        <v>0</v>
      </c>
      <c r="AX41" t="b">
        <f t="shared" si="61"/>
        <v>0</v>
      </c>
      <c r="AY41" t="b">
        <f t="shared" si="61"/>
        <v>0</v>
      </c>
      <c r="AZ41" t="b">
        <f t="shared" si="61"/>
        <v>0</v>
      </c>
      <c r="BA41" t="b">
        <f t="shared" si="61"/>
        <v>0</v>
      </c>
      <c r="BB41" t="b">
        <f t="shared" si="61"/>
        <v>0</v>
      </c>
      <c r="BC41" t="b">
        <f t="shared" si="61"/>
        <v>0</v>
      </c>
      <c r="BD41" t="b">
        <f t="shared" si="61"/>
        <v>0</v>
      </c>
      <c r="BE41" t="b">
        <f t="shared" si="61"/>
        <v>0</v>
      </c>
      <c r="BF41" t="b">
        <f t="shared" si="62"/>
        <v>0</v>
      </c>
      <c r="BG41" t="b">
        <f t="shared" si="62"/>
        <v>0</v>
      </c>
      <c r="BH41" t="b">
        <f t="shared" si="62"/>
        <v>0</v>
      </c>
      <c r="BI41" t="b">
        <f t="shared" si="62"/>
        <v>0</v>
      </c>
      <c r="BJ41" t="b">
        <f t="shared" si="62"/>
        <v>0</v>
      </c>
      <c r="BK41" t="b">
        <f t="shared" si="62"/>
        <v>0</v>
      </c>
      <c r="BL41" t="b">
        <f t="shared" si="62"/>
        <v>0</v>
      </c>
      <c r="BM41" t="b">
        <f t="shared" si="62"/>
        <v>0</v>
      </c>
      <c r="BN41" t="b">
        <f t="shared" si="62"/>
        <v>0</v>
      </c>
      <c r="BO41" t="b">
        <f t="shared" si="62"/>
        <v>0</v>
      </c>
      <c r="BP41" t="b">
        <f t="shared" si="63"/>
        <v>0</v>
      </c>
      <c r="BQ41" t="b">
        <f t="shared" si="63"/>
        <v>0</v>
      </c>
      <c r="BR41" t="b">
        <f t="shared" si="63"/>
        <v>0</v>
      </c>
      <c r="BS41" t="b">
        <f t="shared" si="63"/>
        <v>0</v>
      </c>
      <c r="BT41" t="b">
        <f t="shared" si="63"/>
        <v>0</v>
      </c>
      <c r="BU41" t="b">
        <f t="shared" si="63"/>
        <v>0</v>
      </c>
      <c r="BV41" t="b">
        <f t="shared" si="63"/>
        <v>0</v>
      </c>
      <c r="BW41" t="b">
        <f t="shared" si="63"/>
        <v>0</v>
      </c>
      <c r="BX41" t="b">
        <f t="shared" si="63"/>
        <v>0</v>
      </c>
      <c r="BY41" t="b">
        <f t="shared" si="63"/>
        <v>0</v>
      </c>
      <c r="BZ41" t="b">
        <f t="shared" si="64"/>
        <v>0</v>
      </c>
      <c r="CA41" t="b">
        <f t="shared" si="64"/>
        <v>0</v>
      </c>
      <c r="CB41" t="b">
        <f t="shared" si="64"/>
        <v>0</v>
      </c>
      <c r="CC41" t="b">
        <f t="shared" si="64"/>
        <v>0</v>
      </c>
      <c r="CD41" t="b">
        <f t="shared" si="64"/>
        <v>0</v>
      </c>
      <c r="CE41" t="b">
        <f t="shared" si="64"/>
        <v>0</v>
      </c>
      <c r="CF41" t="b">
        <f t="shared" si="64"/>
        <v>0</v>
      </c>
      <c r="CG41" t="b">
        <f t="shared" si="64"/>
        <v>0</v>
      </c>
      <c r="CH41" t="b">
        <f t="shared" si="64"/>
        <v>0</v>
      </c>
      <c r="CI41" t="b">
        <f t="shared" si="64"/>
        <v>0</v>
      </c>
      <c r="CJ41" t="b">
        <f t="shared" si="65"/>
        <v>0</v>
      </c>
      <c r="CK41" t="b">
        <f t="shared" si="65"/>
        <v>0</v>
      </c>
      <c r="CL41" t="b">
        <f t="shared" si="65"/>
        <v>0</v>
      </c>
      <c r="CM41" t="b">
        <f t="shared" si="65"/>
        <v>0</v>
      </c>
      <c r="CN41" t="b">
        <f t="shared" si="65"/>
        <v>0</v>
      </c>
      <c r="CO41" t="b">
        <f t="shared" si="65"/>
        <v>0</v>
      </c>
      <c r="CP41" t="b">
        <f t="shared" si="65"/>
        <v>0</v>
      </c>
      <c r="CQ41" t="b">
        <f t="shared" si="65"/>
        <v>0</v>
      </c>
      <c r="CR41" t="b">
        <f t="shared" si="65"/>
        <v>1</v>
      </c>
      <c r="CS41" t="b">
        <f t="shared" si="65"/>
        <v>0</v>
      </c>
      <c r="CT41" t="b">
        <f t="shared" si="66"/>
        <v>0</v>
      </c>
      <c r="CU41" t="b">
        <f t="shared" si="66"/>
        <v>0</v>
      </c>
      <c r="CV41" t="b">
        <f t="shared" si="66"/>
        <v>0</v>
      </c>
      <c r="CW41" t="b">
        <f t="shared" si="66"/>
        <v>0</v>
      </c>
      <c r="CX41" t="b">
        <f t="shared" si="66"/>
        <v>0</v>
      </c>
      <c r="CY41" t="b">
        <f t="shared" si="66"/>
        <v>0</v>
      </c>
      <c r="CZ41" t="b">
        <f t="shared" si="66"/>
        <v>0</v>
      </c>
      <c r="DA41" t="b">
        <f t="shared" si="66"/>
        <v>0</v>
      </c>
      <c r="DB41" t="b">
        <f t="shared" si="66"/>
        <v>0</v>
      </c>
      <c r="DC41" t="b">
        <f t="shared" si="66"/>
        <v>0</v>
      </c>
      <c r="DD41" t="b">
        <f t="shared" si="67"/>
        <v>0</v>
      </c>
      <c r="DE41" t="b">
        <f t="shared" si="67"/>
        <v>0</v>
      </c>
      <c r="DF41" t="b">
        <f t="shared" si="67"/>
        <v>0</v>
      </c>
      <c r="DG41" t="b">
        <f t="shared" si="67"/>
        <v>0</v>
      </c>
      <c r="DH41" t="b">
        <f t="shared" si="67"/>
        <v>0</v>
      </c>
      <c r="DI41" t="b">
        <f t="shared" si="67"/>
        <v>0</v>
      </c>
      <c r="DJ41" t="b">
        <f t="shared" si="67"/>
        <v>0</v>
      </c>
      <c r="DK41" t="b">
        <f t="shared" si="67"/>
        <v>0</v>
      </c>
      <c r="DL41" t="b">
        <f t="shared" si="67"/>
        <v>0</v>
      </c>
      <c r="DM41" t="b">
        <f t="shared" si="67"/>
        <v>0</v>
      </c>
      <c r="DN41" t="b">
        <f t="shared" si="68"/>
        <v>0</v>
      </c>
      <c r="DO41" t="b">
        <f t="shared" si="68"/>
        <v>0</v>
      </c>
      <c r="DP41" t="b">
        <f t="shared" si="68"/>
        <v>0</v>
      </c>
      <c r="DQ41" t="b">
        <f t="shared" si="68"/>
        <v>0</v>
      </c>
      <c r="DR41" t="b">
        <f t="shared" si="68"/>
        <v>0</v>
      </c>
      <c r="DS41" t="b">
        <f t="shared" si="68"/>
        <v>0</v>
      </c>
      <c r="DT41" t="b">
        <f t="shared" si="68"/>
        <v>0</v>
      </c>
      <c r="DU41" t="b">
        <f t="shared" si="68"/>
        <v>0</v>
      </c>
      <c r="DV41" t="b">
        <f t="shared" si="68"/>
        <v>0</v>
      </c>
      <c r="DW41" t="b">
        <f t="shared" si="68"/>
        <v>0</v>
      </c>
      <c r="DX41" t="b">
        <f t="shared" si="69"/>
        <v>0</v>
      </c>
      <c r="DY41" t="b">
        <f t="shared" si="69"/>
        <v>0</v>
      </c>
      <c r="DZ41" t="b">
        <f t="shared" si="69"/>
        <v>0</v>
      </c>
      <c r="EA41" t="b">
        <f t="shared" si="69"/>
        <v>0</v>
      </c>
      <c r="EB41" t="b">
        <f t="shared" si="69"/>
        <v>0</v>
      </c>
      <c r="EC41" t="b">
        <f t="shared" si="69"/>
        <v>0</v>
      </c>
      <c r="ED41" t="b">
        <f t="shared" si="69"/>
        <v>0</v>
      </c>
      <c r="EE41" t="b">
        <f t="shared" si="69"/>
        <v>0</v>
      </c>
      <c r="EF41" t="b">
        <f t="shared" si="69"/>
        <v>0</v>
      </c>
      <c r="EG41" t="b">
        <f t="shared" si="69"/>
        <v>0</v>
      </c>
      <c r="EH41" t="b">
        <f t="shared" si="70"/>
        <v>0</v>
      </c>
      <c r="EI41" t="b">
        <f t="shared" si="70"/>
        <v>0</v>
      </c>
      <c r="EJ41" t="b">
        <f t="shared" si="70"/>
        <v>0</v>
      </c>
      <c r="EK41" t="b">
        <f t="shared" si="70"/>
        <v>0</v>
      </c>
      <c r="EL41" t="b">
        <f t="shared" si="70"/>
        <v>0</v>
      </c>
      <c r="EM41" t="b">
        <f t="shared" si="70"/>
        <v>0</v>
      </c>
      <c r="EN41" t="b">
        <f t="shared" si="70"/>
        <v>0</v>
      </c>
      <c r="EO41" t="b">
        <f t="shared" si="70"/>
        <v>0</v>
      </c>
      <c r="EP41" t="b">
        <f t="shared" si="70"/>
        <v>0</v>
      </c>
      <c r="EQ41" t="b">
        <f t="shared" si="70"/>
        <v>0</v>
      </c>
      <c r="ER41" t="b">
        <f t="shared" si="71"/>
        <v>0</v>
      </c>
      <c r="ES41" t="b">
        <f t="shared" si="71"/>
        <v>0</v>
      </c>
      <c r="ET41" t="b">
        <f t="shared" si="71"/>
        <v>0</v>
      </c>
      <c r="EU41" t="b">
        <f t="shared" si="71"/>
        <v>0</v>
      </c>
      <c r="EV41" t="b">
        <f t="shared" si="71"/>
        <v>0</v>
      </c>
      <c r="EW41" t="b">
        <f t="shared" si="71"/>
        <v>0</v>
      </c>
      <c r="EX41" t="b">
        <f t="shared" si="71"/>
        <v>0</v>
      </c>
      <c r="EY41" t="b">
        <f t="shared" si="71"/>
        <v>0</v>
      </c>
      <c r="EZ41" t="b">
        <f t="shared" si="71"/>
        <v>0</v>
      </c>
      <c r="FA41" t="b">
        <f t="shared" si="71"/>
        <v>0</v>
      </c>
      <c r="FB41" t="b">
        <f t="shared" si="72"/>
        <v>0</v>
      </c>
      <c r="FC41" t="b">
        <f t="shared" si="72"/>
        <v>0</v>
      </c>
      <c r="FD41" t="b">
        <f t="shared" si="72"/>
        <v>0</v>
      </c>
      <c r="FE41" t="b">
        <f t="shared" si="72"/>
        <v>0</v>
      </c>
      <c r="FF41" t="b">
        <f t="shared" si="72"/>
        <v>0</v>
      </c>
      <c r="FG41" t="b">
        <f t="shared" si="72"/>
        <v>0</v>
      </c>
      <c r="FH41" t="b">
        <f t="shared" si="72"/>
        <v>0</v>
      </c>
      <c r="FI41" t="b">
        <f t="shared" si="72"/>
        <v>0</v>
      </c>
      <c r="FJ41" t="b">
        <f t="shared" si="72"/>
        <v>0</v>
      </c>
      <c r="FK41" t="b">
        <f t="shared" si="72"/>
        <v>0</v>
      </c>
      <c r="FL41" t="b">
        <f t="shared" si="73"/>
        <v>0</v>
      </c>
      <c r="FM41" t="b">
        <f t="shared" si="73"/>
        <v>0</v>
      </c>
      <c r="FN41" t="b">
        <f t="shared" si="73"/>
        <v>0</v>
      </c>
      <c r="FO41" t="b">
        <f t="shared" si="73"/>
        <v>0</v>
      </c>
      <c r="FP41" t="b">
        <f t="shared" si="73"/>
        <v>0</v>
      </c>
      <c r="FQ41" t="b">
        <f t="shared" si="73"/>
        <v>0</v>
      </c>
      <c r="FR41" t="b">
        <f t="shared" si="73"/>
        <v>0</v>
      </c>
      <c r="FS41" t="b">
        <f t="shared" si="73"/>
        <v>0</v>
      </c>
      <c r="FT41" t="b">
        <f t="shared" si="73"/>
        <v>0</v>
      </c>
      <c r="FU41" t="b">
        <f t="shared" si="73"/>
        <v>0</v>
      </c>
      <c r="FV41" t="b">
        <f t="shared" si="74"/>
        <v>0</v>
      </c>
      <c r="FW41" t="b">
        <f t="shared" si="74"/>
        <v>0</v>
      </c>
      <c r="FX41" t="b">
        <f t="shared" si="74"/>
        <v>0</v>
      </c>
      <c r="FY41" t="b">
        <f t="shared" si="74"/>
        <v>0</v>
      </c>
      <c r="FZ41" t="b">
        <f t="shared" si="74"/>
        <v>0</v>
      </c>
      <c r="GA41" t="b">
        <f t="shared" si="74"/>
        <v>0</v>
      </c>
      <c r="GB41" t="b">
        <f t="shared" si="74"/>
        <v>0</v>
      </c>
      <c r="GC41" t="b">
        <f t="shared" si="74"/>
        <v>0</v>
      </c>
      <c r="GD41" t="b">
        <f t="shared" si="74"/>
        <v>0</v>
      </c>
      <c r="GE41" t="b">
        <f t="shared" si="74"/>
        <v>0</v>
      </c>
      <c r="GF41" t="b">
        <f t="shared" si="75"/>
        <v>0</v>
      </c>
      <c r="GG41" t="b">
        <f t="shared" si="75"/>
        <v>0</v>
      </c>
      <c r="GH41" t="b">
        <f t="shared" si="75"/>
        <v>0</v>
      </c>
      <c r="GI41" t="b">
        <f t="shared" si="75"/>
        <v>0</v>
      </c>
      <c r="GJ41" t="b">
        <f t="shared" si="75"/>
        <v>0</v>
      </c>
      <c r="GK41" t="b">
        <f t="shared" si="75"/>
        <v>0</v>
      </c>
      <c r="GL41" t="b">
        <f t="shared" si="75"/>
        <v>0</v>
      </c>
      <c r="GM41" t="b">
        <f t="shared" si="75"/>
        <v>0</v>
      </c>
      <c r="GN41" t="b">
        <f t="shared" si="75"/>
        <v>0</v>
      </c>
      <c r="GO41" t="b">
        <f t="shared" si="75"/>
        <v>0</v>
      </c>
      <c r="GP41" t="b">
        <f t="shared" si="76"/>
        <v>0</v>
      </c>
      <c r="GQ41" t="b">
        <f t="shared" si="76"/>
        <v>0</v>
      </c>
      <c r="GR41" t="b">
        <f t="shared" si="76"/>
        <v>0</v>
      </c>
      <c r="GS41" t="b">
        <f t="shared" si="76"/>
        <v>0</v>
      </c>
      <c r="GT41" t="b">
        <f t="shared" si="76"/>
        <v>0</v>
      </c>
      <c r="GU41" t="b">
        <f t="shared" si="76"/>
        <v>0</v>
      </c>
      <c r="GV41" t="b">
        <f t="shared" si="76"/>
        <v>0</v>
      </c>
      <c r="GW41" t="b">
        <f t="shared" si="76"/>
        <v>0</v>
      </c>
      <c r="GX41" t="b">
        <f t="shared" si="76"/>
        <v>0</v>
      </c>
      <c r="GY41" t="b">
        <f t="shared" si="76"/>
        <v>0</v>
      </c>
      <c r="GZ41" t="b">
        <f t="shared" si="76"/>
        <v>0</v>
      </c>
    </row>
    <row r="42" spans="1:208" hidden="1" x14ac:dyDescent="0.3">
      <c r="A42" t="s">
        <v>71</v>
      </c>
      <c r="B42" t="s">
        <v>72</v>
      </c>
      <c r="C42" t="s">
        <v>73</v>
      </c>
      <c r="D42" s="3">
        <v>6</v>
      </c>
      <c r="E42" s="3">
        <v>14</v>
      </c>
      <c r="F42" s="3">
        <v>41</v>
      </c>
      <c r="G42" s="3">
        <v>850</v>
      </c>
      <c r="H42" t="str">
        <f t="shared" si="19"/>
        <v>6-14</v>
      </c>
      <c r="I42" t="b">
        <v>1</v>
      </c>
      <c r="Q42" s="6">
        <v>42</v>
      </c>
      <c r="R42" t="b">
        <f t="shared" ref="R42:AA51" si="77">IFERROR(_xlfn.XLOOKUP(_xlfn.CONCAT($Q42,"-",R$1),$H$2:$H$926,$I$2:$I$926),FALSE)</f>
        <v>0</v>
      </c>
      <c r="S42" t="b">
        <f t="shared" si="77"/>
        <v>0</v>
      </c>
      <c r="T42" t="b">
        <f t="shared" si="77"/>
        <v>0</v>
      </c>
      <c r="U42" t="b">
        <f t="shared" si="77"/>
        <v>0</v>
      </c>
      <c r="V42" t="b">
        <f t="shared" si="77"/>
        <v>0</v>
      </c>
      <c r="W42" t="b">
        <f t="shared" si="77"/>
        <v>0</v>
      </c>
      <c r="X42" t="b">
        <f t="shared" si="77"/>
        <v>0</v>
      </c>
      <c r="Y42" t="b">
        <f t="shared" si="77"/>
        <v>0</v>
      </c>
      <c r="Z42" t="b">
        <f t="shared" si="77"/>
        <v>0</v>
      </c>
      <c r="AA42" t="b">
        <f t="shared" si="77"/>
        <v>0</v>
      </c>
      <c r="AB42" t="b">
        <f t="shared" ref="AB42:AK51" si="78">IFERROR(_xlfn.XLOOKUP(_xlfn.CONCAT($Q42,"-",AB$1),$H$2:$H$926,$I$2:$I$926),FALSE)</f>
        <v>0</v>
      </c>
      <c r="AC42" t="b">
        <f t="shared" si="78"/>
        <v>0</v>
      </c>
      <c r="AD42" t="b">
        <f t="shared" si="78"/>
        <v>0</v>
      </c>
      <c r="AE42" t="b">
        <f t="shared" si="78"/>
        <v>0</v>
      </c>
      <c r="AF42" t="b">
        <f t="shared" si="78"/>
        <v>0</v>
      </c>
      <c r="AG42" t="b">
        <f t="shared" si="78"/>
        <v>0</v>
      </c>
      <c r="AH42" t="b">
        <f t="shared" si="78"/>
        <v>0</v>
      </c>
      <c r="AI42" t="b">
        <f t="shared" si="78"/>
        <v>0</v>
      </c>
      <c r="AJ42" t="b">
        <f t="shared" si="78"/>
        <v>0</v>
      </c>
      <c r="AK42" t="b">
        <f t="shared" si="78"/>
        <v>0</v>
      </c>
      <c r="AL42" t="b">
        <f t="shared" ref="AL42:AU51" si="79">IFERROR(_xlfn.XLOOKUP(_xlfn.CONCAT($Q42,"-",AL$1),$H$2:$H$926,$I$2:$I$926),FALSE)</f>
        <v>0</v>
      </c>
      <c r="AM42" t="b">
        <f t="shared" si="79"/>
        <v>0</v>
      </c>
      <c r="AN42" t="b">
        <f t="shared" si="79"/>
        <v>0</v>
      </c>
      <c r="AO42" t="b">
        <f t="shared" si="79"/>
        <v>0</v>
      </c>
      <c r="AP42" t="b">
        <f t="shared" si="79"/>
        <v>0</v>
      </c>
      <c r="AQ42" t="b">
        <f t="shared" si="79"/>
        <v>0</v>
      </c>
      <c r="AR42" t="b">
        <f t="shared" si="79"/>
        <v>0</v>
      </c>
      <c r="AS42" t="b">
        <f t="shared" si="79"/>
        <v>0</v>
      </c>
      <c r="AT42" t="b">
        <f t="shared" si="79"/>
        <v>0</v>
      </c>
      <c r="AU42" t="b">
        <f t="shared" si="79"/>
        <v>0</v>
      </c>
      <c r="AV42" t="b">
        <f t="shared" ref="AV42:BE51" si="80">IFERROR(_xlfn.XLOOKUP(_xlfn.CONCAT($Q42,"-",AV$1),$H$2:$H$926,$I$2:$I$926),FALSE)</f>
        <v>0</v>
      </c>
      <c r="AW42" t="b">
        <f t="shared" si="80"/>
        <v>0</v>
      </c>
      <c r="AX42" t="b">
        <f t="shared" si="80"/>
        <v>0</v>
      </c>
      <c r="AY42" t="b">
        <f t="shared" si="80"/>
        <v>0</v>
      </c>
      <c r="AZ42" t="b">
        <f t="shared" si="80"/>
        <v>0</v>
      </c>
      <c r="BA42" t="b">
        <f t="shared" si="80"/>
        <v>0</v>
      </c>
      <c r="BB42" t="b">
        <f t="shared" si="80"/>
        <v>0</v>
      </c>
      <c r="BC42" t="b">
        <f t="shared" si="80"/>
        <v>0</v>
      </c>
      <c r="BD42" t="b">
        <f t="shared" si="80"/>
        <v>0</v>
      </c>
      <c r="BE42" t="b">
        <f t="shared" si="80"/>
        <v>0</v>
      </c>
      <c r="BF42" t="b">
        <f t="shared" ref="BF42:BO51" si="81">IFERROR(_xlfn.XLOOKUP(_xlfn.CONCAT($Q42,"-",BF$1),$H$2:$H$926,$I$2:$I$926),FALSE)</f>
        <v>0</v>
      </c>
      <c r="BG42" t="b">
        <f t="shared" si="81"/>
        <v>0</v>
      </c>
      <c r="BH42" t="b">
        <f t="shared" si="81"/>
        <v>0</v>
      </c>
      <c r="BI42" t="b">
        <f t="shared" si="81"/>
        <v>0</v>
      </c>
      <c r="BJ42" t="b">
        <f t="shared" si="81"/>
        <v>0</v>
      </c>
      <c r="BK42" t="b">
        <f t="shared" si="81"/>
        <v>0</v>
      </c>
      <c r="BL42" t="b">
        <f t="shared" si="81"/>
        <v>0</v>
      </c>
      <c r="BM42" t="b">
        <f t="shared" si="81"/>
        <v>0</v>
      </c>
      <c r="BN42" t="b">
        <f t="shared" si="81"/>
        <v>0</v>
      </c>
      <c r="BO42" t="b">
        <f t="shared" si="81"/>
        <v>0</v>
      </c>
      <c r="BP42" t="b">
        <f t="shared" ref="BP42:BY51" si="82">IFERROR(_xlfn.XLOOKUP(_xlfn.CONCAT($Q42,"-",BP$1),$H$2:$H$926,$I$2:$I$926),FALSE)</f>
        <v>0</v>
      </c>
      <c r="BQ42" t="b">
        <f t="shared" si="82"/>
        <v>0</v>
      </c>
      <c r="BR42" t="b">
        <f t="shared" si="82"/>
        <v>0</v>
      </c>
      <c r="BS42" t="b">
        <f t="shared" si="82"/>
        <v>0</v>
      </c>
      <c r="BT42" t="b">
        <f t="shared" si="82"/>
        <v>0</v>
      </c>
      <c r="BU42" t="b">
        <f t="shared" si="82"/>
        <v>0</v>
      </c>
      <c r="BV42" t="b">
        <f t="shared" si="82"/>
        <v>0</v>
      </c>
      <c r="BW42" t="b">
        <f t="shared" si="82"/>
        <v>0</v>
      </c>
      <c r="BX42" t="b">
        <f t="shared" si="82"/>
        <v>0</v>
      </c>
      <c r="BY42" t="b">
        <f t="shared" si="82"/>
        <v>0</v>
      </c>
      <c r="BZ42" t="b">
        <f t="shared" ref="BZ42:CI51" si="83">IFERROR(_xlfn.XLOOKUP(_xlfn.CONCAT($Q42,"-",BZ$1),$H$2:$H$926,$I$2:$I$926),FALSE)</f>
        <v>0</v>
      </c>
      <c r="CA42" t="b">
        <f t="shared" si="83"/>
        <v>0</v>
      </c>
      <c r="CB42" t="b">
        <f t="shared" si="83"/>
        <v>0</v>
      </c>
      <c r="CC42" t="b">
        <f t="shared" si="83"/>
        <v>0</v>
      </c>
      <c r="CD42" t="b">
        <f t="shared" si="83"/>
        <v>0</v>
      </c>
      <c r="CE42" t="b">
        <f t="shared" si="83"/>
        <v>0</v>
      </c>
      <c r="CF42" t="b">
        <f t="shared" si="83"/>
        <v>0</v>
      </c>
      <c r="CG42" t="b">
        <f t="shared" si="83"/>
        <v>0</v>
      </c>
      <c r="CH42" t="b">
        <f t="shared" si="83"/>
        <v>0</v>
      </c>
      <c r="CI42" t="b">
        <f t="shared" si="83"/>
        <v>0</v>
      </c>
      <c r="CJ42" t="b">
        <f t="shared" ref="CJ42:CS51" si="84">IFERROR(_xlfn.XLOOKUP(_xlfn.CONCAT($Q42,"-",CJ$1),$H$2:$H$926,$I$2:$I$926),FALSE)</f>
        <v>0</v>
      </c>
      <c r="CK42" t="b">
        <f t="shared" si="84"/>
        <v>0</v>
      </c>
      <c r="CL42" t="b">
        <f t="shared" si="84"/>
        <v>0</v>
      </c>
      <c r="CM42" t="b">
        <f t="shared" si="84"/>
        <v>0</v>
      </c>
      <c r="CN42" t="b">
        <f t="shared" si="84"/>
        <v>0</v>
      </c>
      <c r="CO42" t="b">
        <f t="shared" si="84"/>
        <v>0</v>
      </c>
      <c r="CP42" t="b">
        <f t="shared" si="84"/>
        <v>0</v>
      </c>
      <c r="CQ42" t="b">
        <f t="shared" si="84"/>
        <v>0</v>
      </c>
      <c r="CR42" t="b">
        <f t="shared" si="84"/>
        <v>0</v>
      </c>
      <c r="CS42" t="b">
        <f t="shared" si="84"/>
        <v>0</v>
      </c>
      <c r="CT42" t="b">
        <f t="shared" ref="CT42:DC51" si="85">IFERROR(_xlfn.XLOOKUP(_xlfn.CONCAT($Q42,"-",CT$1),$H$2:$H$926,$I$2:$I$926),FALSE)</f>
        <v>0</v>
      </c>
      <c r="CU42" t="b">
        <f t="shared" si="85"/>
        <v>0</v>
      </c>
      <c r="CV42" t="b">
        <f t="shared" si="85"/>
        <v>0</v>
      </c>
      <c r="CW42" t="b">
        <f t="shared" si="85"/>
        <v>0</v>
      </c>
      <c r="CX42" t="b">
        <f t="shared" si="85"/>
        <v>0</v>
      </c>
      <c r="CY42" t="b">
        <f t="shared" si="85"/>
        <v>0</v>
      </c>
      <c r="CZ42" t="b">
        <f t="shared" si="85"/>
        <v>0</v>
      </c>
      <c r="DA42" t="b">
        <f t="shared" si="85"/>
        <v>0</v>
      </c>
      <c r="DB42" t="b">
        <f t="shared" si="85"/>
        <v>0</v>
      </c>
      <c r="DC42" t="b">
        <f t="shared" si="85"/>
        <v>0</v>
      </c>
      <c r="DD42" t="b">
        <f t="shared" ref="DD42:DM51" si="86">IFERROR(_xlfn.XLOOKUP(_xlfn.CONCAT($Q42,"-",DD$1),$H$2:$H$926,$I$2:$I$926),FALSE)</f>
        <v>0</v>
      </c>
      <c r="DE42" t="b">
        <f t="shared" si="86"/>
        <v>0</v>
      </c>
      <c r="DF42" t="b">
        <f t="shared" si="86"/>
        <v>0</v>
      </c>
      <c r="DG42" t="b">
        <f t="shared" si="86"/>
        <v>0</v>
      </c>
      <c r="DH42" t="b">
        <f t="shared" si="86"/>
        <v>0</v>
      </c>
      <c r="DI42" t="b">
        <f t="shared" si="86"/>
        <v>0</v>
      </c>
      <c r="DJ42" t="b">
        <f t="shared" si="86"/>
        <v>0</v>
      </c>
      <c r="DK42" t="b">
        <f t="shared" si="86"/>
        <v>0</v>
      </c>
      <c r="DL42" t="b">
        <f t="shared" si="86"/>
        <v>0</v>
      </c>
      <c r="DM42" t="b">
        <f t="shared" si="86"/>
        <v>0</v>
      </c>
      <c r="DN42" t="b">
        <f t="shared" ref="DN42:DW51" si="87">IFERROR(_xlfn.XLOOKUP(_xlfn.CONCAT($Q42,"-",DN$1),$H$2:$H$926,$I$2:$I$926),FALSE)</f>
        <v>0</v>
      </c>
      <c r="DO42" t="b">
        <f t="shared" si="87"/>
        <v>0</v>
      </c>
      <c r="DP42" t="b">
        <f t="shared" si="87"/>
        <v>0</v>
      </c>
      <c r="DQ42" t="b">
        <f t="shared" si="87"/>
        <v>0</v>
      </c>
      <c r="DR42" t="b">
        <f t="shared" si="87"/>
        <v>0</v>
      </c>
      <c r="DS42" t="b">
        <f t="shared" si="87"/>
        <v>0</v>
      </c>
      <c r="DT42" t="b">
        <f t="shared" si="87"/>
        <v>0</v>
      </c>
      <c r="DU42" t="b">
        <f t="shared" si="87"/>
        <v>0</v>
      </c>
      <c r="DV42" t="b">
        <f t="shared" si="87"/>
        <v>0</v>
      </c>
      <c r="DW42" t="b">
        <f t="shared" si="87"/>
        <v>0</v>
      </c>
      <c r="DX42" t="b">
        <f t="shared" ref="DX42:EG51" si="88">IFERROR(_xlfn.XLOOKUP(_xlfn.CONCAT($Q42,"-",DX$1),$H$2:$H$926,$I$2:$I$926),FALSE)</f>
        <v>0</v>
      </c>
      <c r="DY42" t="b">
        <f t="shared" si="88"/>
        <v>0</v>
      </c>
      <c r="DZ42" t="b">
        <f t="shared" si="88"/>
        <v>0</v>
      </c>
      <c r="EA42" t="b">
        <f t="shared" si="88"/>
        <v>0</v>
      </c>
      <c r="EB42" t="b">
        <f t="shared" si="88"/>
        <v>0</v>
      </c>
      <c r="EC42" t="b">
        <f t="shared" si="88"/>
        <v>0</v>
      </c>
      <c r="ED42" t="b">
        <f t="shared" si="88"/>
        <v>0</v>
      </c>
      <c r="EE42" t="b">
        <f t="shared" si="88"/>
        <v>0</v>
      </c>
      <c r="EF42" t="b">
        <f t="shared" si="88"/>
        <v>0</v>
      </c>
      <c r="EG42" t="b">
        <f t="shared" si="88"/>
        <v>0</v>
      </c>
      <c r="EH42" t="b">
        <f t="shared" ref="EH42:EQ51" si="89">IFERROR(_xlfn.XLOOKUP(_xlfn.CONCAT($Q42,"-",EH$1),$H$2:$H$926,$I$2:$I$926),FALSE)</f>
        <v>0</v>
      </c>
      <c r="EI42" t="b">
        <f t="shared" si="89"/>
        <v>0</v>
      </c>
      <c r="EJ42" t="b">
        <f t="shared" si="89"/>
        <v>0</v>
      </c>
      <c r="EK42" t="b">
        <f t="shared" si="89"/>
        <v>0</v>
      </c>
      <c r="EL42" t="b">
        <f t="shared" si="89"/>
        <v>0</v>
      </c>
      <c r="EM42" t="b">
        <f t="shared" si="89"/>
        <v>0</v>
      </c>
      <c r="EN42" t="b">
        <f t="shared" si="89"/>
        <v>0</v>
      </c>
      <c r="EO42" t="b">
        <f t="shared" si="89"/>
        <v>0</v>
      </c>
      <c r="EP42" t="b">
        <f t="shared" si="89"/>
        <v>0</v>
      </c>
      <c r="EQ42" t="b">
        <f t="shared" si="89"/>
        <v>0</v>
      </c>
      <c r="ER42" t="b">
        <f t="shared" ref="ER42:FA51" si="90">IFERROR(_xlfn.XLOOKUP(_xlfn.CONCAT($Q42,"-",ER$1),$H$2:$H$926,$I$2:$I$926),FALSE)</f>
        <v>0</v>
      </c>
      <c r="ES42" t="b">
        <f t="shared" si="90"/>
        <v>0</v>
      </c>
      <c r="ET42" t="b">
        <f t="shared" si="90"/>
        <v>0</v>
      </c>
      <c r="EU42" t="b">
        <f t="shared" si="90"/>
        <v>0</v>
      </c>
      <c r="EV42" t="b">
        <f t="shared" si="90"/>
        <v>0</v>
      </c>
      <c r="EW42" t="b">
        <f t="shared" si="90"/>
        <v>1</v>
      </c>
      <c r="EX42" t="b">
        <f t="shared" si="90"/>
        <v>0</v>
      </c>
      <c r="EY42" t="b">
        <f t="shared" si="90"/>
        <v>0</v>
      </c>
      <c r="EZ42" t="b">
        <f t="shared" si="90"/>
        <v>0</v>
      </c>
      <c r="FA42" t="b">
        <f t="shared" si="90"/>
        <v>0</v>
      </c>
      <c r="FB42" t="b">
        <f t="shared" ref="FB42:FK51" si="91">IFERROR(_xlfn.XLOOKUP(_xlfn.CONCAT($Q42,"-",FB$1),$H$2:$H$926,$I$2:$I$926),FALSE)</f>
        <v>0</v>
      </c>
      <c r="FC42" t="b">
        <f t="shared" si="91"/>
        <v>0</v>
      </c>
      <c r="FD42" t="b">
        <f t="shared" si="91"/>
        <v>0</v>
      </c>
      <c r="FE42" t="b">
        <f t="shared" si="91"/>
        <v>0</v>
      </c>
      <c r="FF42" t="b">
        <f t="shared" si="91"/>
        <v>0</v>
      </c>
      <c r="FG42" t="b">
        <f t="shared" si="91"/>
        <v>0</v>
      </c>
      <c r="FH42" t="b">
        <f t="shared" si="91"/>
        <v>0</v>
      </c>
      <c r="FI42" t="b">
        <f t="shared" si="91"/>
        <v>0</v>
      </c>
      <c r="FJ42" t="b">
        <f t="shared" si="91"/>
        <v>0</v>
      </c>
      <c r="FK42" t="b">
        <f t="shared" si="91"/>
        <v>0</v>
      </c>
      <c r="FL42" t="b">
        <f t="shared" ref="FL42:FU51" si="92">IFERROR(_xlfn.XLOOKUP(_xlfn.CONCAT($Q42,"-",FL$1),$H$2:$H$926,$I$2:$I$926),FALSE)</f>
        <v>0</v>
      </c>
      <c r="FM42" t="b">
        <f t="shared" si="92"/>
        <v>0</v>
      </c>
      <c r="FN42" t="b">
        <f t="shared" si="92"/>
        <v>0</v>
      </c>
      <c r="FO42" t="b">
        <f t="shared" si="92"/>
        <v>0</v>
      </c>
      <c r="FP42" t="b">
        <f t="shared" si="92"/>
        <v>0</v>
      </c>
      <c r="FQ42" t="b">
        <f t="shared" si="92"/>
        <v>0</v>
      </c>
      <c r="FR42" t="b">
        <f t="shared" si="92"/>
        <v>0</v>
      </c>
      <c r="FS42" t="b">
        <f t="shared" si="92"/>
        <v>0</v>
      </c>
      <c r="FT42" t="b">
        <f t="shared" si="92"/>
        <v>0</v>
      </c>
      <c r="FU42" t="b">
        <f t="shared" si="92"/>
        <v>0</v>
      </c>
      <c r="FV42" t="b">
        <f t="shared" ref="FV42:GE51" si="93">IFERROR(_xlfn.XLOOKUP(_xlfn.CONCAT($Q42,"-",FV$1),$H$2:$H$926,$I$2:$I$926),FALSE)</f>
        <v>0</v>
      </c>
      <c r="FW42" t="b">
        <f t="shared" si="93"/>
        <v>0</v>
      </c>
      <c r="FX42" t="b">
        <f t="shared" si="93"/>
        <v>0</v>
      </c>
      <c r="FY42" t="b">
        <f t="shared" si="93"/>
        <v>0</v>
      </c>
      <c r="FZ42" t="b">
        <f t="shared" si="93"/>
        <v>0</v>
      </c>
      <c r="GA42" t="b">
        <f t="shared" si="93"/>
        <v>0</v>
      </c>
      <c r="GB42" t="b">
        <f t="shared" si="93"/>
        <v>0</v>
      </c>
      <c r="GC42" t="b">
        <f t="shared" si="93"/>
        <v>0</v>
      </c>
      <c r="GD42" t="b">
        <f t="shared" si="93"/>
        <v>0</v>
      </c>
      <c r="GE42" t="b">
        <f t="shared" si="93"/>
        <v>0</v>
      </c>
      <c r="GF42" t="b">
        <f t="shared" ref="GF42:GO51" si="94">IFERROR(_xlfn.XLOOKUP(_xlfn.CONCAT($Q42,"-",GF$1),$H$2:$H$926,$I$2:$I$926),FALSE)</f>
        <v>0</v>
      </c>
      <c r="GG42" t="b">
        <f t="shared" si="94"/>
        <v>0</v>
      </c>
      <c r="GH42" t="b">
        <f t="shared" si="94"/>
        <v>0</v>
      </c>
      <c r="GI42" t="b">
        <f t="shared" si="94"/>
        <v>0</v>
      </c>
      <c r="GJ42" t="b">
        <f t="shared" si="94"/>
        <v>0</v>
      </c>
      <c r="GK42" t="b">
        <f t="shared" si="94"/>
        <v>0</v>
      </c>
      <c r="GL42" t="b">
        <f t="shared" si="94"/>
        <v>0</v>
      </c>
      <c r="GM42" t="b">
        <f t="shared" si="94"/>
        <v>0</v>
      </c>
      <c r="GN42" t="b">
        <f t="shared" si="94"/>
        <v>0</v>
      </c>
      <c r="GO42" t="b">
        <f t="shared" si="94"/>
        <v>0</v>
      </c>
      <c r="GP42" t="b">
        <f t="shared" ref="GP42:GZ51" si="95">IFERROR(_xlfn.XLOOKUP(_xlfn.CONCAT($Q42,"-",GP$1),$H$2:$H$926,$I$2:$I$926),FALSE)</f>
        <v>0</v>
      </c>
      <c r="GQ42" t="b">
        <f t="shared" si="95"/>
        <v>0</v>
      </c>
      <c r="GR42" t="b">
        <f t="shared" si="95"/>
        <v>0</v>
      </c>
      <c r="GS42" t="b">
        <f t="shared" si="95"/>
        <v>0</v>
      </c>
      <c r="GT42" t="b">
        <f t="shared" si="95"/>
        <v>0</v>
      </c>
      <c r="GU42" t="b">
        <f t="shared" si="95"/>
        <v>0</v>
      </c>
      <c r="GV42" t="b">
        <f t="shared" si="95"/>
        <v>0</v>
      </c>
      <c r="GW42" t="b">
        <f t="shared" si="95"/>
        <v>0</v>
      </c>
      <c r="GX42" t="b">
        <f t="shared" si="95"/>
        <v>0</v>
      </c>
      <c r="GY42" t="b">
        <f t="shared" si="95"/>
        <v>0</v>
      </c>
      <c r="GZ42" t="b">
        <f t="shared" si="95"/>
        <v>0</v>
      </c>
    </row>
    <row r="43" spans="1:208" hidden="1" x14ac:dyDescent="0.3">
      <c r="A43" t="s">
        <v>71</v>
      </c>
      <c r="B43" t="s">
        <v>72</v>
      </c>
      <c r="C43" t="s">
        <v>74</v>
      </c>
      <c r="D43" s="3">
        <v>6</v>
      </c>
      <c r="E43" s="3">
        <v>14</v>
      </c>
      <c r="F43" s="3">
        <v>42</v>
      </c>
      <c r="G43" s="3">
        <v>370</v>
      </c>
      <c r="H43" t="str">
        <f t="shared" si="19"/>
        <v>6-14</v>
      </c>
      <c r="I43" t="b">
        <v>1</v>
      </c>
      <c r="Q43" s="6">
        <v>43</v>
      </c>
      <c r="R43" t="b">
        <f t="shared" si="77"/>
        <v>0</v>
      </c>
      <c r="S43" t="b">
        <f t="shared" si="77"/>
        <v>0</v>
      </c>
      <c r="T43" t="b">
        <f t="shared" si="77"/>
        <v>0</v>
      </c>
      <c r="U43" t="b">
        <f t="shared" si="77"/>
        <v>0</v>
      </c>
      <c r="V43" t="b">
        <f t="shared" si="77"/>
        <v>0</v>
      </c>
      <c r="W43" t="b">
        <f t="shared" si="77"/>
        <v>0</v>
      </c>
      <c r="X43" t="b">
        <f t="shared" si="77"/>
        <v>0</v>
      </c>
      <c r="Y43" t="b">
        <f t="shared" si="77"/>
        <v>0</v>
      </c>
      <c r="Z43" t="b">
        <f t="shared" si="77"/>
        <v>0</v>
      </c>
      <c r="AA43" t="b">
        <f t="shared" si="77"/>
        <v>0</v>
      </c>
      <c r="AB43" t="b">
        <f t="shared" si="78"/>
        <v>0</v>
      </c>
      <c r="AC43" t="b">
        <f t="shared" si="78"/>
        <v>0</v>
      </c>
      <c r="AD43" t="b">
        <f t="shared" si="78"/>
        <v>0</v>
      </c>
      <c r="AE43" t="b">
        <f t="shared" si="78"/>
        <v>0</v>
      </c>
      <c r="AF43" t="b">
        <f t="shared" si="78"/>
        <v>0</v>
      </c>
      <c r="AG43" t="b">
        <f t="shared" si="78"/>
        <v>0</v>
      </c>
      <c r="AH43" t="b">
        <f t="shared" si="78"/>
        <v>0</v>
      </c>
      <c r="AI43" t="b">
        <f t="shared" si="78"/>
        <v>0</v>
      </c>
      <c r="AJ43" t="b">
        <f t="shared" si="78"/>
        <v>0</v>
      </c>
      <c r="AK43" t="b">
        <f t="shared" si="78"/>
        <v>0</v>
      </c>
      <c r="AL43" t="b">
        <f t="shared" si="79"/>
        <v>0</v>
      </c>
      <c r="AM43" t="b">
        <f t="shared" si="79"/>
        <v>0</v>
      </c>
      <c r="AN43" t="b">
        <f t="shared" si="79"/>
        <v>0</v>
      </c>
      <c r="AO43" t="b">
        <f t="shared" si="79"/>
        <v>0</v>
      </c>
      <c r="AP43" t="b">
        <f t="shared" si="79"/>
        <v>0</v>
      </c>
      <c r="AQ43" t="b">
        <f t="shared" si="79"/>
        <v>0</v>
      </c>
      <c r="AR43" t="b">
        <f t="shared" si="79"/>
        <v>0</v>
      </c>
      <c r="AS43" t="b">
        <f t="shared" si="79"/>
        <v>0</v>
      </c>
      <c r="AT43" t="b">
        <f t="shared" si="79"/>
        <v>0</v>
      </c>
      <c r="AU43" t="b">
        <f t="shared" si="79"/>
        <v>0</v>
      </c>
      <c r="AV43" t="b">
        <f t="shared" si="80"/>
        <v>0</v>
      </c>
      <c r="AW43" t="b">
        <f t="shared" si="80"/>
        <v>0</v>
      </c>
      <c r="AX43" t="b">
        <f t="shared" si="80"/>
        <v>0</v>
      </c>
      <c r="AY43" t="b">
        <f t="shared" si="80"/>
        <v>0</v>
      </c>
      <c r="AZ43" t="b">
        <f t="shared" si="80"/>
        <v>0</v>
      </c>
      <c r="BA43" t="b">
        <f t="shared" si="80"/>
        <v>0</v>
      </c>
      <c r="BB43" t="b">
        <f t="shared" si="80"/>
        <v>0</v>
      </c>
      <c r="BC43" t="b">
        <f t="shared" si="80"/>
        <v>0</v>
      </c>
      <c r="BD43" t="b">
        <f t="shared" si="80"/>
        <v>0</v>
      </c>
      <c r="BE43" t="b">
        <f t="shared" si="80"/>
        <v>0</v>
      </c>
      <c r="BF43" t="b">
        <f t="shared" si="81"/>
        <v>0</v>
      </c>
      <c r="BG43" t="b">
        <f t="shared" si="81"/>
        <v>0</v>
      </c>
      <c r="BH43" t="b">
        <f t="shared" si="81"/>
        <v>0</v>
      </c>
      <c r="BI43" t="b">
        <f t="shared" si="81"/>
        <v>0</v>
      </c>
      <c r="BJ43" t="b">
        <f t="shared" si="81"/>
        <v>0</v>
      </c>
      <c r="BK43" t="b">
        <f t="shared" si="81"/>
        <v>0</v>
      </c>
      <c r="BL43" t="b">
        <f t="shared" si="81"/>
        <v>0</v>
      </c>
      <c r="BM43" t="b">
        <f t="shared" si="81"/>
        <v>0</v>
      </c>
      <c r="BN43" t="b">
        <f t="shared" si="81"/>
        <v>0</v>
      </c>
      <c r="BO43" t="b">
        <f t="shared" si="81"/>
        <v>0</v>
      </c>
      <c r="BP43" t="b">
        <f t="shared" si="82"/>
        <v>0</v>
      </c>
      <c r="BQ43" t="b">
        <f t="shared" si="82"/>
        <v>0</v>
      </c>
      <c r="BR43" t="b">
        <f t="shared" si="82"/>
        <v>0</v>
      </c>
      <c r="BS43" t="b">
        <f t="shared" si="82"/>
        <v>0</v>
      </c>
      <c r="BT43" t="b">
        <f t="shared" si="82"/>
        <v>0</v>
      </c>
      <c r="BU43" t="b">
        <f t="shared" si="82"/>
        <v>0</v>
      </c>
      <c r="BV43" t="b">
        <f t="shared" si="82"/>
        <v>0</v>
      </c>
      <c r="BW43" t="b">
        <f t="shared" si="82"/>
        <v>0</v>
      </c>
      <c r="BX43" t="b">
        <f t="shared" si="82"/>
        <v>0</v>
      </c>
      <c r="BY43" t="b">
        <f t="shared" si="82"/>
        <v>0</v>
      </c>
      <c r="BZ43" t="b">
        <f t="shared" si="83"/>
        <v>0</v>
      </c>
      <c r="CA43" t="b">
        <f t="shared" si="83"/>
        <v>0</v>
      </c>
      <c r="CB43" t="b">
        <f t="shared" si="83"/>
        <v>0</v>
      </c>
      <c r="CC43" t="b">
        <f t="shared" si="83"/>
        <v>0</v>
      </c>
      <c r="CD43" t="b">
        <f t="shared" si="83"/>
        <v>0</v>
      </c>
      <c r="CE43" t="b">
        <f t="shared" si="83"/>
        <v>0</v>
      </c>
      <c r="CF43" t="b">
        <f t="shared" si="83"/>
        <v>0</v>
      </c>
      <c r="CG43" t="b">
        <f t="shared" si="83"/>
        <v>0</v>
      </c>
      <c r="CH43" t="b">
        <f t="shared" si="83"/>
        <v>0</v>
      </c>
      <c r="CI43" t="b">
        <f t="shared" si="83"/>
        <v>0</v>
      </c>
      <c r="CJ43" t="b">
        <f t="shared" si="84"/>
        <v>0</v>
      </c>
      <c r="CK43" t="b">
        <f t="shared" si="84"/>
        <v>0</v>
      </c>
      <c r="CL43" t="b">
        <f t="shared" si="84"/>
        <v>0</v>
      </c>
      <c r="CM43" t="b">
        <f t="shared" si="84"/>
        <v>0</v>
      </c>
      <c r="CN43" t="b">
        <f t="shared" si="84"/>
        <v>0</v>
      </c>
      <c r="CO43" t="b">
        <f t="shared" si="84"/>
        <v>0</v>
      </c>
      <c r="CP43" t="b">
        <f t="shared" si="84"/>
        <v>0</v>
      </c>
      <c r="CQ43" t="b">
        <f t="shared" si="84"/>
        <v>0</v>
      </c>
      <c r="CR43" t="b">
        <f t="shared" si="84"/>
        <v>0</v>
      </c>
      <c r="CS43" t="b">
        <f t="shared" si="84"/>
        <v>0</v>
      </c>
      <c r="CT43" t="b">
        <f t="shared" si="85"/>
        <v>0</v>
      </c>
      <c r="CU43" t="b">
        <f t="shared" si="85"/>
        <v>0</v>
      </c>
      <c r="CV43" t="b">
        <f t="shared" si="85"/>
        <v>0</v>
      </c>
      <c r="CW43" t="b">
        <f t="shared" si="85"/>
        <v>0</v>
      </c>
      <c r="CX43" t="b">
        <f t="shared" si="85"/>
        <v>0</v>
      </c>
      <c r="CY43" t="b">
        <f t="shared" si="85"/>
        <v>0</v>
      </c>
      <c r="CZ43" t="b">
        <f t="shared" si="85"/>
        <v>0</v>
      </c>
      <c r="DA43" t="b">
        <f t="shared" si="85"/>
        <v>0</v>
      </c>
      <c r="DB43" t="b">
        <f t="shared" si="85"/>
        <v>0</v>
      </c>
      <c r="DC43" t="b">
        <f t="shared" si="85"/>
        <v>0</v>
      </c>
      <c r="DD43" t="b">
        <f t="shared" si="86"/>
        <v>0</v>
      </c>
      <c r="DE43" t="b">
        <f t="shared" si="86"/>
        <v>0</v>
      </c>
      <c r="DF43" t="b">
        <f t="shared" si="86"/>
        <v>0</v>
      </c>
      <c r="DG43" t="b">
        <f t="shared" si="86"/>
        <v>0</v>
      </c>
      <c r="DH43" t="b">
        <f t="shared" si="86"/>
        <v>0</v>
      </c>
      <c r="DI43" t="b">
        <f t="shared" si="86"/>
        <v>0</v>
      </c>
      <c r="DJ43" t="b">
        <f t="shared" si="86"/>
        <v>0</v>
      </c>
      <c r="DK43" t="b">
        <f t="shared" si="86"/>
        <v>0</v>
      </c>
      <c r="DL43" t="b">
        <f t="shared" si="86"/>
        <v>0</v>
      </c>
      <c r="DM43" t="b">
        <f t="shared" si="86"/>
        <v>0</v>
      </c>
      <c r="DN43" t="b">
        <f t="shared" si="87"/>
        <v>0</v>
      </c>
      <c r="DO43" t="b">
        <f t="shared" si="87"/>
        <v>0</v>
      </c>
      <c r="DP43" t="b">
        <f t="shared" si="87"/>
        <v>0</v>
      </c>
      <c r="DQ43" t="b">
        <f t="shared" si="87"/>
        <v>0</v>
      </c>
      <c r="DR43" t="b">
        <f t="shared" si="87"/>
        <v>0</v>
      </c>
      <c r="DS43" t="b">
        <f t="shared" si="87"/>
        <v>0</v>
      </c>
      <c r="DT43" t="b">
        <f t="shared" si="87"/>
        <v>0</v>
      </c>
      <c r="DU43" t="b">
        <f t="shared" si="87"/>
        <v>0</v>
      </c>
      <c r="DV43" t="b">
        <f t="shared" si="87"/>
        <v>0</v>
      </c>
      <c r="DW43" t="b">
        <f t="shared" si="87"/>
        <v>0</v>
      </c>
      <c r="DX43" t="b">
        <f t="shared" si="88"/>
        <v>0</v>
      </c>
      <c r="DY43" t="b">
        <f t="shared" si="88"/>
        <v>0</v>
      </c>
      <c r="DZ43" t="b">
        <f t="shared" si="88"/>
        <v>0</v>
      </c>
      <c r="EA43" t="b">
        <f t="shared" si="88"/>
        <v>0</v>
      </c>
      <c r="EB43" t="b">
        <f t="shared" si="88"/>
        <v>0</v>
      </c>
      <c r="EC43" t="b">
        <f t="shared" si="88"/>
        <v>0</v>
      </c>
      <c r="ED43" t="b">
        <f t="shared" si="88"/>
        <v>0</v>
      </c>
      <c r="EE43" t="b">
        <f t="shared" si="88"/>
        <v>0</v>
      </c>
      <c r="EF43" t="b">
        <f t="shared" si="88"/>
        <v>0</v>
      </c>
      <c r="EG43" t="b">
        <f t="shared" si="88"/>
        <v>0</v>
      </c>
      <c r="EH43" t="b">
        <f t="shared" si="89"/>
        <v>0</v>
      </c>
      <c r="EI43" t="b">
        <f t="shared" si="89"/>
        <v>0</v>
      </c>
      <c r="EJ43" t="b">
        <f t="shared" si="89"/>
        <v>0</v>
      </c>
      <c r="EK43" t="b">
        <f t="shared" si="89"/>
        <v>0</v>
      </c>
      <c r="EL43" t="b">
        <f t="shared" si="89"/>
        <v>0</v>
      </c>
      <c r="EM43" t="b">
        <f t="shared" si="89"/>
        <v>0</v>
      </c>
      <c r="EN43" t="b">
        <f t="shared" si="89"/>
        <v>0</v>
      </c>
      <c r="EO43" t="b">
        <f t="shared" si="89"/>
        <v>0</v>
      </c>
      <c r="EP43" t="b">
        <f t="shared" si="89"/>
        <v>0</v>
      </c>
      <c r="EQ43" t="b">
        <f t="shared" si="89"/>
        <v>0</v>
      </c>
      <c r="ER43" t="b">
        <f t="shared" si="90"/>
        <v>0</v>
      </c>
      <c r="ES43" t="b">
        <f t="shared" si="90"/>
        <v>0</v>
      </c>
      <c r="ET43" t="b">
        <f t="shared" si="90"/>
        <v>0</v>
      </c>
      <c r="EU43" t="b">
        <f t="shared" si="90"/>
        <v>0</v>
      </c>
      <c r="EV43" t="b">
        <f t="shared" si="90"/>
        <v>0</v>
      </c>
      <c r="EW43" t="b">
        <f t="shared" si="90"/>
        <v>0</v>
      </c>
      <c r="EX43" t="b">
        <f t="shared" si="90"/>
        <v>0</v>
      </c>
      <c r="EY43" t="b">
        <f t="shared" si="90"/>
        <v>0</v>
      </c>
      <c r="EZ43" t="b">
        <f t="shared" si="90"/>
        <v>0</v>
      </c>
      <c r="FA43" t="b">
        <f t="shared" si="90"/>
        <v>0</v>
      </c>
      <c r="FB43" t="b">
        <f t="shared" si="91"/>
        <v>0</v>
      </c>
      <c r="FC43" t="b">
        <f t="shared" si="91"/>
        <v>0</v>
      </c>
      <c r="FD43" t="b">
        <f t="shared" si="91"/>
        <v>0</v>
      </c>
      <c r="FE43" t="b">
        <f t="shared" si="91"/>
        <v>0</v>
      </c>
      <c r="FF43" t="b">
        <f t="shared" si="91"/>
        <v>1</v>
      </c>
      <c r="FG43" t="b">
        <f t="shared" si="91"/>
        <v>0</v>
      </c>
      <c r="FH43" t="b">
        <f t="shared" si="91"/>
        <v>0</v>
      </c>
      <c r="FI43" t="b">
        <f t="shared" si="91"/>
        <v>0</v>
      </c>
      <c r="FJ43" t="b">
        <f t="shared" si="91"/>
        <v>0</v>
      </c>
      <c r="FK43" t="b">
        <f t="shared" si="91"/>
        <v>0</v>
      </c>
      <c r="FL43" t="b">
        <f t="shared" si="92"/>
        <v>0</v>
      </c>
      <c r="FM43" t="b">
        <f t="shared" si="92"/>
        <v>0</v>
      </c>
      <c r="FN43" t="b">
        <f t="shared" si="92"/>
        <v>0</v>
      </c>
      <c r="FO43" t="b">
        <f t="shared" si="92"/>
        <v>0</v>
      </c>
      <c r="FP43" t="b">
        <f t="shared" si="92"/>
        <v>0</v>
      </c>
      <c r="FQ43" t="b">
        <f t="shared" si="92"/>
        <v>0</v>
      </c>
      <c r="FR43" t="b">
        <f t="shared" si="92"/>
        <v>0</v>
      </c>
      <c r="FS43" t="b">
        <f t="shared" si="92"/>
        <v>0</v>
      </c>
      <c r="FT43" t="b">
        <f t="shared" si="92"/>
        <v>0</v>
      </c>
      <c r="FU43" t="b">
        <f t="shared" si="92"/>
        <v>0</v>
      </c>
      <c r="FV43" t="b">
        <f t="shared" si="93"/>
        <v>0</v>
      </c>
      <c r="FW43" t="b">
        <f t="shared" si="93"/>
        <v>0</v>
      </c>
      <c r="FX43" t="b">
        <f t="shared" si="93"/>
        <v>0</v>
      </c>
      <c r="FY43" t="b">
        <f t="shared" si="93"/>
        <v>0</v>
      </c>
      <c r="FZ43" t="b">
        <f t="shared" si="93"/>
        <v>0</v>
      </c>
      <c r="GA43" t="b">
        <f t="shared" si="93"/>
        <v>0</v>
      </c>
      <c r="GB43" t="b">
        <f t="shared" si="93"/>
        <v>0</v>
      </c>
      <c r="GC43" t="b">
        <f t="shared" si="93"/>
        <v>0</v>
      </c>
      <c r="GD43" t="b">
        <f t="shared" si="93"/>
        <v>0</v>
      </c>
      <c r="GE43" t="b">
        <f t="shared" si="93"/>
        <v>0</v>
      </c>
      <c r="GF43" t="b">
        <f t="shared" si="94"/>
        <v>0</v>
      </c>
      <c r="GG43" t="b">
        <f t="shared" si="94"/>
        <v>0</v>
      </c>
      <c r="GH43" t="b">
        <f t="shared" si="94"/>
        <v>0</v>
      </c>
      <c r="GI43" t="b">
        <f t="shared" si="94"/>
        <v>0</v>
      </c>
      <c r="GJ43" t="b">
        <f t="shared" si="94"/>
        <v>0</v>
      </c>
      <c r="GK43" t="b">
        <f t="shared" si="94"/>
        <v>0</v>
      </c>
      <c r="GL43" t="b">
        <f t="shared" si="94"/>
        <v>0</v>
      </c>
      <c r="GM43" t="b">
        <f t="shared" si="94"/>
        <v>0</v>
      </c>
      <c r="GN43" t="b">
        <f t="shared" si="94"/>
        <v>0</v>
      </c>
      <c r="GO43" t="b">
        <f t="shared" si="94"/>
        <v>0</v>
      </c>
      <c r="GP43" t="b">
        <f t="shared" si="95"/>
        <v>0</v>
      </c>
      <c r="GQ43" t="b">
        <f t="shared" si="95"/>
        <v>0</v>
      </c>
      <c r="GR43" t="b">
        <f t="shared" si="95"/>
        <v>0</v>
      </c>
      <c r="GS43" t="b">
        <f t="shared" si="95"/>
        <v>0</v>
      </c>
      <c r="GT43" t="b">
        <f t="shared" si="95"/>
        <v>0</v>
      </c>
      <c r="GU43" t="b">
        <f t="shared" si="95"/>
        <v>0</v>
      </c>
      <c r="GV43" t="b">
        <f t="shared" si="95"/>
        <v>0</v>
      </c>
      <c r="GW43" t="b">
        <f t="shared" si="95"/>
        <v>0</v>
      </c>
      <c r="GX43" t="b">
        <f t="shared" si="95"/>
        <v>0</v>
      </c>
      <c r="GY43" t="b">
        <f t="shared" si="95"/>
        <v>0</v>
      </c>
      <c r="GZ43" t="b">
        <f t="shared" si="95"/>
        <v>0</v>
      </c>
    </row>
    <row r="44" spans="1:208" hidden="1" x14ac:dyDescent="0.3">
      <c r="A44" t="s">
        <v>28</v>
      </c>
      <c r="B44" t="s">
        <v>37</v>
      </c>
      <c r="C44" t="s">
        <v>38</v>
      </c>
      <c r="D44" s="3">
        <v>4</v>
      </c>
      <c r="E44" s="3">
        <v>15</v>
      </c>
      <c r="F44" s="3">
        <v>43</v>
      </c>
      <c r="G44" s="3">
        <v>300</v>
      </c>
      <c r="H44" t="str">
        <f t="shared" si="19"/>
        <v>4-15</v>
      </c>
      <c r="I44" t="b">
        <v>1</v>
      </c>
      <c r="Q44" s="6">
        <v>44</v>
      </c>
      <c r="R44" t="b">
        <f t="shared" si="77"/>
        <v>0</v>
      </c>
      <c r="S44" t="b">
        <f t="shared" si="77"/>
        <v>0</v>
      </c>
      <c r="T44" t="b">
        <f t="shared" si="77"/>
        <v>0</v>
      </c>
      <c r="U44" t="b">
        <f t="shared" si="77"/>
        <v>0</v>
      </c>
      <c r="V44" t="b">
        <f t="shared" si="77"/>
        <v>0</v>
      </c>
      <c r="W44" t="b">
        <f t="shared" si="77"/>
        <v>0</v>
      </c>
      <c r="X44" t="b">
        <f t="shared" si="77"/>
        <v>0</v>
      </c>
      <c r="Y44" t="b">
        <f t="shared" si="77"/>
        <v>0</v>
      </c>
      <c r="Z44" t="b">
        <f t="shared" si="77"/>
        <v>0</v>
      </c>
      <c r="AA44" t="b">
        <f t="shared" si="77"/>
        <v>0</v>
      </c>
      <c r="AB44" t="b">
        <f t="shared" si="78"/>
        <v>0</v>
      </c>
      <c r="AC44" t="b">
        <f t="shared" si="78"/>
        <v>0</v>
      </c>
      <c r="AD44" t="b">
        <f t="shared" si="78"/>
        <v>0</v>
      </c>
      <c r="AE44" t="b">
        <f t="shared" si="78"/>
        <v>0</v>
      </c>
      <c r="AF44" t="b">
        <f t="shared" si="78"/>
        <v>0</v>
      </c>
      <c r="AG44" t="b">
        <f t="shared" si="78"/>
        <v>0</v>
      </c>
      <c r="AH44" t="b">
        <f t="shared" si="78"/>
        <v>0</v>
      </c>
      <c r="AI44" t="b">
        <f t="shared" si="78"/>
        <v>0</v>
      </c>
      <c r="AJ44" t="b">
        <f t="shared" si="78"/>
        <v>0</v>
      </c>
      <c r="AK44" t="b">
        <f t="shared" si="78"/>
        <v>0</v>
      </c>
      <c r="AL44" t="b">
        <f t="shared" si="79"/>
        <v>0</v>
      </c>
      <c r="AM44" t="b">
        <f t="shared" si="79"/>
        <v>0</v>
      </c>
      <c r="AN44" t="b">
        <f t="shared" si="79"/>
        <v>0</v>
      </c>
      <c r="AO44" t="b">
        <f t="shared" si="79"/>
        <v>0</v>
      </c>
      <c r="AP44" t="b">
        <f t="shared" si="79"/>
        <v>0</v>
      </c>
      <c r="AQ44" t="b">
        <f t="shared" si="79"/>
        <v>0</v>
      </c>
      <c r="AR44" t="b">
        <f t="shared" si="79"/>
        <v>0</v>
      </c>
      <c r="AS44" t="b">
        <f t="shared" si="79"/>
        <v>0</v>
      </c>
      <c r="AT44" t="b">
        <f t="shared" si="79"/>
        <v>0</v>
      </c>
      <c r="AU44" t="b">
        <f t="shared" si="79"/>
        <v>0</v>
      </c>
      <c r="AV44" t="b">
        <f t="shared" si="80"/>
        <v>0</v>
      </c>
      <c r="AW44" t="b">
        <f t="shared" si="80"/>
        <v>0</v>
      </c>
      <c r="AX44" t="b">
        <f t="shared" si="80"/>
        <v>0</v>
      </c>
      <c r="AY44" t="b">
        <f t="shared" si="80"/>
        <v>0</v>
      </c>
      <c r="AZ44" t="b">
        <f t="shared" si="80"/>
        <v>0</v>
      </c>
      <c r="BA44" t="b">
        <f t="shared" si="80"/>
        <v>0</v>
      </c>
      <c r="BB44" t="b">
        <f t="shared" si="80"/>
        <v>0</v>
      </c>
      <c r="BC44" t="b">
        <f t="shared" si="80"/>
        <v>0</v>
      </c>
      <c r="BD44" t="b">
        <f t="shared" si="80"/>
        <v>0</v>
      </c>
      <c r="BE44" t="b">
        <f t="shared" si="80"/>
        <v>0</v>
      </c>
      <c r="BF44" t="b">
        <f t="shared" si="81"/>
        <v>0</v>
      </c>
      <c r="BG44" t="b">
        <f t="shared" si="81"/>
        <v>0</v>
      </c>
      <c r="BH44" t="b">
        <f t="shared" si="81"/>
        <v>0</v>
      </c>
      <c r="BI44" t="b">
        <f t="shared" si="81"/>
        <v>0</v>
      </c>
      <c r="BJ44" t="b">
        <f t="shared" si="81"/>
        <v>0</v>
      </c>
      <c r="BK44" t="b">
        <f t="shared" si="81"/>
        <v>0</v>
      </c>
      <c r="BL44" t="b">
        <f t="shared" si="81"/>
        <v>0</v>
      </c>
      <c r="BM44" t="b">
        <f t="shared" si="81"/>
        <v>0</v>
      </c>
      <c r="BN44" t="b">
        <f t="shared" si="81"/>
        <v>0</v>
      </c>
      <c r="BO44" t="b">
        <f t="shared" si="81"/>
        <v>0</v>
      </c>
      <c r="BP44" t="b">
        <f t="shared" si="82"/>
        <v>0</v>
      </c>
      <c r="BQ44" t="b">
        <f t="shared" si="82"/>
        <v>0</v>
      </c>
      <c r="BR44" t="b">
        <f t="shared" si="82"/>
        <v>0</v>
      </c>
      <c r="BS44" t="b">
        <f t="shared" si="82"/>
        <v>0</v>
      </c>
      <c r="BT44" t="b">
        <f t="shared" si="82"/>
        <v>0</v>
      </c>
      <c r="BU44" t="b">
        <f t="shared" si="82"/>
        <v>0</v>
      </c>
      <c r="BV44" t="b">
        <f t="shared" si="82"/>
        <v>0</v>
      </c>
      <c r="BW44" t="b">
        <f t="shared" si="82"/>
        <v>0</v>
      </c>
      <c r="BX44" t="b">
        <f t="shared" si="82"/>
        <v>0</v>
      </c>
      <c r="BY44" t="b">
        <f t="shared" si="82"/>
        <v>0</v>
      </c>
      <c r="BZ44" t="b">
        <f t="shared" si="83"/>
        <v>0</v>
      </c>
      <c r="CA44" t="b">
        <f t="shared" si="83"/>
        <v>0</v>
      </c>
      <c r="CB44" t="b">
        <f t="shared" si="83"/>
        <v>0</v>
      </c>
      <c r="CC44" t="b">
        <f t="shared" si="83"/>
        <v>0</v>
      </c>
      <c r="CD44" t="b">
        <f t="shared" si="83"/>
        <v>0</v>
      </c>
      <c r="CE44" t="b">
        <f t="shared" si="83"/>
        <v>0</v>
      </c>
      <c r="CF44" t="b">
        <f t="shared" si="83"/>
        <v>0</v>
      </c>
      <c r="CG44" t="b">
        <f t="shared" si="83"/>
        <v>0</v>
      </c>
      <c r="CH44" t="b">
        <f t="shared" si="83"/>
        <v>0</v>
      </c>
      <c r="CI44" t="b">
        <f t="shared" si="83"/>
        <v>0</v>
      </c>
      <c r="CJ44" t="b">
        <f t="shared" si="84"/>
        <v>0</v>
      </c>
      <c r="CK44" t="b">
        <f t="shared" si="84"/>
        <v>0</v>
      </c>
      <c r="CL44" t="b">
        <f t="shared" si="84"/>
        <v>0</v>
      </c>
      <c r="CM44" t="b">
        <f t="shared" si="84"/>
        <v>0</v>
      </c>
      <c r="CN44" t="b">
        <f t="shared" si="84"/>
        <v>0</v>
      </c>
      <c r="CO44" t="b">
        <f t="shared" si="84"/>
        <v>0</v>
      </c>
      <c r="CP44" t="b">
        <f t="shared" si="84"/>
        <v>0</v>
      </c>
      <c r="CQ44" t="b">
        <f t="shared" si="84"/>
        <v>0</v>
      </c>
      <c r="CR44" t="b">
        <f t="shared" si="84"/>
        <v>0</v>
      </c>
      <c r="CS44" t="b">
        <f t="shared" si="84"/>
        <v>0</v>
      </c>
      <c r="CT44" t="b">
        <f t="shared" si="85"/>
        <v>0</v>
      </c>
      <c r="CU44" t="b">
        <f t="shared" si="85"/>
        <v>0</v>
      </c>
      <c r="CV44" t="b">
        <f t="shared" si="85"/>
        <v>1</v>
      </c>
      <c r="CW44" t="b">
        <f t="shared" si="85"/>
        <v>0</v>
      </c>
      <c r="CX44" t="b">
        <f t="shared" si="85"/>
        <v>0</v>
      </c>
      <c r="CY44" t="b">
        <f t="shared" si="85"/>
        <v>0</v>
      </c>
      <c r="CZ44" t="b">
        <f t="shared" si="85"/>
        <v>0</v>
      </c>
      <c r="DA44" t="b">
        <f t="shared" si="85"/>
        <v>0</v>
      </c>
      <c r="DB44" t="b">
        <f t="shared" si="85"/>
        <v>0</v>
      </c>
      <c r="DC44" t="b">
        <f t="shared" si="85"/>
        <v>0</v>
      </c>
      <c r="DD44" t="b">
        <f t="shared" si="86"/>
        <v>0</v>
      </c>
      <c r="DE44" t="b">
        <f t="shared" si="86"/>
        <v>0</v>
      </c>
      <c r="DF44" t="b">
        <f t="shared" si="86"/>
        <v>0</v>
      </c>
      <c r="DG44" t="b">
        <f t="shared" si="86"/>
        <v>0</v>
      </c>
      <c r="DH44" t="b">
        <f t="shared" si="86"/>
        <v>0</v>
      </c>
      <c r="DI44" t="b">
        <f t="shared" si="86"/>
        <v>0</v>
      </c>
      <c r="DJ44" t="b">
        <f t="shared" si="86"/>
        <v>0</v>
      </c>
      <c r="DK44" t="b">
        <f t="shared" si="86"/>
        <v>0</v>
      </c>
      <c r="DL44" t="b">
        <f t="shared" si="86"/>
        <v>0</v>
      </c>
      <c r="DM44" t="b">
        <f t="shared" si="86"/>
        <v>0</v>
      </c>
      <c r="DN44" t="b">
        <f t="shared" si="87"/>
        <v>0</v>
      </c>
      <c r="DO44" t="b">
        <f t="shared" si="87"/>
        <v>0</v>
      </c>
      <c r="DP44" t="b">
        <f t="shared" si="87"/>
        <v>0</v>
      </c>
      <c r="DQ44" t="b">
        <f t="shared" si="87"/>
        <v>0</v>
      </c>
      <c r="DR44" t="b">
        <f t="shared" si="87"/>
        <v>0</v>
      </c>
      <c r="DS44" t="b">
        <f t="shared" si="87"/>
        <v>0</v>
      </c>
      <c r="DT44" t="b">
        <f t="shared" si="87"/>
        <v>0</v>
      </c>
      <c r="DU44" t="b">
        <f t="shared" si="87"/>
        <v>0</v>
      </c>
      <c r="DV44" t="b">
        <f t="shared" si="87"/>
        <v>0</v>
      </c>
      <c r="DW44" t="b">
        <f t="shared" si="87"/>
        <v>0</v>
      </c>
      <c r="DX44" t="b">
        <f t="shared" si="88"/>
        <v>0</v>
      </c>
      <c r="DY44" t="b">
        <f t="shared" si="88"/>
        <v>0</v>
      </c>
      <c r="DZ44" t="b">
        <f t="shared" si="88"/>
        <v>0</v>
      </c>
      <c r="EA44" t="b">
        <f t="shared" si="88"/>
        <v>0</v>
      </c>
      <c r="EB44" t="b">
        <f t="shared" si="88"/>
        <v>0</v>
      </c>
      <c r="EC44" t="b">
        <f t="shared" si="88"/>
        <v>0</v>
      </c>
      <c r="ED44" t="b">
        <f t="shared" si="88"/>
        <v>0</v>
      </c>
      <c r="EE44" t="b">
        <f t="shared" si="88"/>
        <v>0</v>
      </c>
      <c r="EF44" t="b">
        <f t="shared" si="88"/>
        <v>0</v>
      </c>
      <c r="EG44" t="b">
        <f t="shared" si="88"/>
        <v>0</v>
      </c>
      <c r="EH44" t="b">
        <f t="shared" si="89"/>
        <v>0</v>
      </c>
      <c r="EI44" t="b">
        <f t="shared" si="89"/>
        <v>0</v>
      </c>
      <c r="EJ44" t="b">
        <f t="shared" si="89"/>
        <v>0</v>
      </c>
      <c r="EK44" t="b">
        <f t="shared" si="89"/>
        <v>0</v>
      </c>
      <c r="EL44" t="b">
        <f t="shared" si="89"/>
        <v>0</v>
      </c>
      <c r="EM44" t="b">
        <f t="shared" si="89"/>
        <v>0</v>
      </c>
      <c r="EN44" t="b">
        <f t="shared" si="89"/>
        <v>0</v>
      </c>
      <c r="EO44" t="b">
        <f t="shared" si="89"/>
        <v>0</v>
      </c>
      <c r="EP44" t="b">
        <f t="shared" si="89"/>
        <v>0</v>
      </c>
      <c r="EQ44" t="b">
        <f t="shared" si="89"/>
        <v>0</v>
      </c>
      <c r="ER44" t="b">
        <f t="shared" si="90"/>
        <v>0</v>
      </c>
      <c r="ES44" t="b">
        <f t="shared" si="90"/>
        <v>0</v>
      </c>
      <c r="ET44" t="b">
        <f t="shared" si="90"/>
        <v>0</v>
      </c>
      <c r="EU44" t="b">
        <f t="shared" si="90"/>
        <v>0</v>
      </c>
      <c r="EV44" t="b">
        <f t="shared" si="90"/>
        <v>0</v>
      </c>
      <c r="EW44" t="b">
        <f t="shared" si="90"/>
        <v>0</v>
      </c>
      <c r="EX44" t="b">
        <f t="shared" si="90"/>
        <v>0</v>
      </c>
      <c r="EY44" t="b">
        <f t="shared" si="90"/>
        <v>0</v>
      </c>
      <c r="EZ44" t="b">
        <f t="shared" si="90"/>
        <v>0</v>
      </c>
      <c r="FA44" t="b">
        <f t="shared" si="90"/>
        <v>0</v>
      </c>
      <c r="FB44" t="b">
        <f t="shared" si="91"/>
        <v>0</v>
      </c>
      <c r="FC44" t="b">
        <f t="shared" si="91"/>
        <v>0</v>
      </c>
      <c r="FD44" t="b">
        <f t="shared" si="91"/>
        <v>0</v>
      </c>
      <c r="FE44" t="b">
        <f t="shared" si="91"/>
        <v>0</v>
      </c>
      <c r="FF44" t="b">
        <f t="shared" si="91"/>
        <v>0</v>
      </c>
      <c r="FG44" t="b">
        <f t="shared" si="91"/>
        <v>0</v>
      </c>
      <c r="FH44" t="b">
        <f t="shared" si="91"/>
        <v>0</v>
      </c>
      <c r="FI44" t="b">
        <f t="shared" si="91"/>
        <v>0</v>
      </c>
      <c r="FJ44" t="b">
        <f t="shared" si="91"/>
        <v>0</v>
      </c>
      <c r="FK44" t="b">
        <f t="shared" si="91"/>
        <v>0</v>
      </c>
      <c r="FL44" t="b">
        <f t="shared" si="92"/>
        <v>0</v>
      </c>
      <c r="FM44" t="b">
        <f t="shared" si="92"/>
        <v>0</v>
      </c>
      <c r="FN44" t="b">
        <f t="shared" si="92"/>
        <v>0</v>
      </c>
      <c r="FO44" t="b">
        <f t="shared" si="92"/>
        <v>0</v>
      </c>
      <c r="FP44" t="b">
        <f t="shared" si="92"/>
        <v>0</v>
      </c>
      <c r="FQ44" t="b">
        <f t="shared" si="92"/>
        <v>0</v>
      </c>
      <c r="FR44" t="b">
        <f t="shared" si="92"/>
        <v>0</v>
      </c>
      <c r="FS44" t="b">
        <f t="shared" si="92"/>
        <v>0</v>
      </c>
      <c r="FT44" t="b">
        <f t="shared" si="92"/>
        <v>0</v>
      </c>
      <c r="FU44" t="b">
        <f t="shared" si="92"/>
        <v>0</v>
      </c>
      <c r="FV44" t="b">
        <f t="shared" si="93"/>
        <v>0</v>
      </c>
      <c r="FW44" t="b">
        <f t="shared" si="93"/>
        <v>0</v>
      </c>
      <c r="FX44" t="b">
        <f t="shared" si="93"/>
        <v>0</v>
      </c>
      <c r="FY44" t="b">
        <f t="shared" si="93"/>
        <v>0</v>
      </c>
      <c r="FZ44" t="b">
        <f t="shared" si="93"/>
        <v>0</v>
      </c>
      <c r="GA44" t="b">
        <f t="shared" si="93"/>
        <v>0</v>
      </c>
      <c r="GB44" t="b">
        <f t="shared" si="93"/>
        <v>0</v>
      </c>
      <c r="GC44" t="b">
        <f t="shared" si="93"/>
        <v>0</v>
      </c>
      <c r="GD44" t="b">
        <f t="shared" si="93"/>
        <v>0</v>
      </c>
      <c r="GE44" t="b">
        <f t="shared" si="93"/>
        <v>0</v>
      </c>
      <c r="GF44" t="b">
        <f t="shared" si="94"/>
        <v>0</v>
      </c>
      <c r="GG44" t="b">
        <f t="shared" si="94"/>
        <v>0</v>
      </c>
      <c r="GH44" t="b">
        <f t="shared" si="94"/>
        <v>0</v>
      </c>
      <c r="GI44" t="b">
        <f t="shared" si="94"/>
        <v>0</v>
      </c>
      <c r="GJ44" t="b">
        <f t="shared" si="94"/>
        <v>0</v>
      </c>
      <c r="GK44" t="b">
        <f t="shared" si="94"/>
        <v>0</v>
      </c>
      <c r="GL44" t="b">
        <f t="shared" si="94"/>
        <v>0</v>
      </c>
      <c r="GM44" t="b">
        <f t="shared" si="94"/>
        <v>0</v>
      </c>
      <c r="GN44" t="b">
        <f t="shared" si="94"/>
        <v>0</v>
      </c>
      <c r="GO44" t="b">
        <f t="shared" si="94"/>
        <v>0</v>
      </c>
      <c r="GP44" t="b">
        <f t="shared" si="95"/>
        <v>0</v>
      </c>
      <c r="GQ44" t="b">
        <f t="shared" si="95"/>
        <v>0</v>
      </c>
      <c r="GR44" t="b">
        <f t="shared" si="95"/>
        <v>0</v>
      </c>
      <c r="GS44" t="b">
        <f t="shared" si="95"/>
        <v>0</v>
      </c>
      <c r="GT44" t="b">
        <f t="shared" si="95"/>
        <v>0</v>
      </c>
      <c r="GU44" t="b">
        <f t="shared" si="95"/>
        <v>0</v>
      </c>
      <c r="GV44" t="b">
        <f t="shared" si="95"/>
        <v>0</v>
      </c>
      <c r="GW44" t="b">
        <f t="shared" si="95"/>
        <v>0</v>
      </c>
      <c r="GX44" t="b">
        <f t="shared" si="95"/>
        <v>0</v>
      </c>
      <c r="GY44" t="b">
        <f t="shared" si="95"/>
        <v>0</v>
      </c>
      <c r="GZ44" t="b">
        <f t="shared" si="95"/>
        <v>0</v>
      </c>
    </row>
    <row r="45" spans="1:208" hidden="1" x14ac:dyDescent="0.3">
      <c r="A45" t="s">
        <v>28</v>
      </c>
      <c r="B45" t="s">
        <v>37</v>
      </c>
      <c r="C45" t="s">
        <v>39</v>
      </c>
      <c r="D45" s="3">
        <v>4</v>
      </c>
      <c r="E45" s="3">
        <v>15</v>
      </c>
      <c r="F45" s="3">
        <v>44</v>
      </c>
      <c r="G45" s="3">
        <v>60</v>
      </c>
      <c r="H45" t="str">
        <f t="shared" si="19"/>
        <v>4-15</v>
      </c>
      <c r="I45" t="b">
        <v>1</v>
      </c>
      <c r="Q45" s="6">
        <v>45</v>
      </c>
      <c r="R45" t="b">
        <f t="shared" si="77"/>
        <v>0</v>
      </c>
      <c r="S45" t="b">
        <f t="shared" si="77"/>
        <v>0</v>
      </c>
      <c r="T45" t="b">
        <f t="shared" si="77"/>
        <v>0</v>
      </c>
      <c r="U45" t="b">
        <f t="shared" si="77"/>
        <v>0</v>
      </c>
      <c r="V45" t="b">
        <f t="shared" si="77"/>
        <v>0</v>
      </c>
      <c r="W45" t="b">
        <f t="shared" si="77"/>
        <v>0</v>
      </c>
      <c r="X45" t="b">
        <f t="shared" si="77"/>
        <v>0</v>
      </c>
      <c r="Y45" t="b">
        <f t="shared" si="77"/>
        <v>0</v>
      </c>
      <c r="Z45" t="b">
        <f t="shared" si="77"/>
        <v>0</v>
      </c>
      <c r="AA45" t="b">
        <f t="shared" si="77"/>
        <v>0</v>
      </c>
      <c r="AB45" t="b">
        <f t="shared" si="78"/>
        <v>0</v>
      </c>
      <c r="AC45" t="b">
        <f t="shared" si="78"/>
        <v>0</v>
      </c>
      <c r="AD45" t="b">
        <f t="shared" si="78"/>
        <v>0</v>
      </c>
      <c r="AE45" t="b">
        <f t="shared" si="78"/>
        <v>0</v>
      </c>
      <c r="AF45" t="b">
        <f t="shared" si="78"/>
        <v>0</v>
      </c>
      <c r="AG45" t="b">
        <f t="shared" si="78"/>
        <v>0</v>
      </c>
      <c r="AH45" t="b">
        <f t="shared" si="78"/>
        <v>0</v>
      </c>
      <c r="AI45" t="b">
        <f t="shared" si="78"/>
        <v>0</v>
      </c>
      <c r="AJ45" t="b">
        <f t="shared" si="78"/>
        <v>0</v>
      </c>
      <c r="AK45" t="b">
        <f t="shared" si="78"/>
        <v>0</v>
      </c>
      <c r="AL45" t="b">
        <f t="shared" si="79"/>
        <v>0</v>
      </c>
      <c r="AM45" t="b">
        <f t="shared" si="79"/>
        <v>0</v>
      </c>
      <c r="AN45" t="b">
        <f t="shared" si="79"/>
        <v>0</v>
      </c>
      <c r="AO45" t="b">
        <f t="shared" si="79"/>
        <v>0</v>
      </c>
      <c r="AP45" t="b">
        <f t="shared" si="79"/>
        <v>0</v>
      </c>
      <c r="AQ45" t="b">
        <f t="shared" si="79"/>
        <v>0</v>
      </c>
      <c r="AR45" t="b">
        <f t="shared" si="79"/>
        <v>0</v>
      </c>
      <c r="AS45" t="b">
        <f t="shared" si="79"/>
        <v>0</v>
      </c>
      <c r="AT45" t="b">
        <f t="shared" si="79"/>
        <v>0</v>
      </c>
      <c r="AU45" t="b">
        <f t="shared" si="79"/>
        <v>0</v>
      </c>
      <c r="AV45" t="b">
        <f t="shared" si="80"/>
        <v>0</v>
      </c>
      <c r="AW45" t="b">
        <f t="shared" si="80"/>
        <v>0</v>
      </c>
      <c r="AX45" t="b">
        <f t="shared" si="80"/>
        <v>0</v>
      </c>
      <c r="AY45" t="b">
        <f t="shared" si="80"/>
        <v>0</v>
      </c>
      <c r="AZ45" t="b">
        <f t="shared" si="80"/>
        <v>0</v>
      </c>
      <c r="BA45" t="b">
        <f t="shared" si="80"/>
        <v>0</v>
      </c>
      <c r="BB45" t="b">
        <f t="shared" si="80"/>
        <v>0</v>
      </c>
      <c r="BC45" t="b">
        <f t="shared" si="80"/>
        <v>0</v>
      </c>
      <c r="BD45" t="b">
        <f t="shared" si="80"/>
        <v>0</v>
      </c>
      <c r="BE45" t="b">
        <f t="shared" si="80"/>
        <v>0</v>
      </c>
      <c r="BF45" t="b">
        <f t="shared" si="81"/>
        <v>0</v>
      </c>
      <c r="BG45" t="b">
        <f t="shared" si="81"/>
        <v>0</v>
      </c>
      <c r="BH45" t="b">
        <f t="shared" si="81"/>
        <v>0</v>
      </c>
      <c r="BI45" t="b">
        <f t="shared" si="81"/>
        <v>0</v>
      </c>
      <c r="BJ45" t="b">
        <f t="shared" si="81"/>
        <v>0</v>
      </c>
      <c r="BK45" t="b">
        <f t="shared" si="81"/>
        <v>0</v>
      </c>
      <c r="BL45" t="b">
        <f t="shared" si="81"/>
        <v>0</v>
      </c>
      <c r="BM45" t="b">
        <f t="shared" si="81"/>
        <v>0</v>
      </c>
      <c r="BN45" t="b">
        <f t="shared" si="81"/>
        <v>0</v>
      </c>
      <c r="BO45" t="b">
        <f t="shared" si="81"/>
        <v>0</v>
      </c>
      <c r="BP45" t="b">
        <f t="shared" si="82"/>
        <v>0</v>
      </c>
      <c r="BQ45" t="b">
        <f t="shared" si="82"/>
        <v>0</v>
      </c>
      <c r="BR45" t="b">
        <f t="shared" si="82"/>
        <v>0</v>
      </c>
      <c r="BS45" t="b">
        <f t="shared" si="82"/>
        <v>0</v>
      </c>
      <c r="BT45" t="b">
        <f t="shared" si="82"/>
        <v>0</v>
      </c>
      <c r="BU45" t="b">
        <f t="shared" si="82"/>
        <v>0</v>
      </c>
      <c r="BV45" t="b">
        <f t="shared" si="82"/>
        <v>0</v>
      </c>
      <c r="BW45" t="b">
        <f t="shared" si="82"/>
        <v>0</v>
      </c>
      <c r="BX45" t="b">
        <f t="shared" si="82"/>
        <v>0</v>
      </c>
      <c r="BY45" t="b">
        <f t="shared" si="82"/>
        <v>0</v>
      </c>
      <c r="BZ45" t="b">
        <f t="shared" si="83"/>
        <v>0</v>
      </c>
      <c r="CA45" t="b">
        <f t="shared" si="83"/>
        <v>0</v>
      </c>
      <c r="CB45" t="b">
        <f t="shared" si="83"/>
        <v>0</v>
      </c>
      <c r="CC45" t="b">
        <f t="shared" si="83"/>
        <v>0</v>
      </c>
      <c r="CD45" t="b">
        <f t="shared" si="83"/>
        <v>0</v>
      </c>
      <c r="CE45" t="b">
        <f t="shared" si="83"/>
        <v>0</v>
      </c>
      <c r="CF45" t="b">
        <f t="shared" si="83"/>
        <v>0</v>
      </c>
      <c r="CG45" t="b">
        <f t="shared" si="83"/>
        <v>0</v>
      </c>
      <c r="CH45" t="b">
        <f t="shared" si="83"/>
        <v>0</v>
      </c>
      <c r="CI45" t="b">
        <f t="shared" si="83"/>
        <v>0</v>
      </c>
      <c r="CJ45" t="b">
        <f t="shared" si="84"/>
        <v>0</v>
      </c>
      <c r="CK45" t="b">
        <f t="shared" si="84"/>
        <v>0</v>
      </c>
      <c r="CL45" t="b">
        <f t="shared" si="84"/>
        <v>0</v>
      </c>
      <c r="CM45" t="b">
        <f t="shared" si="84"/>
        <v>0</v>
      </c>
      <c r="CN45" t="b">
        <f t="shared" si="84"/>
        <v>0</v>
      </c>
      <c r="CO45" t="b">
        <f t="shared" si="84"/>
        <v>0</v>
      </c>
      <c r="CP45" t="b">
        <f t="shared" si="84"/>
        <v>0</v>
      </c>
      <c r="CQ45" t="b">
        <f t="shared" si="84"/>
        <v>0</v>
      </c>
      <c r="CR45" t="b">
        <f t="shared" si="84"/>
        <v>0</v>
      </c>
      <c r="CS45" t="b">
        <f t="shared" si="84"/>
        <v>0</v>
      </c>
      <c r="CT45" t="b">
        <f t="shared" si="85"/>
        <v>0</v>
      </c>
      <c r="CU45" t="b">
        <f t="shared" si="85"/>
        <v>0</v>
      </c>
      <c r="CV45" t="b">
        <f t="shared" si="85"/>
        <v>0</v>
      </c>
      <c r="CW45" t="b">
        <f t="shared" si="85"/>
        <v>0</v>
      </c>
      <c r="CX45" t="b">
        <f t="shared" si="85"/>
        <v>0</v>
      </c>
      <c r="CY45" t="b">
        <f t="shared" si="85"/>
        <v>0</v>
      </c>
      <c r="CZ45" t="b">
        <f t="shared" si="85"/>
        <v>0</v>
      </c>
      <c r="DA45" t="b">
        <f t="shared" si="85"/>
        <v>0</v>
      </c>
      <c r="DB45" t="b">
        <f t="shared" si="85"/>
        <v>0</v>
      </c>
      <c r="DC45" t="b">
        <f t="shared" si="85"/>
        <v>0</v>
      </c>
      <c r="DD45" t="b">
        <f t="shared" si="86"/>
        <v>0</v>
      </c>
      <c r="DE45" t="b">
        <f t="shared" si="86"/>
        <v>0</v>
      </c>
      <c r="DF45" t="b">
        <f t="shared" si="86"/>
        <v>0</v>
      </c>
      <c r="DG45" t="b">
        <f t="shared" si="86"/>
        <v>0</v>
      </c>
      <c r="DH45" t="b">
        <f t="shared" si="86"/>
        <v>0</v>
      </c>
      <c r="DI45" t="b">
        <f t="shared" si="86"/>
        <v>0</v>
      </c>
      <c r="DJ45" t="b">
        <f t="shared" si="86"/>
        <v>0</v>
      </c>
      <c r="DK45" t="b">
        <f t="shared" si="86"/>
        <v>0</v>
      </c>
      <c r="DL45" t="b">
        <f t="shared" si="86"/>
        <v>0</v>
      </c>
      <c r="DM45" t="b">
        <f t="shared" si="86"/>
        <v>0</v>
      </c>
      <c r="DN45" t="b">
        <f t="shared" si="87"/>
        <v>0</v>
      </c>
      <c r="DO45" t="b">
        <f t="shared" si="87"/>
        <v>0</v>
      </c>
      <c r="DP45" t="b">
        <f t="shared" si="87"/>
        <v>0</v>
      </c>
      <c r="DQ45" t="b">
        <f t="shared" si="87"/>
        <v>0</v>
      </c>
      <c r="DR45" t="b">
        <f t="shared" si="87"/>
        <v>0</v>
      </c>
      <c r="DS45" t="b">
        <f t="shared" si="87"/>
        <v>0</v>
      </c>
      <c r="DT45" t="b">
        <f t="shared" si="87"/>
        <v>0</v>
      </c>
      <c r="DU45" t="b">
        <f t="shared" si="87"/>
        <v>0</v>
      </c>
      <c r="DV45" t="b">
        <f t="shared" si="87"/>
        <v>0</v>
      </c>
      <c r="DW45" t="b">
        <f t="shared" si="87"/>
        <v>0</v>
      </c>
      <c r="DX45" t="b">
        <f t="shared" si="88"/>
        <v>0</v>
      </c>
      <c r="DY45" t="b">
        <f t="shared" si="88"/>
        <v>0</v>
      </c>
      <c r="DZ45" t="b">
        <f t="shared" si="88"/>
        <v>0</v>
      </c>
      <c r="EA45" t="b">
        <f t="shared" si="88"/>
        <v>0</v>
      </c>
      <c r="EB45" t="b">
        <f t="shared" si="88"/>
        <v>0</v>
      </c>
      <c r="EC45" t="b">
        <f t="shared" si="88"/>
        <v>0</v>
      </c>
      <c r="ED45" t="b">
        <f t="shared" si="88"/>
        <v>0</v>
      </c>
      <c r="EE45" t="b">
        <f t="shared" si="88"/>
        <v>0</v>
      </c>
      <c r="EF45" t="b">
        <f t="shared" si="88"/>
        <v>0</v>
      </c>
      <c r="EG45" t="b">
        <f t="shared" si="88"/>
        <v>0</v>
      </c>
      <c r="EH45" t="b">
        <f t="shared" si="89"/>
        <v>0</v>
      </c>
      <c r="EI45" t="b">
        <f t="shared" si="89"/>
        <v>0</v>
      </c>
      <c r="EJ45" t="b">
        <f t="shared" si="89"/>
        <v>0</v>
      </c>
      <c r="EK45" t="b">
        <f t="shared" si="89"/>
        <v>0</v>
      </c>
      <c r="EL45" t="b">
        <f t="shared" si="89"/>
        <v>0</v>
      </c>
      <c r="EM45" t="b">
        <f t="shared" si="89"/>
        <v>0</v>
      </c>
      <c r="EN45" t="b">
        <f t="shared" si="89"/>
        <v>0</v>
      </c>
      <c r="EO45" t="b">
        <f t="shared" si="89"/>
        <v>0</v>
      </c>
      <c r="EP45" t="b">
        <f t="shared" si="89"/>
        <v>0</v>
      </c>
      <c r="EQ45" t="b">
        <f t="shared" si="89"/>
        <v>0</v>
      </c>
      <c r="ER45" t="b">
        <f t="shared" si="90"/>
        <v>0</v>
      </c>
      <c r="ES45" t="b">
        <f t="shared" si="90"/>
        <v>0</v>
      </c>
      <c r="ET45" t="b">
        <f t="shared" si="90"/>
        <v>0</v>
      </c>
      <c r="EU45" t="b">
        <f t="shared" si="90"/>
        <v>0</v>
      </c>
      <c r="EV45" t="b">
        <f t="shared" si="90"/>
        <v>0</v>
      </c>
      <c r="EW45" t="b">
        <f t="shared" si="90"/>
        <v>0</v>
      </c>
      <c r="EX45" t="b">
        <f t="shared" si="90"/>
        <v>0</v>
      </c>
      <c r="EY45" t="b">
        <f t="shared" si="90"/>
        <v>0</v>
      </c>
      <c r="EZ45" t="b">
        <f t="shared" si="90"/>
        <v>0</v>
      </c>
      <c r="FA45" t="b">
        <f t="shared" si="90"/>
        <v>0</v>
      </c>
      <c r="FB45" t="b">
        <f t="shared" si="91"/>
        <v>0</v>
      </c>
      <c r="FC45" t="b">
        <f t="shared" si="91"/>
        <v>0</v>
      </c>
      <c r="FD45" t="b">
        <f t="shared" si="91"/>
        <v>0</v>
      </c>
      <c r="FE45" t="b">
        <f t="shared" si="91"/>
        <v>0</v>
      </c>
      <c r="FF45" t="b">
        <f t="shared" si="91"/>
        <v>0</v>
      </c>
      <c r="FG45" t="b">
        <f t="shared" si="91"/>
        <v>0</v>
      </c>
      <c r="FH45" t="b">
        <f t="shared" si="91"/>
        <v>0</v>
      </c>
      <c r="FI45" t="b">
        <f t="shared" si="91"/>
        <v>0</v>
      </c>
      <c r="FJ45" t="b">
        <f t="shared" si="91"/>
        <v>1</v>
      </c>
      <c r="FK45" t="b">
        <f t="shared" si="91"/>
        <v>0</v>
      </c>
      <c r="FL45" t="b">
        <f t="shared" si="92"/>
        <v>0</v>
      </c>
      <c r="FM45" t="b">
        <f t="shared" si="92"/>
        <v>0</v>
      </c>
      <c r="FN45" t="b">
        <f t="shared" si="92"/>
        <v>0</v>
      </c>
      <c r="FO45" t="b">
        <f t="shared" si="92"/>
        <v>0</v>
      </c>
      <c r="FP45" t="b">
        <f t="shared" si="92"/>
        <v>0</v>
      </c>
      <c r="FQ45" t="b">
        <f t="shared" si="92"/>
        <v>0</v>
      </c>
      <c r="FR45" t="b">
        <f t="shared" si="92"/>
        <v>0</v>
      </c>
      <c r="FS45" t="b">
        <f t="shared" si="92"/>
        <v>0</v>
      </c>
      <c r="FT45" t="b">
        <f t="shared" si="92"/>
        <v>0</v>
      </c>
      <c r="FU45" t="b">
        <f t="shared" si="92"/>
        <v>0</v>
      </c>
      <c r="FV45" t="b">
        <f t="shared" si="93"/>
        <v>0</v>
      </c>
      <c r="FW45" t="b">
        <f t="shared" si="93"/>
        <v>0</v>
      </c>
      <c r="FX45" t="b">
        <f t="shared" si="93"/>
        <v>0</v>
      </c>
      <c r="FY45" t="b">
        <f t="shared" si="93"/>
        <v>0</v>
      </c>
      <c r="FZ45" t="b">
        <f t="shared" si="93"/>
        <v>0</v>
      </c>
      <c r="GA45" t="b">
        <f t="shared" si="93"/>
        <v>0</v>
      </c>
      <c r="GB45" t="b">
        <f t="shared" si="93"/>
        <v>0</v>
      </c>
      <c r="GC45" t="b">
        <f t="shared" si="93"/>
        <v>0</v>
      </c>
      <c r="GD45" t="b">
        <f t="shared" si="93"/>
        <v>0</v>
      </c>
      <c r="GE45" t="b">
        <f t="shared" si="93"/>
        <v>0</v>
      </c>
      <c r="GF45" t="b">
        <f t="shared" si="94"/>
        <v>0</v>
      </c>
      <c r="GG45" t="b">
        <f t="shared" si="94"/>
        <v>0</v>
      </c>
      <c r="GH45" t="b">
        <f t="shared" si="94"/>
        <v>0</v>
      </c>
      <c r="GI45" t="b">
        <f t="shared" si="94"/>
        <v>0</v>
      </c>
      <c r="GJ45" t="b">
        <f t="shared" si="94"/>
        <v>0</v>
      </c>
      <c r="GK45" t="b">
        <f t="shared" si="94"/>
        <v>0</v>
      </c>
      <c r="GL45" t="b">
        <f t="shared" si="94"/>
        <v>0</v>
      </c>
      <c r="GM45" t="b">
        <f t="shared" si="94"/>
        <v>0</v>
      </c>
      <c r="GN45" t="b">
        <f t="shared" si="94"/>
        <v>0</v>
      </c>
      <c r="GO45" t="b">
        <f t="shared" si="94"/>
        <v>0</v>
      </c>
      <c r="GP45" t="b">
        <f t="shared" si="95"/>
        <v>0</v>
      </c>
      <c r="GQ45" t="b">
        <f t="shared" si="95"/>
        <v>0</v>
      </c>
      <c r="GR45" t="b">
        <f t="shared" si="95"/>
        <v>0</v>
      </c>
      <c r="GS45" t="b">
        <f t="shared" si="95"/>
        <v>0</v>
      </c>
      <c r="GT45" t="b">
        <f t="shared" si="95"/>
        <v>0</v>
      </c>
      <c r="GU45" t="b">
        <f t="shared" si="95"/>
        <v>0</v>
      </c>
      <c r="GV45" t="b">
        <f t="shared" si="95"/>
        <v>0</v>
      </c>
      <c r="GW45" t="b">
        <f t="shared" si="95"/>
        <v>0</v>
      </c>
      <c r="GX45" t="b">
        <f t="shared" si="95"/>
        <v>0</v>
      </c>
      <c r="GY45" t="b">
        <f t="shared" si="95"/>
        <v>0</v>
      </c>
      <c r="GZ45" t="b">
        <f t="shared" si="95"/>
        <v>0</v>
      </c>
    </row>
    <row r="46" spans="1:208" hidden="1" x14ac:dyDescent="0.3">
      <c r="A46" t="s">
        <v>28</v>
      </c>
      <c r="B46" t="s">
        <v>37</v>
      </c>
      <c r="C46" t="s">
        <v>40</v>
      </c>
      <c r="D46" s="3">
        <v>4</v>
      </c>
      <c r="E46" s="3">
        <v>15</v>
      </c>
      <c r="F46" s="3">
        <v>45</v>
      </c>
      <c r="G46" s="3">
        <v>90</v>
      </c>
      <c r="H46" t="str">
        <f t="shared" si="19"/>
        <v>4-15</v>
      </c>
      <c r="I46" t="b">
        <v>1</v>
      </c>
      <c r="Q46" s="6">
        <v>46</v>
      </c>
      <c r="R46" t="b">
        <f t="shared" si="77"/>
        <v>0</v>
      </c>
      <c r="S46" t="b">
        <f t="shared" si="77"/>
        <v>0</v>
      </c>
      <c r="T46" t="b">
        <f t="shared" si="77"/>
        <v>0</v>
      </c>
      <c r="U46" t="b">
        <f t="shared" si="77"/>
        <v>0</v>
      </c>
      <c r="V46" t="b">
        <f t="shared" si="77"/>
        <v>0</v>
      </c>
      <c r="W46" t="b">
        <f t="shared" si="77"/>
        <v>0</v>
      </c>
      <c r="X46" t="b">
        <f t="shared" si="77"/>
        <v>0</v>
      </c>
      <c r="Y46" t="b">
        <f t="shared" si="77"/>
        <v>0</v>
      </c>
      <c r="Z46" t="b">
        <f t="shared" si="77"/>
        <v>0</v>
      </c>
      <c r="AA46" t="b">
        <f t="shared" si="77"/>
        <v>0</v>
      </c>
      <c r="AB46" t="b">
        <f t="shared" si="78"/>
        <v>0</v>
      </c>
      <c r="AC46" t="b">
        <f t="shared" si="78"/>
        <v>0</v>
      </c>
      <c r="AD46" t="b">
        <f t="shared" si="78"/>
        <v>0</v>
      </c>
      <c r="AE46" t="b">
        <f t="shared" si="78"/>
        <v>0</v>
      </c>
      <c r="AF46" t="b">
        <f t="shared" si="78"/>
        <v>0</v>
      </c>
      <c r="AG46" t="b">
        <f t="shared" si="78"/>
        <v>0</v>
      </c>
      <c r="AH46" t="b">
        <f t="shared" si="78"/>
        <v>0</v>
      </c>
      <c r="AI46" t="b">
        <f t="shared" si="78"/>
        <v>0</v>
      </c>
      <c r="AJ46" t="b">
        <f t="shared" si="78"/>
        <v>0</v>
      </c>
      <c r="AK46" t="b">
        <f t="shared" si="78"/>
        <v>0</v>
      </c>
      <c r="AL46" t="b">
        <f t="shared" si="79"/>
        <v>0</v>
      </c>
      <c r="AM46" t="b">
        <f t="shared" si="79"/>
        <v>0</v>
      </c>
      <c r="AN46" t="b">
        <f t="shared" si="79"/>
        <v>0</v>
      </c>
      <c r="AO46" t="b">
        <f t="shared" si="79"/>
        <v>0</v>
      </c>
      <c r="AP46" t="b">
        <f t="shared" si="79"/>
        <v>0</v>
      </c>
      <c r="AQ46" t="b">
        <f t="shared" si="79"/>
        <v>0</v>
      </c>
      <c r="AR46" t="b">
        <f t="shared" si="79"/>
        <v>0</v>
      </c>
      <c r="AS46" t="b">
        <f t="shared" si="79"/>
        <v>0</v>
      </c>
      <c r="AT46" t="b">
        <f t="shared" si="79"/>
        <v>0</v>
      </c>
      <c r="AU46" t="b">
        <f t="shared" si="79"/>
        <v>0</v>
      </c>
      <c r="AV46" t="b">
        <f t="shared" si="80"/>
        <v>0</v>
      </c>
      <c r="AW46" t="b">
        <f t="shared" si="80"/>
        <v>0</v>
      </c>
      <c r="AX46" t="b">
        <f t="shared" si="80"/>
        <v>0</v>
      </c>
      <c r="AY46" t="b">
        <f t="shared" si="80"/>
        <v>0</v>
      </c>
      <c r="AZ46" t="b">
        <f t="shared" si="80"/>
        <v>0</v>
      </c>
      <c r="BA46" t="b">
        <f t="shared" si="80"/>
        <v>0</v>
      </c>
      <c r="BB46" t="b">
        <f t="shared" si="80"/>
        <v>0</v>
      </c>
      <c r="BC46" t="b">
        <f t="shared" si="80"/>
        <v>0</v>
      </c>
      <c r="BD46" t="b">
        <f t="shared" si="80"/>
        <v>0</v>
      </c>
      <c r="BE46" t="b">
        <f t="shared" si="80"/>
        <v>0</v>
      </c>
      <c r="BF46" t="b">
        <f t="shared" si="81"/>
        <v>0</v>
      </c>
      <c r="BG46" t="b">
        <f t="shared" si="81"/>
        <v>0</v>
      </c>
      <c r="BH46" t="b">
        <f t="shared" si="81"/>
        <v>0</v>
      </c>
      <c r="BI46" t="b">
        <f t="shared" si="81"/>
        <v>0</v>
      </c>
      <c r="BJ46" t="b">
        <f t="shared" si="81"/>
        <v>0</v>
      </c>
      <c r="BK46" t="b">
        <f t="shared" si="81"/>
        <v>0</v>
      </c>
      <c r="BL46" t="b">
        <f t="shared" si="81"/>
        <v>0</v>
      </c>
      <c r="BM46" t="b">
        <f t="shared" si="81"/>
        <v>0</v>
      </c>
      <c r="BN46" t="b">
        <f t="shared" si="81"/>
        <v>0</v>
      </c>
      <c r="BO46" t="b">
        <f t="shared" si="81"/>
        <v>0</v>
      </c>
      <c r="BP46" t="b">
        <f t="shared" si="82"/>
        <v>0</v>
      </c>
      <c r="BQ46" t="b">
        <f t="shared" si="82"/>
        <v>0</v>
      </c>
      <c r="BR46" t="b">
        <f t="shared" si="82"/>
        <v>0</v>
      </c>
      <c r="BS46" t="b">
        <f t="shared" si="82"/>
        <v>0</v>
      </c>
      <c r="BT46" t="b">
        <f t="shared" si="82"/>
        <v>0</v>
      </c>
      <c r="BU46" t="b">
        <f t="shared" si="82"/>
        <v>0</v>
      </c>
      <c r="BV46" t="b">
        <f t="shared" si="82"/>
        <v>0</v>
      </c>
      <c r="BW46" t="b">
        <f t="shared" si="82"/>
        <v>0</v>
      </c>
      <c r="BX46" t="b">
        <f t="shared" si="82"/>
        <v>0</v>
      </c>
      <c r="BY46" t="b">
        <f t="shared" si="82"/>
        <v>0</v>
      </c>
      <c r="BZ46" t="b">
        <f t="shared" si="83"/>
        <v>0</v>
      </c>
      <c r="CA46" t="b">
        <f t="shared" si="83"/>
        <v>0</v>
      </c>
      <c r="CB46" t="b">
        <f t="shared" si="83"/>
        <v>0</v>
      </c>
      <c r="CC46" t="b">
        <f t="shared" si="83"/>
        <v>0</v>
      </c>
      <c r="CD46" t="b">
        <f t="shared" si="83"/>
        <v>0</v>
      </c>
      <c r="CE46" t="b">
        <f t="shared" si="83"/>
        <v>0</v>
      </c>
      <c r="CF46" t="b">
        <f t="shared" si="83"/>
        <v>0</v>
      </c>
      <c r="CG46" t="b">
        <f t="shared" si="83"/>
        <v>0</v>
      </c>
      <c r="CH46" t="b">
        <f t="shared" si="83"/>
        <v>0</v>
      </c>
      <c r="CI46" t="b">
        <f t="shared" si="83"/>
        <v>0</v>
      </c>
      <c r="CJ46" t="b">
        <f t="shared" si="84"/>
        <v>0</v>
      </c>
      <c r="CK46" t="b">
        <f t="shared" si="84"/>
        <v>0</v>
      </c>
      <c r="CL46" t="b">
        <f t="shared" si="84"/>
        <v>0</v>
      </c>
      <c r="CM46" t="b">
        <f t="shared" si="84"/>
        <v>0</v>
      </c>
      <c r="CN46" t="b">
        <f t="shared" si="84"/>
        <v>0</v>
      </c>
      <c r="CO46" t="b">
        <f t="shared" si="84"/>
        <v>0</v>
      </c>
      <c r="CP46" t="b">
        <f t="shared" si="84"/>
        <v>0</v>
      </c>
      <c r="CQ46" t="b">
        <f t="shared" si="84"/>
        <v>0</v>
      </c>
      <c r="CR46" t="b">
        <f t="shared" si="84"/>
        <v>0</v>
      </c>
      <c r="CS46" t="b">
        <f t="shared" si="84"/>
        <v>0</v>
      </c>
      <c r="CT46" t="b">
        <f t="shared" si="85"/>
        <v>0</v>
      </c>
      <c r="CU46" t="b">
        <f t="shared" si="85"/>
        <v>0</v>
      </c>
      <c r="CV46" t="b">
        <f t="shared" si="85"/>
        <v>0</v>
      </c>
      <c r="CW46" t="b">
        <f t="shared" si="85"/>
        <v>0</v>
      </c>
      <c r="CX46" t="b">
        <f t="shared" si="85"/>
        <v>0</v>
      </c>
      <c r="CY46" t="b">
        <f t="shared" si="85"/>
        <v>0</v>
      </c>
      <c r="CZ46" t="b">
        <f t="shared" si="85"/>
        <v>0</v>
      </c>
      <c r="DA46" t="b">
        <f t="shared" si="85"/>
        <v>0</v>
      </c>
      <c r="DB46" t="b">
        <f t="shared" si="85"/>
        <v>0</v>
      </c>
      <c r="DC46" t="b">
        <f t="shared" si="85"/>
        <v>0</v>
      </c>
      <c r="DD46" t="b">
        <f t="shared" si="86"/>
        <v>0</v>
      </c>
      <c r="DE46" t="b">
        <f t="shared" si="86"/>
        <v>0</v>
      </c>
      <c r="DF46" t="b">
        <f t="shared" si="86"/>
        <v>0</v>
      </c>
      <c r="DG46" t="b">
        <f t="shared" si="86"/>
        <v>0</v>
      </c>
      <c r="DH46" t="b">
        <f t="shared" si="86"/>
        <v>0</v>
      </c>
      <c r="DI46" t="b">
        <f t="shared" si="86"/>
        <v>0</v>
      </c>
      <c r="DJ46" t="b">
        <f t="shared" si="86"/>
        <v>0</v>
      </c>
      <c r="DK46" t="b">
        <f t="shared" si="86"/>
        <v>0</v>
      </c>
      <c r="DL46" t="b">
        <f t="shared" si="86"/>
        <v>0</v>
      </c>
      <c r="DM46" t="b">
        <f t="shared" si="86"/>
        <v>0</v>
      </c>
      <c r="DN46" t="b">
        <f t="shared" si="87"/>
        <v>0</v>
      </c>
      <c r="DO46" t="b">
        <f t="shared" si="87"/>
        <v>0</v>
      </c>
      <c r="DP46" t="b">
        <f t="shared" si="87"/>
        <v>0</v>
      </c>
      <c r="DQ46" t="b">
        <f t="shared" si="87"/>
        <v>0</v>
      </c>
      <c r="DR46" t="b">
        <f t="shared" si="87"/>
        <v>0</v>
      </c>
      <c r="DS46" t="b">
        <f t="shared" si="87"/>
        <v>0</v>
      </c>
      <c r="DT46" t="b">
        <f t="shared" si="87"/>
        <v>0</v>
      </c>
      <c r="DU46" t="b">
        <f t="shared" si="87"/>
        <v>0</v>
      </c>
      <c r="DV46" t="b">
        <f t="shared" si="87"/>
        <v>0</v>
      </c>
      <c r="DW46" t="b">
        <f t="shared" si="87"/>
        <v>0</v>
      </c>
      <c r="DX46" t="b">
        <f t="shared" si="88"/>
        <v>0</v>
      </c>
      <c r="DY46" t="b">
        <f t="shared" si="88"/>
        <v>0</v>
      </c>
      <c r="DZ46" t="b">
        <f t="shared" si="88"/>
        <v>0</v>
      </c>
      <c r="EA46" t="b">
        <f t="shared" si="88"/>
        <v>0</v>
      </c>
      <c r="EB46" t="b">
        <f t="shared" si="88"/>
        <v>0</v>
      </c>
      <c r="EC46" t="b">
        <f t="shared" si="88"/>
        <v>0</v>
      </c>
      <c r="ED46" t="b">
        <f t="shared" si="88"/>
        <v>0</v>
      </c>
      <c r="EE46" t="b">
        <f t="shared" si="88"/>
        <v>0</v>
      </c>
      <c r="EF46" t="b">
        <f t="shared" si="88"/>
        <v>0</v>
      </c>
      <c r="EG46" t="b">
        <f t="shared" si="88"/>
        <v>0</v>
      </c>
      <c r="EH46" t="b">
        <f t="shared" si="89"/>
        <v>0</v>
      </c>
      <c r="EI46" t="b">
        <f t="shared" si="89"/>
        <v>0</v>
      </c>
      <c r="EJ46" t="b">
        <f t="shared" si="89"/>
        <v>0</v>
      </c>
      <c r="EK46" t="b">
        <f t="shared" si="89"/>
        <v>0</v>
      </c>
      <c r="EL46" t="b">
        <f t="shared" si="89"/>
        <v>0</v>
      </c>
      <c r="EM46" t="b">
        <f t="shared" si="89"/>
        <v>0</v>
      </c>
      <c r="EN46" t="b">
        <f t="shared" si="89"/>
        <v>0</v>
      </c>
      <c r="EO46" t="b">
        <f t="shared" si="89"/>
        <v>0</v>
      </c>
      <c r="EP46" t="b">
        <f t="shared" si="89"/>
        <v>0</v>
      </c>
      <c r="EQ46" t="b">
        <f t="shared" si="89"/>
        <v>0</v>
      </c>
      <c r="ER46" t="b">
        <f t="shared" si="90"/>
        <v>0</v>
      </c>
      <c r="ES46" t="b">
        <f t="shared" si="90"/>
        <v>0</v>
      </c>
      <c r="ET46" t="b">
        <f t="shared" si="90"/>
        <v>0</v>
      </c>
      <c r="EU46" t="b">
        <f t="shared" si="90"/>
        <v>0</v>
      </c>
      <c r="EV46" t="b">
        <f t="shared" si="90"/>
        <v>0</v>
      </c>
      <c r="EW46" t="b">
        <f t="shared" si="90"/>
        <v>0</v>
      </c>
      <c r="EX46" t="b">
        <f t="shared" si="90"/>
        <v>0</v>
      </c>
      <c r="EY46" t="b">
        <f t="shared" si="90"/>
        <v>0</v>
      </c>
      <c r="EZ46" t="b">
        <f t="shared" si="90"/>
        <v>0</v>
      </c>
      <c r="FA46" t="b">
        <f t="shared" si="90"/>
        <v>0</v>
      </c>
      <c r="FB46" t="b">
        <f t="shared" si="91"/>
        <v>0</v>
      </c>
      <c r="FC46" t="b">
        <f t="shared" si="91"/>
        <v>0</v>
      </c>
      <c r="FD46" t="b">
        <f t="shared" si="91"/>
        <v>0</v>
      </c>
      <c r="FE46" t="b">
        <f t="shared" si="91"/>
        <v>0</v>
      </c>
      <c r="FF46" t="b">
        <f t="shared" si="91"/>
        <v>0</v>
      </c>
      <c r="FG46" t="b">
        <f t="shared" si="91"/>
        <v>0</v>
      </c>
      <c r="FH46" t="b">
        <f t="shared" si="91"/>
        <v>0</v>
      </c>
      <c r="FI46" t="b">
        <f t="shared" si="91"/>
        <v>0</v>
      </c>
      <c r="FJ46" t="b">
        <f t="shared" si="91"/>
        <v>0</v>
      </c>
      <c r="FK46" t="b">
        <f t="shared" si="91"/>
        <v>0</v>
      </c>
      <c r="FL46" t="b">
        <f t="shared" si="92"/>
        <v>0</v>
      </c>
      <c r="FM46" t="b">
        <f t="shared" si="92"/>
        <v>0</v>
      </c>
      <c r="FN46" t="b">
        <f t="shared" si="92"/>
        <v>0</v>
      </c>
      <c r="FO46" t="b">
        <f t="shared" si="92"/>
        <v>0</v>
      </c>
      <c r="FP46" t="b">
        <f t="shared" si="92"/>
        <v>0</v>
      </c>
      <c r="FQ46" t="b">
        <f t="shared" si="92"/>
        <v>0</v>
      </c>
      <c r="FR46" t="b">
        <f t="shared" si="92"/>
        <v>0</v>
      </c>
      <c r="FS46" t="b">
        <f t="shared" si="92"/>
        <v>0</v>
      </c>
      <c r="FT46" t="b">
        <f t="shared" si="92"/>
        <v>0</v>
      </c>
      <c r="FU46" t="b">
        <f t="shared" si="92"/>
        <v>0</v>
      </c>
      <c r="FV46" t="b">
        <f t="shared" si="93"/>
        <v>0</v>
      </c>
      <c r="FW46" t="b">
        <f t="shared" si="93"/>
        <v>0</v>
      </c>
      <c r="FX46" t="b">
        <f t="shared" si="93"/>
        <v>0</v>
      </c>
      <c r="FY46" t="b">
        <f t="shared" si="93"/>
        <v>0</v>
      </c>
      <c r="FZ46" t="b">
        <f t="shared" si="93"/>
        <v>1</v>
      </c>
      <c r="GA46" t="b">
        <f t="shared" si="93"/>
        <v>0</v>
      </c>
      <c r="GB46" t="b">
        <f t="shared" si="93"/>
        <v>0</v>
      </c>
      <c r="GC46" t="b">
        <f t="shared" si="93"/>
        <v>0</v>
      </c>
      <c r="GD46" t="b">
        <f t="shared" si="93"/>
        <v>0</v>
      </c>
      <c r="GE46" t="b">
        <f t="shared" si="93"/>
        <v>0</v>
      </c>
      <c r="GF46" t="b">
        <f t="shared" si="94"/>
        <v>0</v>
      </c>
      <c r="GG46" t="b">
        <f t="shared" si="94"/>
        <v>0</v>
      </c>
      <c r="GH46" t="b">
        <f t="shared" si="94"/>
        <v>0</v>
      </c>
      <c r="GI46" t="b">
        <f t="shared" si="94"/>
        <v>0</v>
      </c>
      <c r="GJ46" t="b">
        <f t="shared" si="94"/>
        <v>0</v>
      </c>
      <c r="GK46" t="b">
        <f t="shared" si="94"/>
        <v>0</v>
      </c>
      <c r="GL46" t="b">
        <f t="shared" si="94"/>
        <v>0</v>
      </c>
      <c r="GM46" t="b">
        <f t="shared" si="94"/>
        <v>0</v>
      </c>
      <c r="GN46" t="b">
        <f t="shared" si="94"/>
        <v>0</v>
      </c>
      <c r="GO46" t="b">
        <f t="shared" si="94"/>
        <v>0</v>
      </c>
      <c r="GP46" t="b">
        <f t="shared" si="95"/>
        <v>0</v>
      </c>
      <c r="GQ46" t="b">
        <f t="shared" si="95"/>
        <v>0</v>
      </c>
      <c r="GR46" t="b">
        <f t="shared" si="95"/>
        <v>0</v>
      </c>
      <c r="GS46" t="b">
        <f t="shared" si="95"/>
        <v>0</v>
      </c>
      <c r="GT46" t="b">
        <f t="shared" si="95"/>
        <v>0</v>
      </c>
      <c r="GU46" t="b">
        <f t="shared" si="95"/>
        <v>0</v>
      </c>
      <c r="GV46" t="b">
        <f t="shared" si="95"/>
        <v>0</v>
      </c>
      <c r="GW46" t="b">
        <f t="shared" si="95"/>
        <v>0</v>
      </c>
      <c r="GX46" t="b">
        <f t="shared" si="95"/>
        <v>0</v>
      </c>
      <c r="GY46" t="b">
        <f t="shared" si="95"/>
        <v>0</v>
      </c>
      <c r="GZ46" t="b">
        <f t="shared" si="95"/>
        <v>0</v>
      </c>
    </row>
    <row r="47" spans="1:208" hidden="1" x14ac:dyDescent="0.3">
      <c r="A47" t="s">
        <v>28</v>
      </c>
      <c r="B47" t="s">
        <v>37</v>
      </c>
      <c r="C47" t="s">
        <v>41</v>
      </c>
      <c r="D47" s="3">
        <v>4</v>
      </c>
      <c r="E47" s="3">
        <v>15</v>
      </c>
      <c r="F47" s="3">
        <v>46</v>
      </c>
      <c r="G47" s="3">
        <v>50</v>
      </c>
      <c r="H47" t="str">
        <f t="shared" si="19"/>
        <v>4-15</v>
      </c>
      <c r="I47" t="b">
        <v>1</v>
      </c>
      <c r="Q47" s="6">
        <v>47</v>
      </c>
      <c r="R47" t="b">
        <f t="shared" si="77"/>
        <v>0</v>
      </c>
      <c r="S47" t="b">
        <f t="shared" si="77"/>
        <v>0</v>
      </c>
      <c r="T47" t="b">
        <f t="shared" si="77"/>
        <v>0</v>
      </c>
      <c r="U47" t="b">
        <f t="shared" si="77"/>
        <v>0</v>
      </c>
      <c r="V47" t="b">
        <f t="shared" si="77"/>
        <v>0</v>
      </c>
      <c r="W47" t="b">
        <f t="shared" si="77"/>
        <v>0</v>
      </c>
      <c r="X47" t="b">
        <f t="shared" si="77"/>
        <v>0</v>
      </c>
      <c r="Y47" t="b">
        <f t="shared" si="77"/>
        <v>0</v>
      </c>
      <c r="Z47" t="b">
        <f t="shared" si="77"/>
        <v>0</v>
      </c>
      <c r="AA47" t="b">
        <f t="shared" si="77"/>
        <v>0</v>
      </c>
      <c r="AB47" t="b">
        <f t="shared" si="78"/>
        <v>0</v>
      </c>
      <c r="AC47" t="b">
        <f t="shared" si="78"/>
        <v>0</v>
      </c>
      <c r="AD47" t="b">
        <f t="shared" si="78"/>
        <v>0</v>
      </c>
      <c r="AE47" t="b">
        <f t="shared" si="78"/>
        <v>0</v>
      </c>
      <c r="AF47" t="b">
        <f t="shared" si="78"/>
        <v>0</v>
      </c>
      <c r="AG47" t="b">
        <f t="shared" si="78"/>
        <v>0</v>
      </c>
      <c r="AH47" t="b">
        <f t="shared" si="78"/>
        <v>0</v>
      </c>
      <c r="AI47" t="b">
        <f t="shared" si="78"/>
        <v>0</v>
      </c>
      <c r="AJ47" t="b">
        <f t="shared" si="78"/>
        <v>1</v>
      </c>
      <c r="AK47" t="b">
        <f t="shared" si="78"/>
        <v>0</v>
      </c>
      <c r="AL47" t="b">
        <f t="shared" si="79"/>
        <v>0</v>
      </c>
      <c r="AM47" t="b">
        <f t="shared" si="79"/>
        <v>0</v>
      </c>
      <c r="AN47" t="b">
        <f t="shared" si="79"/>
        <v>0</v>
      </c>
      <c r="AO47" t="b">
        <f t="shared" si="79"/>
        <v>0</v>
      </c>
      <c r="AP47" t="b">
        <f t="shared" si="79"/>
        <v>0</v>
      </c>
      <c r="AQ47" t="b">
        <f t="shared" si="79"/>
        <v>0</v>
      </c>
      <c r="AR47" t="b">
        <f t="shared" si="79"/>
        <v>0</v>
      </c>
      <c r="AS47" t="b">
        <f t="shared" si="79"/>
        <v>0</v>
      </c>
      <c r="AT47" t="b">
        <f t="shared" si="79"/>
        <v>0</v>
      </c>
      <c r="AU47" t="b">
        <f t="shared" si="79"/>
        <v>0</v>
      </c>
      <c r="AV47" t="b">
        <f t="shared" si="80"/>
        <v>0</v>
      </c>
      <c r="AW47" t="b">
        <f t="shared" si="80"/>
        <v>0</v>
      </c>
      <c r="AX47" t="b">
        <f t="shared" si="80"/>
        <v>0</v>
      </c>
      <c r="AY47" t="b">
        <f t="shared" si="80"/>
        <v>0</v>
      </c>
      <c r="AZ47" t="b">
        <f t="shared" si="80"/>
        <v>0</v>
      </c>
      <c r="BA47" t="b">
        <f t="shared" si="80"/>
        <v>0</v>
      </c>
      <c r="BB47" t="b">
        <f t="shared" si="80"/>
        <v>0</v>
      </c>
      <c r="BC47" t="b">
        <f t="shared" si="80"/>
        <v>0</v>
      </c>
      <c r="BD47" t="b">
        <f t="shared" si="80"/>
        <v>0</v>
      </c>
      <c r="BE47" t="b">
        <f t="shared" si="80"/>
        <v>0</v>
      </c>
      <c r="BF47" t="b">
        <f t="shared" si="81"/>
        <v>0</v>
      </c>
      <c r="BG47" t="b">
        <f t="shared" si="81"/>
        <v>0</v>
      </c>
      <c r="BH47" t="b">
        <f t="shared" si="81"/>
        <v>0</v>
      </c>
      <c r="BI47" t="b">
        <f t="shared" si="81"/>
        <v>0</v>
      </c>
      <c r="BJ47" t="b">
        <f t="shared" si="81"/>
        <v>0</v>
      </c>
      <c r="BK47" t="b">
        <f t="shared" si="81"/>
        <v>0</v>
      </c>
      <c r="BL47" t="b">
        <f t="shared" si="81"/>
        <v>0</v>
      </c>
      <c r="BM47" t="b">
        <f t="shared" si="81"/>
        <v>0</v>
      </c>
      <c r="BN47" t="b">
        <f t="shared" si="81"/>
        <v>0</v>
      </c>
      <c r="BO47" t="b">
        <f t="shared" si="81"/>
        <v>0</v>
      </c>
      <c r="BP47" t="b">
        <f t="shared" si="82"/>
        <v>0</v>
      </c>
      <c r="BQ47" t="b">
        <f t="shared" si="82"/>
        <v>0</v>
      </c>
      <c r="BR47" t="b">
        <f t="shared" si="82"/>
        <v>0</v>
      </c>
      <c r="BS47" t="b">
        <f t="shared" si="82"/>
        <v>0</v>
      </c>
      <c r="BT47" t="b">
        <f t="shared" si="82"/>
        <v>0</v>
      </c>
      <c r="BU47" t="b">
        <f t="shared" si="82"/>
        <v>0</v>
      </c>
      <c r="BV47" t="b">
        <f t="shared" si="82"/>
        <v>0</v>
      </c>
      <c r="BW47" t="b">
        <f t="shared" si="82"/>
        <v>0</v>
      </c>
      <c r="BX47" t="b">
        <f t="shared" si="82"/>
        <v>0</v>
      </c>
      <c r="BY47" t="b">
        <f t="shared" si="82"/>
        <v>0</v>
      </c>
      <c r="BZ47" t="b">
        <f t="shared" si="83"/>
        <v>0</v>
      </c>
      <c r="CA47" t="b">
        <f t="shared" si="83"/>
        <v>0</v>
      </c>
      <c r="CB47" t="b">
        <f t="shared" si="83"/>
        <v>0</v>
      </c>
      <c r="CC47" t="b">
        <f t="shared" si="83"/>
        <v>0</v>
      </c>
      <c r="CD47" t="b">
        <f t="shared" si="83"/>
        <v>0</v>
      </c>
      <c r="CE47" t="b">
        <f t="shared" si="83"/>
        <v>0</v>
      </c>
      <c r="CF47" t="b">
        <f t="shared" si="83"/>
        <v>0</v>
      </c>
      <c r="CG47" t="b">
        <f t="shared" si="83"/>
        <v>0</v>
      </c>
      <c r="CH47" t="b">
        <f t="shared" si="83"/>
        <v>0</v>
      </c>
      <c r="CI47" t="b">
        <f t="shared" si="83"/>
        <v>0</v>
      </c>
      <c r="CJ47" t="b">
        <f t="shared" si="84"/>
        <v>1</v>
      </c>
      <c r="CK47" t="b">
        <f t="shared" si="84"/>
        <v>0</v>
      </c>
      <c r="CL47" t="b">
        <f t="shared" si="84"/>
        <v>0</v>
      </c>
      <c r="CM47" t="b">
        <f t="shared" si="84"/>
        <v>1</v>
      </c>
      <c r="CN47" t="b">
        <f t="shared" si="84"/>
        <v>0</v>
      </c>
      <c r="CO47" t="b">
        <f t="shared" si="84"/>
        <v>0</v>
      </c>
      <c r="CP47" t="b">
        <f t="shared" si="84"/>
        <v>0</v>
      </c>
      <c r="CQ47" t="b">
        <f t="shared" si="84"/>
        <v>0</v>
      </c>
      <c r="CR47" t="b">
        <f t="shared" si="84"/>
        <v>0</v>
      </c>
      <c r="CS47" t="b">
        <f t="shared" si="84"/>
        <v>0</v>
      </c>
      <c r="CT47" t="b">
        <f t="shared" si="85"/>
        <v>0</v>
      </c>
      <c r="CU47" t="b">
        <f t="shared" si="85"/>
        <v>0</v>
      </c>
      <c r="CV47" t="b">
        <f t="shared" si="85"/>
        <v>0</v>
      </c>
      <c r="CW47" t="b">
        <f t="shared" si="85"/>
        <v>0</v>
      </c>
      <c r="CX47" t="b">
        <f t="shared" si="85"/>
        <v>0</v>
      </c>
      <c r="CY47" t="b">
        <f t="shared" si="85"/>
        <v>0</v>
      </c>
      <c r="CZ47" t="b">
        <f t="shared" si="85"/>
        <v>0</v>
      </c>
      <c r="DA47" t="b">
        <f t="shared" si="85"/>
        <v>0</v>
      </c>
      <c r="DB47" t="b">
        <f t="shared" si="85"/>
        <v>0</v>
      </c>
      <c r="DC47" t="b">
        <f t="shared" si="85"/>
        <v>0</v>
      </c>
      <c r="DD47" t="b">
        <f t="shared" si="86"/>
        <v>0</v>
      </c>
      <c r="DE47" t="b">
        <f t="shared" si="86"/>
        <v>0</v>
      </c>
      <c r="DF47" t="b">
        <f t="shared" si="86"/>
        <v>0</v>
      </c>
      <c r="DG47" t="b">
        <f t="shared" si="86"/>
        <v>0</v>
      </c>
      <c r="DH47" t="b">
        <f t="shared" si="86"/>
        <v>0</v>
      </c>
      <c r="DI47" t="b">
        <f t="shared" si="86"/>
        <v>0</v>
      </c>
      <c r="DJ47" t="b">
        <f t="shared" si="86"/>
        <v>0</v>
      </c>
      <c r="DK47" t="b">
        <f t="shared" si="86"/>
        <v>0</v>
      </c>
      <c r="DL47" t="b">
        <f t="shared" si="86"/>
        <v>0</v>
      </c>
      <c r="DM47" t="b">
        <f t="shared" si="86"/>
        <v>0</v>
      </c>
      <c r="DN47" t="b">
        <f t="shared" si="87"/>
        <v>0</v>
      </c>
      <c r="DO47" t="b">
        <f t="shared" si="87"/>
        <v>0</v>
      </c>
      <c r="DP47" t="b">
        <f t="shared" si="87"/>
        <v>0</v>
      </c>
      <c r="DQ47" t="b">
        <f t="shared" si="87"/>
        <v>0</v>
      </c>
      <c r="DR47" t="b">
        <f t="shared" si="87"/>
        <v>0</v>
      </c>
      <c r="DS47" t="b">
        <f t="shared" si="87"/>
        <v>0</v>
      </c>
      <c r="DT47" t="b">
        <f t="shared" si="87"/>
        <v>0</v>
      </c>
      <c r="DU47" t="b">
        <f t="shared" si="87"/>
        <v>0</v>
      </c>
      <c r="DV47" t="b">
        <f t="shared" si="87"/>
        <v>0</v>
      </c>
      <c r="DW47" t="b">
        <f t="shared" si="87"/>
        <v>0</v>
      </c>
      <c r="DX47" t="b">
        <f t="shared" si="88"/>
        <v>0</v>
      </c>
      <c r="DY47" t="b">
        <f t="shared" si="88"/>
        <v>0</v>
      </c>
      <c r="DZ47" t="b">
        <f t="shared" si="88"/>
        <v>0</v>
      </c>
      <c r="EA47" t="b">
        <f t="shared" si="88"/>
        <v>0</v>
      </c>
      <c r="EB47" t="b">
        <f t="shared" si="88"/>
        <v>0</v>
      </c>
      <c r="EC47" t="b">
        <f t="shared" si="88"/>
        <v>0</v>
      </c>
      <c r="ED47" t="b">
        <f t="shared" si="88"/>
        <v>0</v>
      </c>
      <c r="EE47" t="b">
        <f t="shared" si="88"/>
        <v>0</v>
      </c>
      <c r="EF47" t="b">
        <f t="shared" si="88"/>
        <v>0</v>
      </c>
      <c r="EG47" t="b">
        <f t="shared" si="88"/>
        <v>0</v>
      </c>
      <c r="EH47" t="b">
        <f t="shared" si="89"/>
        <v>0</v>
      </c>
      <c r="EI47" t="b">
        <f t="shared" si="89"/>
        <v>0</v>
      </c>
      <c r="EJ47" t="b">
        <f t="shared" si="89"/>
        <v>0</v>
      </c>
      <c r="EK47" t="b">
        <f t="shared" si="89"/>
        <v>0</v>
      </c>
      <c r="EL47" t="b">
        <f t="shared" si="89"/>
        <v>0</v>
      </c>
      <c r="EM47" t="b">
        <f t="shared" si="89"/>
        <v>0</v>
      </c>
      <c r="EN47" t="b">
        <f t="shared" si="89"/>
        <v>0</v>
      </c>
      <c r="EO47" t="b">
        <f t="shared" si="89"/>
        <v>0</v>
      </c>
      <c r="EP47" t="b">
        <f t="shared" si="89"/>
        <v>0</v>
      </c>
      <c r="EQ47" t="b">
        <f t="shared" si="89"/>
        <v>0</v>
      </c>
      <c r="ER47" t="b">
        <f t="shared" si="90"/>
        <v>0</v>
      </c>
      <c r="ES47" t="b">
        <f t="shared" si="90"/>
        <v>0</v>
      </c>
      <c r="ET47" t="b">
        <f t="shared" si="90"/>
        <v>0</v>
      </c>
      <c r="EU47" t="b">
        <f t="shared" si="90"/>
        <v>0</v>
      </c>
      <c r="EV47" t="b">
        <f t="shared" si="90"/>
        <v>0</v>
      </c>
      <c r="EW47" t="b">
        <f t="shared" si="90"/>
        <v>0</v>
      </c>
      <c r="EX47" t="b">
        <f t="shared" si="90"/>
        <v>0</v>
      </c>
      <c r="EY47" t="b">
        <f t="shared" si="90"/>
        <v>0</v>
      </c>
      <c r="EZ47" t="b">
        <f t="shared" si="90"/>
        <v>0</v>
      </c>
      <c r="FA47" t="b">
        <f t="shared" si="90"/>
        <v>0</v>
      </c>
      <c r="FB47" t="b">
        <f t="shared" si="91"/>
        <v>0</v>
      </c>
      <c r="FC47" t="b">
        <f t="shared" si="91"/>
        <v>0</v>
      </c>
      <c r="FD47" t="b">
        <f t="shared" si="91"/>
        <v>0</v>
      </c>
      <c r="FE47" t="b">
        <f t="shared" si="91"/>
        <v>0</v>
      </c>
      <c r="FF47" t="b">
        <f t="shared" si="91"/>
        <v>0</v>
      </c>
      <c r="FG47" t="b">
        <f t="shared" si="91"/>
        <v>0</v>
      </c>
      <c r="FH47" t="b">
        <f t="shared" si="91"/>
        <v>0</v>
      </c>
      <c r="FI47" t="b">
        <f t="shared" si="91"/>
        <v>0</v>
      </c>
      <c r="FJ47" t="b">
        <f t="shared" si="91"/>
        <v>0</v>
      </c>
      <c r="FK47" t="b">
        <f t="shared" si="91"/>
        <v>0</v>
      </c>
      <c r="FL47" t="b">
        <f t="shared" si="92"/>
        <v>0</v>
      </c>
      <c r="FM47" t="b">
        <f t="shared" si="92"/>
        <v>0</v>
      </c>
      <c r="FN47" t="b">
        <f t="shared" si="92"/>
        <v>0</v>
      </c>
      <c r="FO47" t="b">
        <f t="shared" si="92"/>
        <v>0</v>
      </c>
      <c r="FP47" t="b">
        <f t="shared" si="92"/>
        <v>0</v>
      </c>
      <c r="FQ47" t="b">
        <f t="shared" si="92"/>
        <v>0</v>
      </c>
      <c r="FR47" t="b">
        <f t="shared" si="92"/>
        <v>0</v>
      </c>
      <c r="FS47" t="b">
        <f t="shared" si="92"/>
        <v>0</v>
      </c>
      <c r="FT47" t="b">
        <f t="shared" si="92"/>
        <v>0</v>
      </c>
      <c r="FU47" t="b">
        <f t="shared" si="92"/>
        <v>0</v>
      </c>
      <c r="FV47" t="b">
        <f t="shared" si="93"/>
        <v>0</v>
      </c>
      <c r="FW47" t="b">
        <f t="shared" si="93"/>
        <v>0</v>
      </c>
      <c r="FX47" t="b">
        <f t="shared" si="93"/>
        <v>0</v>
      </c>
      <c r="FY47" t="b">
        <f t="shared" si="93"/>
        <v>0</v>
      </c>
      <c r="FZ47" t="b">
        <f t="shared" si="93"/>
        <v>0</v>
      </c>
      <c r="GA47" t="b">
        <f t="shared" si="93"/>
        <v>0</v>
      </c>
      <c r="GB47" t="b">
        <f t="shared" si="93"/>
        <v>0</v>
      </c>
      <c r="GC47" t="b">
        <f t="shared" si="93"/>
        <v>0</v>
      </c>
      <c r="GD47" t="b">
        <f t="shared" si="93"/>
        <v>0</v>
      </c>
      <c r="GE47" t="b">
        <f t="shared" si="93"/>
        <v>0</v>
      </c>
      <c r="GF47" t="b">
        <f t="shared" si="94"/>
        <v>0</v>
      </c>
      <c r="GG47" t="b">
        <f t="shared" si="94"/>
        <v>0</v>
      </c>
      <c r="GH47" t="b">
        <f t="shared" si="94"/>
        <v>0</v>
      </c>
      <c r="GI47" t="b">
        <f t="shared" si="94"/>
        <v>0</v>
      </c>
      <c r="GJ47" t="b">
        <f t="shared" si="94"/>
        <v>0</v>
      </c>
      <c r="GK47" t="b">
        <f t="shared" si="94"/>
        <v>0</v>
      </c>
      <c r="GL47" t="b">
        <f t="shared" si="94"/>
        <v>0</v>
      </c>
      <c r="GM47" t="b">
        <f t="shared" si="94"/>
        <v>0</v>
      </c>
      <c r="GN47" t="b">
        <f t="shared" si="94"/>
        <v>0</v>
      </c>
      <c r="GO47" t="b">
        <f t="shared" si="94"/>
        <v>0</v>
      </c>
      <c r="GP47" t="b">
        <f t="shared" si="95"/>
        <v>0</v>
      </c>
      <c r="GQ47" t="b">
        <f t="shared" si="95"/>
        <v>0</v>
      </c>
      <c r="GR47" t="b">
        <f t="shared" si="95"/>
        <v>0</v>
      </c>
      <c r="GS47" t="b">
        <f t="shared" si="95"/>
        <v>0</v>
      </c>
      <c r="GT47" t="b">
        <f t="shared" si="95"/>
        <v>0</v>
      </c>
      <c r="GU47" t="b">
        <f t="shared" si="95"/>
        <v>0</v>
      </c>
      <c r="GV47" t="b">
        <f t="shared" si="95"/>
        <v>0</v>
      </c>
      <c r="GW47" t="b">
        <f t="shared" si="95"/>
        <v>0</v>
      </c>
      <c r="GX47" t="b">
        <f t="shared" si="95"/>
        <v>0</v>
      </c>
      <c r="GY47" t="b">
        <f t="shared" si="95"/>
        <v>0</v>
      </c>
      <c r="GZ47" t="b">
        <f t="shared" si="95"/>
        <v>0</v>
      </c>
    </row>
    <row r="48" spans="1:208" hidden="1" x14ac:dyDescent="0.3">
      <c r="A48" t="s">
        <v>28</v>
      </c>
      <c r="B48" t="s">
        <v>37</v>
      </c>
      <c r="C48" t="s">
        <v>42</v>
      </c>
      <c r="D48" s="3">
        <v>4</v>
      </c>
      <c r="E48" s="3">
        <v>15</v>
      </c>
      <c r="F48" s="3">
        <v>47</v>
      </c>
      <c r="G48" s="3">
        <v>270</v>
      </c>
      <c r="H48" t="str">
        <f t="shared" si="19"/>
        <v>4-15</v>
      </c>
      <c r="I48" t="b">
        <v>1</v>
      </c>
      <c r="Q48" s="6">
        <v>48</v>
      </c>
      <c r="R48" t="b">
        <f t="shared" si="77"/>
        <v>0</v>
      </c>
      <c r="S48" t="b">
        <f t="shared" si="77"/>
        <v>0</v>
      </c>
      <c r="T48" t="b">
        <f t="shared" si="77"/>
        <v>0</v>
      </c>
      <c r="U48" t="b">
        <f t="shared" si="77"/>
        <v>0</v>
      </c>
      <c r="V48" t="b">
        <f t="shared" si="77"/>
        <v>0</v>
      </c>
      <c r="W48" t="b">
        <f t="shared" si="77"/>
        <v>0</v>
      </c>
      <c r="X48" t="b">
        <f t="shared" si="77"/>
        <v>0</v>
      </c>
      <c r="Y48" t="b">
        <f t="shared" si="77"/>
        <v>0</v>
      </c>
      <c r="Z48" t="b">
        <f t="shared" si="77"/>
        <v>0</v>
      </c>
      <c r="AA48" t="b">
        <f t="shared" si="77"/>
        <v>0</v>
      </c>
      <c r="AB48" t="b">
        <f t="shared" si="78"/>
        <v>0</v>
      </c>
      <c r="AC48" t="b">
        <f t="shared" si="78"/>
        <v>0</v>
      </c>
      <c r="AD48" t="b">
        <f t="shared" si="78"/>
        <v>0</v>
      </c>
      <c r="AE48" t="b">
        <f t="shared" si="78"/>
        <v>0</v>
      </c>
      <c r="AF48" t="b">
        <f t="shared" si="78"/>
        <v>0</v>
      </c>
      <c r="AG48" t="b">
        <f t="shared" si="78"/>
        <v>0</v>
      </c>
      <c r="AH48" t="b">
        <f t="shared" si="78"/>
        <v>0</v>
      </c>
      <c r="AI48" t="b">
        <f t="shared" si="78"/>
        <v>0</v>
      </c>
      <c r="AJ48" t="b">
        <f t="shared" si="78"/>
        <v>0</v>
      </c>
      <c r="AK48" t="b">
        <f t="shared" si="78"/>
        <v>0</v>
      </c>
      <c r="AL48" t="b">
        <f t="shared" si="79"/>
        <v>0</v>
      </c>
      <c r="AM48" t="b">
        <f t="shared" si="79"/>
        <v>0</v>
      </c>
      <c r="AN48" t="b">
        <f t="shared" si="79"/>
        <v>0</v>
      </c>
      <c r="AO48" t="b">
        <f t="shared" si="79"/>
        <v>0</v>
      </c>
      <c r="AP48" t="b">
        <f t="shared" si="79"/>
        <v>0</v>
      </c>
      <c r="AQ48" t="b">
        <f t="shared" si="79"/>
        <v>0</v>
      </c>
      <c r="AR48" t="b">
        <f t="shared" si="79"/>
        <v>0</v>
      </c>
      <c r="AS48" t="b">
        <f t="shared" si="79"/>
        <v>0</v>
      </c>
      <c r="AT48" t="b">
        <f t="shared" si="79"/>
        <v>0</v>
      </c>
      <c r="AU48" t="b">
        <f t="shared" si="79"/>
        <v>0</v>
      </c>
      <c r="AV48" t="b">
        <f t="shared" si="80"/>
        <v>0</v>
      </c>
      <c r="AW48" t="b">
        <f t="shared" si="80"/>
        <v>0</v>
      </c>
      <c r="AX48" t="b">
        <f t="shared" si="80"/>
        <v>0</v>
      </c>
      <c r="AY48" t="b">
        <f t="shared" si="80"/>
        <v>0</v>
      </c>
      <c r="AZ48" t="b">
        <f t="shared" si="80"/>
        <v>0</v>
      </c>
      <c r="BA48" t="b">
        <f t="shared" si="80"/>
        <v>0</v>
      </c>
      <c r="BB48" t="b">
        <f t="shared" si="80"/>
        <v>0</v>
      </c>
      <c r="BC48" t="b">
        <f t="shared" si="80"/>
        <v>0</v>
      </c>
      <c r="BD48" t="b">
        <f t="shared" si="80"/>
        <v>0</v>
      </c>
      <c r="BE48" t="b">
        <f t="shared" si="80"/>
        <v>0</v>
      </c>
      <c r="BF48" t="b">
        <f t="shared" si="81"/>
        <v>0</v>
      </c>
      <c r="BG48" t="b">
        <f t="shared" si="81"/>
        <v>0</v>
      </c>
      <c r="BH48" t="b">
        <f t="shared" si="81"/>
        <v>0</v>
      </c>
      <c r="BI48" t="b">
        <f t="shared" si="81"/>
        <v>0</v>
      </c>
      <c r="BJ48" t="b">
        <f t="shared" si="81"/>
        <v>0</v>
      </c>
      <c r="BK48" t="b">
        <f t="shared" si="81"/>
        <v>0</v>
      </c>
      <c r="BL48" t="b">
        <f t="shared" si="81"/>
        <v>0</v>
      </c>
      <c r="BM48" t="b">
        <f t="shared" si="81"/>
        <v>0</v>
      </c>
      <c r="BN48" t="b">
        <f t="shared" si="81"/>
        <v>0</v>
      </c>
      <c r="BO48" t="b">
        <f t="shared" si="81"/>
        <v>0</v>
      </c>
      <c r="BP48" t="b">
        <f t="shared" si="82"/>
        <v>0</v>
      </c>
      <c r="BQ48" t="b">
        <f t="shared" si="82"/>
        <v>0</v>
      </c>
      <c r="BR48" t="b">
        <f t="shared" si="82"/>
        <v>0</v>
      </c>
      <c r="BS48" t="b">
        <f t="shared" si="82"/>
        <v>0</v>
      </c>
      <c r="BT48" t="b">
        <f t="shared" si="82"/>
        <v>0</v>
      </c>
      <c r="BU48" t="b">
        <f t="shared" si="82"/>
        <v>0</v>
      </c>
      <c r="BV48" t="b">
        <f t="shared" si="82"/>
        <v>0</v>
      </c>
      <c r="BW48" t="b">
        <f t="shared" si="82"/>
        <v>0</v>
      </c>
      <c r="BX48" t="b">
        <f t="shared" si="82"/>
        <v>0</v>
      </c>
      <c r="BY48" t="b">
        <f t="shared" si="82"/>
        <v>0</v>
      </c>
      <c r="BZ48" t="b">
        <f t="shared" si="83"/>
        <v>0</v>
      </c>
      <c r="CA48" t="b">
        <f t="shared" si="83"/>
        <v>0</v>
      </c>
      <c r="CB48" t="b">
        <f t="shared" si="83"/>
        <v>0</v>
      </c>
      <c r="CC48" t="b">
        <f t="shared" si="83"/>
        <v>0</v>
      </c>
      <c r="CD48" t="b">
        <f t="shared" si="83"/>
        <v>0</v>
      </c>
      <c r="CE48" t="b">
        <f t="shared" si="83"/>
        <v>0</v>
      </c>
      <c r="CF48" t="b">
        <f t="shared" si="83"/>
        <v>0</v>
      </c>
      <c r="CG48" t="b">
        <f t="shared" si="83"/>
        <v>0</v>
      </c>
      <c r="CH48" t="b">
        <f t="shared" si="83"/>
        <v>0</v>
      </c>
      <c r="CI48" t="b">
        <f t="shared" si="83"/>
        <v>0</v>
      </c>
      <c r="CJ48" t="b">
        <f t="shared" si="84"/>
        <v>0</v>
      </c>
      <c r="CK48" t="b">
        <f t="shared" si="84"/>
        <v>0</v>
      </c>
      <c r="CL48" t="b">
        <f t="shared" si="84"/>
        <v>0</v>
      </c>
      <c r="CM48" t="b">
        <f t="shared" si="84"/>
        <v>0</v>
      </c>
      <c r="CN48" t="b">
        <f t="shared" si="84"/>
        <v>0</v>
      </c>
      <c r="CO48" t="b">
        <f t="shared" si="84"/>
        <v>0</v>
      </c>
      <c r="CP48" t="b">
        <f t="shared" si="84"/>
        <v>0</v>
      </c>
      <c r="CQ48" t="b">
        <f t="shared" si="84"/>
        <v>0</v>
      </c>
      <c r="CR48" t="b">
        <f t="shared" si="84"/>
        <v>0</v>
      </c>
      <c r="CS48" t="b">
        <f t="shared" si="84"/>
        <v>0</v>
      </c>
      <c r="CT48" t="b">
        <f t="shared" si="85"/>
        <v>0</v>
      </c>
      <c r="CU48" t="b">
        <f t="shared" si="85"/>
        <v>0</v>
      </c>
      <c r="CV48" t="b">
        <f t="shared" si="85"/>
        <v>0</v>
      </c>
      <c r="CW48" t="b">
        <f t="shared" si="85"/>
        <v>0</v>
      </c>
      <c r="CX48" t="b">
        <f t="shared" si="85"/>
        <v>0</v>
      </c>
      <c r="CY48" t="b">
        <f t="shared" si="85"/>
        <v>0</v>
      </c>
      <c r="CZ48" t="b">
        <f t="shared" si="85"/>
        <v>0</v>
      </c>
      <c r="DA48" t="b">
        <f t="shared" si="85"/>
        <v>0</v>
      </c>
      <c r="DB48" t="b">
        <f t="shared" si="85"/>
        <v>0</v>
      </c>
      <c r="DC48" t="b">
        <f t="shared" si="85"/>
        <v>0</v>
      </c>
      <c r="DD48" t="b">
        <f t="shared" si="86"/>
        <v>0</v>
      </c>
      <c r="DE48" t="b">
        <f t="shared" si="86"/>
        <v>0</v>
      </c>
      <c r="DF48" t="b">
        <f t="shared" si="86"/>
        <v>0</v>
      </c>
      <c r="DG48" t="b">
        <f t="shared" si="86"/>
        <v>0</v>
      </c>
      <c r="DH48" t="b">
        <f t="shared" si="86"/>
        <v>0</v>
      </c>
      <c r="DI48" t="b">
        <f t="shared" si="86"/>
        <v>0</v>
      </c>
      <c r="DJ48" t="b">
        <f t="shared" si="86"/>
        <v>0</v>
      </c>
      <c r="DK48" t="b">
        <f t="shared" si="86"/>
        <v>0</v>
      </c>
      <c r="DL48" t="b">
        <f t="shared" si="86"/>
        <v>0</v>
      </c>
      <c r="DM48" t="b">
        <f t="shared" si="86"/>
        <v>0</v>
      </c>
      <c r="DN48" t="b">
        <f t="shared" si="87"/>
        <v>0</v>
      </c>
      <c r="DO48" t="b">
        <f t="shared" si="87"/>
        <v>0</v>
      </c>
      <c r="DP48" t="b">
        <f t="shared" si="87"/>
        <v>0</v>
      </c>
      <c r="DQ48" t="b">
        <f t="shared" si="87"/>
        <v>0</v>
      </c>
      <c r="DR48" t="b">
        <f t="shared" si="87"/>
        <v>0</v>
      </c>
      <c r="DS48" t="b">
        <f t="shared" si="87"/>
        <v>0</v>
      </c>
      <c r="DT48" t="b">
        <f t="shared" si="87"/>
        <v>0</v>
      </c>
      <c r="DU48" t="b">
        <f t="shared" si="87"/>
        <v>0</v>
      </c>
      <c r="DV48" t="b">
        <f t="shared" si="87"/>
        <v>0</v>
      </c>
      <c r="DW48" t="b">
        <f t="shared" si="87"/>
        <v>0</v>
      </c>
      <c r="DX48" t="b">
        <f t="shared" si="88"/>
        <v>0</v>
      </c>
      <c r="DY48" t="b">
        <f t="shared" si="88"/>
        <v>0</v>
      </c>
      <c r="DZ48" t="b">
        <f t="shared" si="88"/>
        <v>0</v>
      </c>
      <c r="EA48" t="b">
        <f t="shared" si="88"/>
        <v>0</v>
      </c>
      <c r="EB48" t="b">
        <f t="shared" si="88"/>
        <v>0</v>
      </c>
      <c r="EC48" t="b">
        <f t="shared" si="88"/>
        <v>0</v>
      </c>
      <c r="ED48" t="b">
        <f t="shared" si="88"/>
        <v>0</v>
      </c>
      <c r="EE48" t="b">
        <f t="shared" si="88"/>
        <v>0</v>
      </c>
      <c r="EF48" t="b">
        <f t="shared" si="88"/>
        <v>0</v>
      </c>
      <c r="EG48" t="b">
        <f t="shared" si="88"/>
        <v>0</v>
      </c>
      <c r="EH48" t="b">
        <f t="shared" si="89"/>
        <v>0</v>
      </c>
      <c r="EI48" t="b">
        <f t="shared" si="89"/>
        <v>0</v>
      </c>
      <c r="EJ48" t="b">
        <f t="shared" si="89"/>
        <v>0</v>
      </c>
      <c r="EK48" t="b">
        <f t="shared" si="89"/>
        <v>0</v>
      </c>
      <c r="EL48" t="b">
        <f t="shared" si="89"/>
        <v>1</v>
      </c>
      <c r="EM48" t="b">
        <f t="shared" si="89"/>
        <v>0</v>
      </c>
      <c r="EN48" t="b">
        <f t="shared" si="89"/>
        <v>0</v>
      </c>
      <c r="EO48" t="b">
        <f t="shared" si="89"/>
        <v>0</v>
      </c>
      <c r="EP48" t="b">
        <f t="shared" si="89"/>
        <v>0</v>
      </c>
      <c r="EQ48" t="b">
        <f t="shared" si="89"/>
        <v>0</v>
      </c>
      <c r="ER48" t="b">
        <f t="shared" si="90"/>
        <v>0</v>
      </c>
      <c r="ES48" t="b">
        <f t="shared" si="90"/>
        <v>0</v>
      </c>
      <c r="ET48" t="b">
        <f t="shared" si="90"/>
        <v>0</v>
      </c>
      <c r="EU48" t="b">
        <f t="shared" si="90"/>
        <v>0</v>
      </c>
      <c r="EV48" t="b">
        <f t="shared" si="90"/>
        <v>0</v>
      </c>
      <c r="EW48" t="b">
        <f t="shared" si="90"/>
        <v>0</v>
      </c>
      <c r="EX48" t="b">
        <f t="shared" si="90"/>
        <v>0</v>
      </c>
      <c r="EY48" t="b">
        <f t="shared" si="90"/>
        <v>0</v>
      </c>
      <c r="EZ48" t="b">
        <f t="shared" si="90"/>
        <v>0</v>
      </c>
      <c r="FA48" t="b">
        <f t="shared" si="90"/>
        <v>0</v>
      </c>
      <c r="FB48" t="b">
        <f t="shared" si="91"/>
        <v>0</v>
      </c>
      <c r="FC48" t="b">
        <f t="shared" si="91"/>
        <v>0</v>
      </c>
      <c r="FD48" t="b">
        <f t="shared" si="91"/>
        <v>0</v>
      </c>
      <c r="FE48" t="b">
        <f t="shared" si="91"/>
        <v>0</v>
      </c>
      <c r="FF48" t="b">
        <f t="shared" si="91"/>
        <v>0</v>
      </c>
      <c r="FG48" t="b">
        <f t="shared" si="91"/>
        <v>0</v>
      </c>
      <c r="FH48" t="b">
        <f t="shared" si="91"/>
        <v>0</v>
      </c>
      <c r="FI48" t="b">
        <f t="shared" si="91"/>
        <v>0</v>
      </c>
      <c r="FJ48" t="b">
        <f t="shared" si="91"/>
        <v>0</v>
      </c>
      <c r="FK48" t="b">
        <f t="shared" si="91"/>
        <v>0</v>
      </c>
      <c r="FL48" t="b">
        <f t="shared" si="92"/>
        <v>0</v>
      </c>
      <c r="FM48" t="b">
        <f t="shared" si="92"/>
        <v>0</v>
      </c>
      <c r="FN48" t="b">
        <f t="shared" si="92"/>
        <v>0</v>
      </c>
      <c r="FO48" t="b">
        <f t="shared" si="92"/>
        <v>0</v>
      </c>
      <c r="FP48" t="b">
        <f t="shared" si="92"/>
        <v>0</v>
      </c>
      <c r="FQ48" t="b">
        <f t="shared" si="92"/>
        <v>0</v>
      </c>
      <c r="FR48" t="b">
        <f t="shared" si="92"/>
        <v>0</v>
      </c>
      <c r="FS48" t="b">
        <f t="shared" si="92"/>
        <v>0</v>
      </c>
      <c r="FT48" t="b">
        <f t="shared" si="92"/>
        <v>0</v>
      </c>
      <c r="FU48" t="b">
        <f t="shared" si="92"/>
        <v>0</v>
      </c>
      <c r="FV48" t="b">
        <f t="shared" si="93"/>
        <v>0</v>
      </c>
      <c r="FW48" t="b">
        <f t="shared" si="93"/>
        <v>0</v>
      </c>
      <c r="FX48" t="b">
        <f t="shared" si="93"/>
        <v>0</v>
      </c>
      <c r="FY48" t="b">
        <f t="shared" si="93"/>
        <v>0</v>
      </c>
      <c r="FZ48" t="b">
        <f t="shared" si="93"/>
        <v>0</v>
      </c>
      <c r="GA48" t="b">
        <f t="shared" si="93"/>
        <v>0</v>
      </c>
      <c r="GB48" t="b">
        <f t="shared" si="93"/>
        <v>0</v>
      </c>
      <c r="GC48" t="b">
        <f t="shared" si="93"/>
        <v>0</v>
      </c>
      <c r="GD48" t="b">
        <f t="shared" si="93"/>
        <v>0</v>
      </c>
      <c r="GE48" t="b">
        <f t="shared" si="93"/>
        <v>0</v>
      </c>
      <c r="GF48" t="b">
        <f t="shared" si="94"/>
        <v>0</v>
      </c>
      <c r="GG48" t="b">
        <f t="shared" si="94"/>
        <v>0</v>
      </c>
      <c r="GH48" t="b">
        <f t="shared" si="94"/>
        <v>0</v>
      </c>
      <c r="GI48" t="b">
        <f t="shared" si="94"/>
        <v>0</v>
      </c>
      <c r="GJ48" t="b">
        <f t="shared" si="94"/>
        <v>0</v>
      </c>
      <c r="GK48" t="b">
        <f t="shared" si="94"/>
        <v>0</v>
      </c>
      <c r="GL48" t="b">
        <f t="shared" si="94"/>
        <v>0</v>
      </c>
      <c r="GM48" t="b">
        <f t="shared" si="94"/>
        <v>0</v>
      </c>
      <c r="GN48" t="b">
        <f t="shared" si="94"/>
        <v>0</v>
      </c>
      <c r="GO48" t="b">
        <f t="shared" si="94"/>
        <v>0</v>
      </c>
      <c r="GP48" t="b">
        <f t="shared" si="95"/>
        <v>0</v>
      </c>
      <c r="GQ48" t="b">
        <f t="shared" si="95"/>
        <v>0</v>
      </c>
      <c r="GR48" t="b">
        <f t="shared" si="95"/>
        <v>0</v>
      </c>
      <c r="GS48" t="b">
        <f t="shared" si="95"/>
        <v>0</v>
      </c>
      <c r="GT48" t="b">
        <f t="shared" si="95"/>
        <v>0</v>
      </c>
      <c r="GU48" t="b">
        <f t="shared" si="95"/>
        <v>0</v>
      </c>
      <c r="GV48" t="b">
        <f t="shared" si="95"/>
        <v>0</v>
      </c>
      <c r="GW48" t="b">
        <f t="shared" si="95"/>
        <v>0</v>
      </c>
      <c r="GX48" t="b">
        <f t="shared" si="95"/>
        <v>0</v>
      </c>
      <c r="GY48" t="b">
        <f t="shared" si="95"/>
        <v>0</v>
      </c>
      <c r="GZ48" t="b">
        <f t="shared" si="95"/>
        <v>0</v>
      </c>
    </row>
    <row r="49" spans="1:208" hidden="1" x14ac:dyDescent="0.3">
      <c r="A49" t="s">
        <v>28</v>
      </c>
      <c r="B49" t="s">
        <v>37</v>
      </c>
      <c r="C49" t="s">
        <v>43</v>
      </c>
      <c r="D49" s="3">
        <v>4</v>
      </c>
      <c r="E49" s="3">
        <v>15</v>
      </c>
      <c r="F49" s="3">
        <v>48</v>
      </c>
      <c r="G49" s="3">
        <v>30</v>
      </c>
      <c r="H49" t="str">
        <f t="shared" si="19"/>
        <v>4-15</v>
      </c>
      <c r="I49" t="b">
        <v>1</v>
      </c>
      <c r="Q49" s="6">
        <v>49</v>
      </c>
      <c r="R49" t="b">
        <f t="shared" si="77"/>
        <v>0</v>
      </c>
      <c r="S49" t="b">
        <f t="shared" si="77"/>
        <v>0</v>
      </c>
      <c r="T49" t="b">
        <f t="shared" si="77"/>
        <v>0</v>
      </c>
      <c r="U49" t="b">
        <f t="shared" si="77"/>
        <v>0</v>
      </c>
      <c r="V49" t="b">
        <f t="shared" si="77"/>
        <v>0</v>
      </c>
      <c r="W49" t="b">
        <f t="shared" si="77"/>
        <v>0</v>
      </c>
      <c r="X49" t="b">
        <f t="shared" si="77"/>
        <v>0</v>
      </c>
      <c r="Y49" t="b">
        <f t="shared" si="77"/>
        <v>0</v>
      </c>
      <c r="Z49" t="b">
        <f t="shared" si="77"/>
        <v>0</v>
      </c>
      <c r="AA49" t="b">
        <f t="shared" si="77"/>
        <v>0</v>
      </c>
      <c r="AB49" t="b">
        <f t="shared" si="78"/>
        <v>0</v>
      </c>
      <c r="AC49" t="b">
        <f t="shared" si="78"/>
        <v>0</v>
      </c>
      <c r="AD49" t="b">
        <f t="shared" si="78"/>
        <v>0</v>
      </c>
      <c r="AE49" t="b">
        <f t="shared" si="78"/>
        <v>0</v>
      </c>
      <c r="AF49" t="b">
        <f t="shared" si="78"/>
        <v>0</v>
      </c>
      <c r="AG49" t="b">
        <f t="shared" si="78"/>
        <v>0</v>
      </c>
      <c r="AH49" t="b">
        <f t="shared" si="78"/>
        <v>0</v>
      </c>
      <c r="AI49" t="b">
        <f t="shared" si="78"/>
        <v>0</v>
      </c>
      <c r="AJ49" t="b">
        <f t="shared" si="78"/>
        <v>0</v>
      </c>
      <c r="AK49" t="b">
        <f t="shared" si="78"/>
        <v>0</v>
      </c>
      <c r="AL49" t="b">
        <f t="shared" si="79"/>
        <v>0</v>
      </c>
      <c r="AM49" t="b">
        <f t="shared" si="79"/>
        <v>0</v>
      </c>
      <c r="AN49" t="b">
        <f t="shared" si="79"/>
        <v>0</v>
      </c>
      <c r="AO49" t="b">
        <f t="shared" si="79"/>
        <v>0</v>
      </c>
      <c r="AP49" t="b">
        <f t="shared" si="79"/>
        <v>0</v>
      </c>
      <c r="AQ49" t="b">
        <f t="shared" si="79"/>
        <v>0</v>
      </c>
      <c r="AR49" t="b">
        <f t="shared" si="79"/>
        <v>0</v>
      </c>
      <c r="AS49" t="b">
        <f t="shared" si="79"/>
        <v>0</v>
      </c>
      <c r="AT49" t="b">
        <f t="shared" si="79"/>
        <v>0</v>
      </c>
      <c r="AU49" t="b">
        <f t="shared" si="79"/>
        <v>0</v>
      </c>
      <c r="AV49" t="b">
        <f t="shared" si="80"/>
        <v>0</v>
      </c>
      <c r="AW49" t="b">
        <f t="shared" si="80"/>
        <v>0</v>
      </c>
      <c r="AX49" t="b">
        <f t="shared" si="80"/>
        <v>0</v>
      </c>
      <c r="AY49" t="b">
        <f t="shared" si="80"/>
        <v>0</v>
      </c>
      <c r="AZ49" t="b">
        <f t="shared" si="80"/>
        <v>0</v>
      </c>
      <c r="BA49" t="b">
        <f t="shared" si="80"/>
        <v>0</v>
      </c>
      <c r="BB49" t="b">
        <f t="shared" si="80"/>
        <v>0</v>
      </c>
      <c r="BC49" t="b">
        <f t="shared" si="80"/>
        <v>0</v>
      </c>
      <c r="BD49" t="b">
        <f t="shared" si="80"/>
        <v>0</v>
      </c>
      <c r="BE49" t="b">
        <f t="shared" si="80"/>
        <v>0</v>
      </c>
      <c r="BF49" t="b">
        <f t="shared" si="81"/>
        <v>0</v>
      </c>
      <c r="BG49" t="b">
        <f t="shared" si="81"/>
        <v>0</v>
      </c>
      <c r="BH49" t="b">
        <f t="shared" si="81"/>
        <v>0</v>
      </c>
      <c r="BI49" t="b">
        <f t="shared" si="81"/>
        <v>0</v>
      </c>
      <c r="BJ49" t="b">
        <f t="shared" si="81"/>
        <v>0</v>
      </c>
      <c r="BK49" t="b">
        <f t="shared" si="81"/>
        <v>0</v>
      </c>
      <c r="BL49" t="b">
        <f t="shared" si="81"/>
        <v>0</v>
      </c>
      <c r="BM49" t="b">
        <f t="shared" si="81"/>
        <v>0</v>
      </c>
      <c r="BN49" t="b">
        <f t="shared" si="81"/>
        <v>0</v>
      </c>
      <c r="BO49" t="b">
        <f t="shared" si="81"/>
        <v>0</v>
      </c>
      <c r="BP49" t="b">
        <f t="shared" si="82"/>
        <v>0</v>
      </c>
      <c r="BQ49" t="b">
        <f t="shared" si="82"/>
        <v>0</v>
      </c>
      <c r="BR49" t="b">
        <f t="shared" si="82"/>
        <v>0</v>
      </c>
      <c r="BS49" t="b">
        <f t="shared" si="82"/>
        <v>0</v>
      </c>
      <c r="BT49" t="b">
        <f t="shared" si="82"/>
        <v>0</v>
      </c>
      <c r="BU49" t="b">
        <f t="shared" si="82"/>
        <v>0</v>
      </c>
      <c r="BV49" t="b">
        <f t="shared" si="82"/>
        <v>0</v>
      </c>
      <c r="BW49" t="b">
        <f t="shared" si="82"/>
        <v>0</v>
      </c>
      <c r="BX49" t="b">
        <f t="shared" si="82"/>
        <v>0</v>
      </c>
      <c r="BY49" t="b">
        <f t="shared" si="82"/>
        <v>0</v>
      </c>
      <c r="BZ49" t="b">
        <f t="shared" si="83"/>
        <v>0</v>
      </c>
      <c r="CA49" t="b">
        <f t="shared" si="83"/>
        <v>0</v>
      </c>
      <c r="CB49" t="b">
        <f t="shared" si="83"/>
        <v>0</v>
      </c>
      <c r="CC49" t="b">
        <f t="shared" si="83"/>
        <v>0</v>
      </c>
      <c r="CD49" t="b">
        <f t="shared" si="83"/>
        <v>0</v>
      </c>
      <c r="CE49" t="b">
        <f t="shared" si="83"/>
        <v>0</v>
      </c>
      <c r="CF49" t="b">
        <f t="shared" si="83"/>
        <v>0</v>
      </c>
      <c r="CG49" t="b">
        <f t="shared" si="83"/>
        <v>0</v>
      </c>
      <c r="CH49" t="b">
        <f t="shared" si="83"/>
        <v>0</v>
      </c>
      <c r="CI49" t="b">
        <f t="shared" si="83"/>
        <v>0</v>
      </c>
      <c r="CJ49" t="b">
        <f t="shared" si="84"/>
        <v>0</v>
      </c>
      <c r="CK49" t="b">
        <f t="shared" si="84"/>
        <v>0</v>
      </c>
      <c r="CL49" t="b">
        <f t="shared" si="84"/>
        <v>0</v>
      </c>
      <c r="CM49" t="b">
        <f t="shared" si="84"/>
        <v>0</v>
      </c>
      <c r="CN49" t="b">
        <f t="shared" si="84"/>
        <v>0</v>
      </c>
      <c r="CO49" t="b">
        <f t="shared" si="84"/>
        <v>0</v>
      </c>
      <c r="CP49" t="b">
        <f t="shared" si="84"/>
        <v>0</v>
      </c>
      <c r="CQ49" t="b">
        <f t="shared" si="84"/>
        <v>0</v>
      </c>
      <c r="CR49" t="b">
        <f t="shared" si="84"/>
        <v>0</v>
      </c>
      <c r="CS49" t="b">
        <f t="shared" si="84"/>
        <v>0</v>
      </c>
      <c r="CT49" t="b">
        <f t="shared" si="85"/>
        <v>0</v>
      </c>
      <c r="CU49" t="b">
        <f t="shared" si="85"/>
        <v>0</v>
      </c>
      <c r="CV49" t="b">
        <f t="shared" si="85"/>
        <v>0</v>
      </c>
      <c r="CW49" t="b">
        <f t="shared" si="85"/>
        <v>0</v>
      </c>
      <c r="CX49" t="b">
        <f t="shared" si="85"/>
        <v>0</v>
      </c>
      <c r="CY49" t="b">
        <f t="shared" si="85"/>
        <v>0</v>
      </c>
      <c r="CZ49" t="b">
        <f t="shared" si="85"/>
        <v>0</v>
      </c>
      <c r="DA49" t="b">
        <f t="shared" si="85"/>
        <v>0</v>
      </c>
      <c r="DB49" t="b">
        <f t="shared" si="85"/>
        <v>0</v>
      </c>
      <c r="DC49" t="b">
        <f t="shared" si="85"/>
        <v>0</v>
      </c>
      <c r="DD49" t="b">
        <f t="shared" si="86"/>
        <v>0</v>
      </c>
      <c r="DE49" t="b">
        <f t="shared" si="86"/>
        <v>0</v>
      </c>
      <c r="DF49" t="b">
        <f t="shared" si="86"/>
        <v>0</v>
      </c>
      <c r="DG49" t="b">
        <f t="shared" si="86"/>
        <v>0</v>
      </c>
      <c r="DH49" t="b">
        <f t="shared" si="86"/>
        <v>0</v>
      </c>
      <c r="DI49" t="b">
        <f t="shared" si="86"/>
        <v>0</v>
      </c>
      <c r="DJ49" t="b">
        <f t="shared" si="86"/>
        <v>0</v>
      </c>
      <c r="DK49" t="b">
        <f t="shared" si="86"/>
        <v>0</v>
      </c>
      <c r="DL49" t="b">
        <f t="shared" si="86"/>
        <v>0</v>
      </c>
      <c r="DM49" t="b">
        <f t="shared" si="86"/>
        <v>0</v>
      </c>
      <c r="DN49" t="b">
        <f t="shared" si="87"/>
        <v>0</v>
      </c>
      <c r="DO49" t="b">
        <f t="shared" si="87"/>
        <v>0</v>
      </c>
      <c r="DP49" t="b">
        <f t="shared" si="87"/>
        <v>0</v>
      </c>
      <c r="DQ49" t="b">
        <f t="shared" si="87"/>
        <v>0</v>
      </c>
      <c r="DR49" t="b">
        <f t="shared" si="87"/>
        <v>0</v>
      </c>
      <c r="DS49" t="b">
        <f t="shared" si="87"/>
        <v>0</v>
      </c>
      <c r="DT49" t="b">
        <f t="shared" si="87"/>
        <v>0</v>
      </c>
      <c r="DU49" t="b">
        <f t="shared" si="87"/>
        <v>0</v>
      </c>
      <c r="DV49" t="b">
        <f t="shared" si="87"/>
        <v>0</v>
      </c>
      <c r="DW49" t="b">
        <f t="shared" si="87"/>
        <v>0</v>
      </c>
      <c r="DX49" t="b">
        <f t="shared" si="88"/>
        <v>0</v>
      </c>
      <c r="DY49" t="b">
        <f t="shared" si="88"/>
        <v>0</v>
      </c>
      <c r="DZ49" t="b">
        <f t="shared" si="88"/>
        <v>0</v>
      </c>
      <c r="EA49" t="b">
        <f t="shared" si="88"/>
        <v>0</v>
      </c>
      <c r="EB49" t="b">
        <f t="shared" si="88"/>
        <v>0</v>
      </c>
      <c r="EC49" t="b">
        <f t="shared" si="88"/>
        <v>0</v>
      </c>
      <c r="ED49" t="b">
        <f t="shared" si="88"/>
        <v>0</v>
      </c>
      <c r="EE49" t="b">
        <f t="shared" si="88"/>
        <v>0</v>
      </c>
      <c r="EF49" t="b">
        <f t="shared" si="88"/>
        <v>0</v>
      </c>
      <c r="EG49" t="b">
        <f t="shared" si="88"/>
        <v>0</v>
      </c>
      <c r="EH49" t="b">
        <f t="shared" si="89"/>
        <v>0</v>
      </c>
      <c r="EI49" t="b">
        <f t="shared" si="89"/>
        <v>0</v>
      </c>
      <c r="EJ49" t="b">
        <f t="shared" si="89"/>
        <v>0</v>
      </c>
      <c r="EK49" t="b">
        <f t="shared" si="89"/>
        <v>0</v>
      </c>
      <c r="EL49" t="b">
        <f t="shared" si="89"/>
        <v>0</v>
      </c>
      <c r="EM49" t="b">
        <f t="shared" si="89"/>
        <v>0</v>
      </c>
      <c r="EN49" t="b">
        <f t="shared" si="89"/>
        <v>0</v>
      </c>
      <c r="EO49" t="b">
        <f t="shared" si="89"/>
        <v>0</v>
      </c>
      <c r="EP49" t="b">
        <f t="shared" si="89"/>
        <v>0</v>
      </c>
      <c r="EQ49" t="b">
        <f t="shared" si="89"/>
        <v>0</v>
      </c>
      <c r="ER49" t="b">
        <f t="shared" si="90"/>
        <v>0</v>
      </c>
      <c r="ES49" t="b">
        <f t="shared" si="90"/>
        <v>0</v>
      </c>
      <c r="ET49" t="b">
        <f t="shared" si="90"/>
        <v>0</v>
      </c>
      <c r="EU49" t="b">
        <f t="shared" si="90"/>
        <v>0</v>
      </c>
      <c r="EV49" t="b">
        <f t="shared" si="90"/>
        <v>0</v>
      </c>
      <c r="EW49" t="b">
        <f t="shared" si="90"/>
        <v>0</v>
      </c>
      <c r="EX49" t="b">
        <f t="shared" si="90"/>
        <v>0</v>
      </c>
      <c r="EY49" t="b">
        <f t="shared" si="90"/>
        <v>0</v>
      </c>
      <c r="EZ49" t="b">
        <f t="shared" si="90"/>
        <v>0</v>
      </c>
      <c r="FA49" t="b">
        <f t="shared" si="90"/>
        <v>0</v>
      </c>
      <c r="FB49" t="b">
        <f t="shared" si="91"/>
        <v>0</v>
      </c>
      <c r="FC49" t="b">
        <f t="shared" si="91"/>
        <v>0</v>
      </c>
      <c r="FD49" t="b">
        <f t="shared" si="91"/>
        <v>0</v>
      </c>
      <c r="FE49" t="b">
        <f t="shared" si="91"/>
        <v>0</v>
      </c>
      <c r="FF49" t="b">
        <f t="shared" si="91"/>
        <v>0</v>
      </c>
      <c r="FG49" t="b">
        <f t="shared" si="91"/>
        <v>0</v>
      </c>
      <c r="FH49" t="b">
        <f t="shared" si="91"/>
        <v>0</v>
      </c>
      <c r="FI49" t="b">
        <f t="shared" si="91"/>
        <v>0</v>
      </c>
      <c r="FJ49" t="b">
        <f t="shared" si="91"/>
        <v>0</v>
      </c>
      <c r="FK49" t="b">
        <f t="shared" si="91"/>
        <v>0</v>
      </c>
      <c r="FL49" t="b">
        <f t="shared" si="92"/>
        <v>0</v>
      </c>
      <c r="FM49" t="b">
        <f t="shared" si="92"/>
        <v>0</v>
      </c>
      <c r="FN49" t="b">
        <f t="shared" si="92"/>
        <v>0</v>
      </c>
      <c r="FO49" t="b">
        <f t="shared" si="92"/>
        <v>0</v>
      </c>
      <c r="FP49" t="b">
        <f t="shared" si="92"/>
        <v>0</v>
      </c>
      <c r="FQ49" t="b">
        <f t="shared" si="92"/>
        <v>0</v>
      </c>
      <c r="FR49" t="b">
        <f t="shared" si="92"/>
        <v>0</v>
      </c>
      <c r="FS49" t="b">
        <f t="shared" si="92"/>
        <v>0</v>
      </c>
      <c r="FT49" t="b">
        <f t="shared" si="92"/>
        <v>0</v>
      </c>
      <c r="FU49" t="b">
        <f t="shared" si="92"/>
        <v>0</v>
      </c>
      <c r="FV49" t="b">
        <f t="shared" si="93"/>
        <v>0</v>
      </c>
      <c r="FW49" t="b">
        <f t="shared" si="93"/>
        <v>0</v>
      </c>
      <c r="FX49" t="b">
        <f t="shared" si="93"/>
        <v>0</v>
      </c>
      <c r="FY49" t="b">
        <f t="shared" si="93"/>
        <v>0</v>
      </c>
      <c r="FZ49" t="b">
        <f t="shared" si="93"/>
        <v>0</v>
      </c>
      <c r="GA49" t="b">
        <f t="shared" si="93"/>
        <v>0</v>
      </c>
      <c r="GB49" t="b">
        <f t="shared" si="93"/>
        <v>0</v>
      </c>
      <c r="GC49" t="b">
        <f t="shared" si="93"/>
        <v>0</v>
      </c>
      <c r="GD49" t="b">
        <f t="shared" si="93"/>
        <v>0</v>
      </c>
      <c r="GE49" t="b">
        <f t="shared" si="93"/>
        <v>0</v>
      </c>
      <c r="GF49" t="b">
        <f t="shared" si="94"/>
        <v>0</v>
      </c>
      <c r="GG49" t="b">
        <f t="shared" si="94"/>
        <v>0</v>
      </c>
      <c r="GH49" t="b">
        <f t="shared" si="94"/>
        <v>0</v>
      </c>
      <c r="GI49" t="b">
        <f t="shared" si="94"/>
        <v>0</v>
      </c>
      <c r="GJ49" t="b">
        <f t="shared" si="94"/>
        <v>0</v>
      </c>
      <c r="GK49" t="b">
        <f t="shared" si="94"/>
        <v>1</v>
      </c>
      <c r="GL49" t="b">
        <f t="shared" si="94"/>
        <v>0</v>
      </c>
      <c r="GM49" t="b">
        <f t="shared" si="94"/>
        <v>0</v>
      </c>
      <c r="GN49" t="b">
        <f t="shared" si="94"/>
        <v>0</v>
      </c>
      <c r="GO49" t="b">
        <f t="shared" si="94"/>
        <v>0</v>
      </c>
      <c r="GP49" t="b">
        <f t="shared" si="95"/>
        <v>0</v>
      </c>
      <c r="GQ49" t="b">
        <f t="shared" si="95"/>
        <v>0</v>
      </c>
      <c r="GR49" t="b">
        <f t="shared" si="95"/>
        <v>0</v>
      </c>
      <c r="GS49" t="b">
        <f t="shared" si="95"/>
        <v>0</v>
      </c>
      <c r="GT49" t="b">
        <f t="shared" si="95"/>
        <v>0</v>
      </c>
      <c r="GU49" t="b">
        <f t="shared" si="95"/>
        <v>0</v>
      </c>
      <c r="GV49" t="b">
        <f t="shared" si="95"/>
        <v>0</v>
      </c>
      <c r="GW49" t="b">
        <f t="shared" si="95"/>
        <v>0</v>
      </c>
      <c r="GX49" t="b">
        <f t="shared" si="95"/>
        <v>0</v>
      </c>
      <c r="GY49" t="b">
        <f t="shared" si="95"/>
        <v>0</v>
      </c>
      <c r="GZ49" t="b">
        <f t="shared" si="95"/>
        <v>0</v>
      </c>
    </row>
    <row r="50" spans="1:208" hidden="1" x14ac:dyDescent="0.3">
      <c r="A50" t="s">
        <v>28</v>
      </c>
      <c r="B50" t="s">
        <v>37</v>
      </c>
      <c r="C50" t="s">
        <v>44</v>
      </c>
      <c r="D50" s="3">
        <v>4</v>
      </c>
      <c r="E50" s="3">
        <v>15</v>
      </c>
      <c r="F50" s="3">
        <v>49</v>
      </c>
      <c r="G50" s="3">
        <v>820</v>
      </c>
      <c r="H50" t="str">
        <f t="shared" si="19"/>
        <v>4-15</v>
      </c>
      <c r="I50" t="b">
        <v>1</v>
      </c>
      <c r="Q50" s="6">
        <v>50</v>
      </c>
      <c r="R50" t="b">
        <f t="shared" si="77"/>
        <v>0</v>
      </c>
      <c r="S50" t="b">
        <f t="shared" si="77"/>
        <v>0</v>
      </c>
      <c r="T50" t="b">
        <f t="shared" si="77"/>
        <v>0</v>
      </c>
      <c r="U50" t="b">
        <f t="shared" si="77"/>
        <v>0</v>
      </c>
      <c r="V50" t="b">
        <f t="shared" si="77"/>
        <v>0</v>
      </c>
      <c r="W50" t="b">
        <f t="shared" si="77"/>
        <v>0</v>
      </c>
      <c r="X50" t="b">
        <f t="shared" si="77"/>
        <v>0</v>
      </c>
      <c r="Y50" t="b">
        <f t="shared" si="77"/>
        <v>0</v>
      </c>
      <c r="Z50" t="b">
        <f t="shared" si="77"/>
        <v>0</v>
      </c>
      <c r="AA50" t="b">
        <f t="shared" si="77"/>
        <v>0</v>
      </c>
      <c r="AB50" t="b">
        <f t="shared" si="78"/>
        <v>0</v>
      </c>
      <c r="AC50" t="b">
        <f t="shared" si="78"/>
        <v>0</v>
      </c>
      <c r="AD50" t="b">
        <f t="shared" si="78"/>
        <v>0</v>
      </c>
      <c r="AE50" t="b">
        <f t="shared" si="78"/>
        <v>0</v>
      </c>
      <c r="AF50" t="b">
        <f t="shared" si="78"/>
        <v>0</v>
      </c>
      <c r="AG50" t="b">
        <f t="shared" si="78"/>
        <v>0</v>
      </c>
      <c r="AH50" t="b">
        <f t="shared" si="78"/>
        <v>0</v>
      </c>
      <c r="AI50" t="b">
        <f t="shared" si="78"/>
        <v>0</v>
      </c>
      <c r="AJ50" t="b">
        <f t="shared" si="78"/>
        <v>0</v>
      </c>
      <c r="AK50" t="b">
        <f t="shared" si="78"/>
        <v>0</v>
      </c>
      <c r="AL50" t="b">
        <f t="shared" si="79"/>
        <v>0</v>
      </c>
      <c r="AM50" t="b">
        <f t="shared" si="79"/>
        <v>0</v>
      </c>
      <c r="AN50" t="b">
        <f t="shared" si="79"/>
        <v>0</v>
      </c>
      <c r="AO50" t="b">
        <f t="shared" si="79"/>
        <v>0</v>
      </c>
      <c r="AP50" t="b">
        <f t="shared" si="79"/>
        <v>0</v>
      </c>
      <c r="AQ50" t="b">
        <f t="shared" si="79"/>
        <v>1</v>
      </c>
      <c r="AR50" t="b">
        <f t="shared" si="79"/>
        <v>0</v>
      </c>
      <c r="AS50" t="b">
        <f t="shared" si="79"/>
        <v>0</v>
      </c>
      <c r="AT50" t="b">
        <f t="shared" si="79"/>
        <v>0</v>
      </c>
      <c r="AU50" t="b">
        <f t="shared" si="79"/>
        <v>0</v>
      </c>
      <c r="AV50" t="b">
        <f t="shared" si="80"/>
        <v>0</v>
      </c>
      <c r="AW50" t="b">
        <f t="shared" si="80"/>
        <v>0</v>
      </c>
      <c r="AX50" t="b">
        <f t="shared" si="80"/>
        <v>0</v>
      </c>
      <c r="AY50" t="b">
        <f t="shared" si="80"/>
        <v>0</v>
      </c>
      <c r="AZ50" t="b">
        <f t="shared" si="80"/>
        <v>0</v>
      </c>
      <c r="BA50" t="b">
        <f t="shared" si="80"/>
        <v>0</v>
      </c>
      <c r="BB50" t="b">
        <f t="shared" si="80"/>
        <v>0</v>
      </c>
      <c r="BC50" t="b">
        <f t="shared" si="80"/>
        <v>0</v>
      </c>
      <c r="BD50" t="b">
        <f t="shared" si="80"/>
        <v>0</v>
      </c>
      <c r="BE50" t="b">
        <f t="shared" si="80"/>
        <v>0</v>
      </c>
      <c r="BF50" t="b">
        <f t="shared" si="81"/>
        <v>0</v>
      </c>
      <c r="BG50" t="b">
        <f t="shared" si="81"/>
        <v>0</v>
      </c>
      <c r="BH50" t="b">
        <f t="shared" si="81"/>
        <v>0</v>
      </c>
      <c r="BI50" t="b">
        <f t="shared" si="81"/>
        <v>0</v>
      </c>
      <c r="BJ50" t="b">
        <f t="shared" si="81"/>
        <v>0</v>
      </c>
      <c r="BK50" t="b">
        <f t="shared" si="81"/>
        <v>0</v>
      </c>
      <c r="BL50" t="b">
        <f t="shared" si="81"/>
        <v>0</v>
      </c>
      <c r="BM50" t="b">
        <f t="shared" si="81"/>
        <v>0</v>
      </c>
      <c r="BN50" t="b">
        <f t="shared" si="81"/>
        <v>0</v>
      </c>
      <c r="BO50" t="b">
        <f t="shared" si="81"/>
        <v>0</v>
      </c>
      <c r="BP50" t="b">
        <f t="shared" si="82"/>
        <v>0</v>
      </c>
      <c r="BQ50" t="b">
        <f t="shared" si="82"/>
        <v>0</v>
      </c>
      <c r="BR50" t="b">
        <f t="shared" si="82"/>
        <v>0</v>
      </c>
      <c r="BS50" t="b">
        <f t="shared" si="82"/>
        <v>0</v>
      </c>
      <c r="BT50" t="b">
        <f t="shared" si="82"/>
        <v>0</v>
      </c>
      <c r="BU50" t="b">
        <f t="shared" si="82"/>
        <v>0</v>
      </c>
      <c r="BV50" t="b">
        <f t="shared" si="82"/>
        <v>0</v>
      </c>
      <c r="BW50" t="b">
        <f t="shared" si="82"/>
        <v>0</v>
      </c>
      <c r="BX50" t="b">
        <f t="shared" si="82"/>
        <v>0</v>
      </c>
      <c r="BY50" t="b">
        <f t="shared" si="82"/>
        <v>0</v>
      </c>
      <c r="BZ50" t="b">
        <f t="shared" si="83"/>
        <v>0</v>
      </c>
      <c r="CA50" t="b">
        <f t="shared" si="83"/>
        <v>0</v>
      </c>
      <c r="CB50" t="b">
        <f t="shared" si="83"/>
        <v>0</v>
      </c>
      <c r="CC50" t="b">
        <f t="shared" si="83"/>
        <v>1</v>
      </c>
      <c r="CD50" t="b">
        <f t="shared" si="83"/>
        <v>1</v>
      </c>
      <c r="CE50" t="b">
        <f t="shared" si="83"/>
        <v>0</v>
      </c>
      <c r="CF50" t="b">
        <f t="shared" si="83"/>
        <v>0</v>
      </c>
      <c r="CG50" t="b">
        <f t="shared" si="83"/>
        <v>1</v>
      </c>
      <c r="CH50" t="b">
        <f t="shared" si="83"/>
        <v>0</v>
      </c>
      <c r="CI50" t="b">
        <f t="shared" si="83"/>
        <v>0</v>
      </c>
      <c r="CJ50" t="b">
        <f t="shared" si="84"/>
        <v>0</v>
      </c>
      <c r="CK50" t="b">
        <f t="shared" si="84"/>
        <v>0</v>
      </c>
      <c r="CL50" t="b">
        <f t="shared" si="84"/>
        <v>0</v>
      </c>
      <c r="CM50" t="b">
        <f t="shared" si="84"/>
        <v>0</v>
      </c>
      <c r="CN50" t="b">
        <f t="shared" si="84"/>
        <v>0</v>
      </c>
      <c r="CO50" t="b">
        <f t="shared" si="84"/>
        <v>0</v>
      </c>
      <c r="CP50" t="b">
        <f t="shared" si="84"/>
        <v>0</v>
      </c>
      <c r="CQ50" t="b">
        <f t="shared" si="84"/>
        <v>1</v>
      </c>
      <c r="CR50" t="b">
        <f t="shared" si="84"/>
        <v>0</v>
      </c>
      <c r="CS50" t="b">
        <f t="shared" si="84"/>
        <v>0</v>
      </c>
      <c r="CT50" t="b">
        <f t="shared" si="85"/>
        <v>0</v>
      </c>
      <c r="CU50" t="b">
        <f t="shared" si="85"/>
        <v>0</v>
      </c>
      <c r="CV50" t="b">
        <f t="shared" si="85"/>
        <v>0</v>
      </c>
      <c r="CW50" t="b">
        <f t="shared" si="85"/>
        <v>0</v>
      </c>
      <c r="CX50" t="b">
        <f t="shared" si="85"/>
        <v>0</v>
      </c>
      <c r="CY50" t="b">
        <f t="shared" si="85"/>
        <v>0</v>
      </c>
      <c r="CZ50" t="b">
        <f t="shared" si="85"/>
        <v>0</v>
      </c>
      <c r="DA50" t="b">
        <f t="shared" si="85"/>
        <v>0</v>
      </c>
      <c r="DB50" t="b">
        <f t="shared" si="85"/>
        <v>0</v>
      </c>
      <c r="DC50" t="b">
        <f t="shared" si="85"/>
        <v>0</v>
      </c>
      <c r="DD50" t="b">
        <f t="shared" si="86"/>
        <v>0</v>
      </c>
      <c r="DE50" t="b">
        <f t="shared" si="86"/>
        <v>0</v>
      </c>
      <c r="DF50" t="b">
        <f t="shared" si="86"/>
        <v>0</v>
      </c>
      <c r="DG50" t="b">
        <f t="shared" si="86"/>
        <v>0</v>
      </c>
      <c r="DH50" t="b">
        <f t="shared" si="86"/>
        <v>0</v>
      </c>
      <c r="DI50" t="b">
        <f t="shared" si="86"/>
        <v>0</v>
      </c>
      <c r="DJ50" t="b">
        <f t="shared" si="86"/>
        <v>0</v>
      </c>
      <c r="DK50" t="b">
        <f t="shared" si="86"/>
        <v>0</v>
      </c>
      <c r="DL50" t="b">
        <f t="shared" si="86"/>
        <v>0</v>
      </c>
      <c r="DM50" t="b">
        <f t="shared" si="86"/>
        <v>0</v>
      </c>
      <c r="DN50" t="b">
        <f t="shared" si="87"/>
        <v>1</v>
      </c>
      <c r="DO50" t="b">
        <f t="shared" si="87"/>
        <v>0</v>
      </c>
      <c r="DP50" t="b">
        <f t="shared" si="87"/>
        <v>0</v>
      </c>
      <c r="DQ50" t="b">
        <f t="shared" si="87"/>
        <v>0</v>
      </c>
      <c r="DR50" t="b">
        <f t="shared" si="87"/>
        <v>0</v>
      </c>
      <c r="DS50" t="b">
        <f t="shared" si="87"/>
        <v>0</v>
      </c>
      <c r="DT50" t="b">
        <f t="shared" si="87"/>
        <v>0</v>
      </c>
      <c r="DU50" t="b">
        <f t="shared" si="87"/>
        <v>0</v>
      </c>
      <c r="DV50" t="b">
        <f t="shared" si="87"/>
        <v>1</v>
      </c>
      <c r="DW50" t="b">
        <f t="shared" si="87"/>
        <v>0</v>
      </c>
      <c r="DX50" t="b">
        <f t="shared" si="88"/>
        <v>0</v>
      </c>
      <c r="DY50" t="b">
        <f t="shared" si="88"/>
        <v>1</v>
      </c>
      <c r="DZ50" t="b">
        <f t="shared" si="88"/>
        <v>0</v>
      </c>
      <c r="EA50" t="b">
        <f t="shared" si="88"/>
        <v>0</v>
      </c>
      <c r="EB50" t="b">
        <f t="shared" si="88"/>
        <v>0</v>
      </c>
      <c r="EC50" t="b">
        <f t="shared" si="88"/>
        <v>0</v>
      </c>
      <c r="ED50" t="b">
        <f t="shared" si="88"/>
        <v>0</v>
      </c>
      <c r="EE50" t="b">
        <f t="shared" si="88"/>
        <v>0</v>
      </c>
      <c r="EF50" t="b">
        <f t="shared" si="88"/>
        <v>0</v>
      </c>
      <c r="EG50" t="b">
        <f t="shared" si="88"/>
        <v>0</v>
      </c>
      <c r="EH50" t="b">
        <f t="shared" si="89"/>
        <v>0</v>
      </c>
      <c r="EI50" t="b">
        <f t="shared" si="89"/>
        <v>0</v>
      </c>
      <c r="EJ50" t="b">
        <f t="shared" si="89"/>
        <v>0</v>
      </c>
      <c r="EK50" t="b">
        <f t="shared" si="89"/>
        <v>0</v>
      </c>
      <c r="EL50" t="b">
        <f t="shared" si="89"/>
        <v>0</v>
      </c>
      <c r="EM50" t="b">
        <f t="shared" si="89"/>
        <v>0</v>
      </c>
      <c r="EN50" t="b">
        <f t="shared" si="89"/>
        <v>0</v>
      </c>
      <c r="EO50" t="b">
        <f t="shared" si="89"/>
        <v>0</v>
      </c>
      <c r="EP50" t="b">
        <f t="shared" si="89"/>
        <v>0</v>
      </c>
      <c r="EQ50" t="b">
        <f t="shared" si="89"/>
        <v>0</v>
      </c>
      <c r="ER50" t="b">
        <f t="shared" si="90"/>
        <v>0</v>
      </c>
      <c r="ES50" t="b">
        <f t="shared" si="90"/>
        <v>0</v>
      </c>
      <c r="ET50" t="b">
        <f t="shared" si="90"/>
        <v>0</v>
      </c>
      <c r="EU50" t="b">
        <f t="shared" si="90"/>
        <v>0</v>
      </c>
      <c r="EV50" t="b">
        <f t="shared" si="90"/>
        <v>0</v>
      </c>
      <c r="EW50" t="b">
        <f t="shared" si="90"/>
        <v>0</v>
      </c>
      <c r="EX50" t="b">
        <f t="shared" si="90"/>
        <v>0</v>
      </c>
      <c r="EY50" t="b">
        <f t="shared" si="90"/>
        <v>0</v>
      </c>
      <c r="EZ50" t="b">
        <f t="shared" si="90"/>
        <v>0</v>
      </c>
      <c r="FA50" t="b">
        <f t="shared" si="90"/>
        <v>0</v>
      </c>
      <c r="FB50" t="b">
        <f t="shared" si="91"/>
        <v>0</v>
      </c>
      <c r="FC50" t="b">
        <f t="shared" si="91"/>
        <v>0</v>
      </c>
      <c r="FD50" t="b">
        <f t="shared" si="91"/>
        <v>0</v>
      </c>
      <c r="FE50" t="b">
        <f t="shared" si="91"/>
        <v>0</v>
      </c>
      <c r="FF50" t="b">
        <f t="shared" si="91"/>
        <v>0</v>
      </c>
      <c r="FG50" t="b">
        <f t="shared" si="91"/>
        <v>0</v>
      </c>
      <c r="FH50" t="b">
        <f t="shared" si="91"/>
        <v>1</v>
      </c>
      <c r="FI50" t="b">
        <f t="shared" si="91"/>
        <v>0</v>
      </c>
      <c r="FJ50" t="b">
        <f t="shared" si="91"/>
        <v>0</v>
      </c>
      <c r="FK50" t="b">
        <f t="shared" si="91"/>
        <v>0</v>
      </c>
      <c r="FL50" t="b">
        <f t="shared" si="92"/>
        <v>0</v>
      </c>
      <c r="FM50" t="b">
        <f t="shared" si="92"/>
        <v>0</v>
      </c>
      <c r="FN50" t="b">
        <f t="shared" si="92"/>
        <v>0</v>
      </c>
      <c r="FO50" t="b">
        <f t="shared" si="92"/>
        <v>0</v>
      </c>
      <c r="FP50" t="b">
        <f t="shared" si="92"/>
        <v>0</v>
      </c>
      <c r="FQ50" t="b">
        <f t="shared" si="92"/>
        <v>0</v>
      </c>
      <c r="FR50" t="b">
        <f t="shared" si="92"/>
        <v>0</v>
      </c>
      <c r="FS50" t="b">
        <f t="shared" si="92"/>
        <v>0</v>
      </c>
      <c r="FT50" t="b">
        <f t="shared" si="92"/>
        <v>1</v>
      </c>
      <c r="FU50" t="b">
        <f t="shared" si="92"/>
        <v>0</v>
      </c>
      <c r="FV50" t="b">
        <f t="shared" si="93"/>
        <v>0</v>
      </c>
      <c r="FW50" t="b">
        <f t="shared" si="93"/>
        <v>0</v>
      </c>
      <c r="FX50" t="b">
        <f t="shared" si="93"/>
        <v>0</v>
      </c>
      <c r="FY50" t="b">
        <f t="shared" si="93"/>
        <v>0</v>
      </c>
      <c r="FZ50" t="b">
        <f t="shared" si="93"/>
        <v>0</v>
      </c>
      <c r="GA50" t="b">
        <f t="shared" si="93"/>
        <v>0</v>
      </c>
      <c r="GB50" t="b">
        <f t="shared" si="93"/>
        <v>0</v>
      </c>
      <c r="GC50" t="b">
        <f t="shared" si="93"/>
        <v>0</v>
      </c>
      <c r="GD50" t="b">
        <f t="shared" si="93"/>
        <v>0</v>
      </c>
      <c r="GE50" t="b">
        <f t="shared" si="93"/>
        <v>0</v>
      </c>
      <c r="GF50" t="b">
        <f t="shared" si="94"/>
        <v>0</v>
      </c>
      <c r="GG50" t="b">
        <f t="shared" si="94"/>
        <v>1</v>
      </c>
      <c r="GH50" t="b">
        <f t="shared" si="94"/>
        <v>0</v>
      </c>
      <c r="GI50" t="b">
        <f t="shared" si="94"/>
        <v>0</v>
      </c>
      <c r="GJ50" t="b">
        <f t="shared" si="94"/>
        <v>0</v>
      </c>
      <c r="GK50" t="b">
        <f t="shared" si="94"/>
        <v>0</v>
      </c>
      <c r="GL50" t="b">
        <f t="shared" si="94"/>
        <v>0</v>
      </c>
      <c r="GM50" t="b">
        <f t="shared" si="94"/>
        <v>0</v>
      </c>
      <c r="GN50" t="b">
        <f t="shared" si="94"/>
        <v>0</v>
      </c>
      <c r="GO50" t="b">
        <f t="shared" si="94"/>
        <v>0</v>
      </c>
      <c r="GP50" t="b">
        <f t="shared" si="95"/>
        <v>0</v>
      </c>
      <c r="GQ50" t="b">
        <f t="shared" si="95"/>
        <v>0</v>
      </c>
      <c r="GR50" t="b">
        <f t="shared" si="95"/>
        <v>0</v>
      </c>
      <c r="GS50" t="b">
        <f t="shared" si="95"/>
        <v>0</v>
      </c>
      <c r="GT50" t="b">
        <f t="shared" si="95"/>
        <v>1</v>
      </c>
      <c r="GU50" t="b">
        <f t="shared" si="95"/>
        <v>0</v>
      </c>
      <c r="GV50" t="b">
        <f t="shared" si="95"/>
        <v>0</v>
      </c>
      <c r="GW50" t="b">
        <f t="shared" si="95"/>
        <v>0</v>
      </c>
      <c r="GX50" t="b">
        <f t="shared" si="95"/>
        <v>0</v>
      </c>
      <c r="GY50" t="b">
        <f t="shared" si="95"/>
        <v>0</v>
      </c>
      <c r="GZ50" t="b">
        <f t="shared" si="95"/>
        <v>0</v>
      </c>
    </row>
    <row r="51" spans="1:208" hidden="1" x14ac:dyDescent="0.3">
      <c r="A51" t="s">
        <v>28</v>
      </c>
      <c r="B51" t="s">
        <v>37</v>
      </c>
      <c r="C51" t="s">
        <v>45</v>
      </c>
      <c r="D51" s="3">
        <v>4</v>
      </c>
      <c r="E51" s="3">
        <v>15</v>
      </c>
      <c r="F51" s="3">
        <v>50</v>
      </c>
      <c r="G51" s="3">
        <v>340</v>
      </c>
      <c r="H51" t="str">
        <f t="shared" si="19"/>
        <v>4-15</v>
      </c>
      <c r="I51" t="b">
        <v>1</v>
      </c>
      <c r="Q51" s="6">
        <v>51</v>
      </c>
      <c r="R51" t="b">
        <f t="shared" si="77"/>
        <v>0</v>
      </c>
      <c r="S51" t="b">
        <f t="shared" si="77"/>
        <v>0</v>
      </c>
      <c r="T51" t="b">
        <f t="shared" si="77"/>
        <v>0</v>
      </c>
      <c r="U51" t="b">
        <f t="shared" si="77"/>
        <v>0</v>
      </c>
      <c r="V51" t="b">
        <f t="shared" si="77"/>
        <v>0</v>
      </c>
      <c r="W51" t="b">
        <f t="shared" si="77"/>
        <v>0</v>
      </c>
      <c r="X51" t="b">
        <f t="shared" si="77"/>
        <v>0</v>
      </c>
      <c r="Y51" t="b">
        <f t="shared" si="77"/>
        <v>0</v>
      </c>
      <c r="Z51" t="b">
        <f t="shared" si="77"/>
        <v>0</v>
      </c>
      <c r="AA51" t="b">
        <f t="shared" si="77"/>
        <v>0</v>
      </c>
      <c r="AB51" t="b">
        <f t="shared" si="78"/>
        <v>0</v>
      </c>
      <c r="AC51" t="b">
        <f t="shared" si="78"/>
        <v>0</v>
      </c>
      <c r="AD51" t="b">
        <f t="shared" si="78"/>
        <v>0</v>
      </c>
      <c r="AE51" t="b">
        <f t="shared" si="78"/>
        <v>0</v>
      </c>
      <c r="AF51" t="b">
        <f t="shared" si="78"/>
        <v>0</v>
      </c>
      <c r="AG51" t="b">
        <f t="shared" si="78"/>
        <v>0</v>
      </c>
      <c r="AH51" t="b">
        <f t="shared" si="78"/>
        <v>0</v>
      </c>
      <c r="AI51" t="b">
        <f t="shared" si="78"/>
        <v>0</v>
      </c>
      <c r="AJ51" t="b">
        <f t="shared" si="78"/>
        <v>0</v>
      </c>
      <c r="AK51" t="b">
        <f t="shared" si="78"/>
        <v>0</v>
      </c>
      <c r="AL51" t="b">
        <f t="shared" si="79"/>
        <v>0</v>
      </c>
      <c r="AM51" t="b">
        <f t="shared" si="79"/>
        <v>0</v>
      </c>
      <c r="AN51" t="b">
        <f t="shared" si="79"/>
        <v>0</v>
      </c>
      <c r="AO51" t="b">
        <f t="shared" si="79"/>
        <v>0</v>
      </c>
      <c r="AP51" t="b">
        <f t="shared" si="79"/>
        <v>0</v>
      </c>
      <c r="AQ51" t="b">
        <f t="shared" si="79"/>
        <v>0</v>
      </c>
      <c r="AR51" t="b">
        <f t="shared" si="79"/>
        <v>0</v>
      </c>
      <c r="AS51" t="b">
        <f t="shared" si="79"/>
        <v>0</v>
      </c>
      <c r="AT51" t="b">
        <f t="shared" si="79"/>
        <v>0</v>
      </c>
      <c r="AU51" t="b">
        <f t="shared" si="79"/>
        <v>0</v>
      </c>
      <c r="AV51" t="b">
        <f t="shared" si="80"/>
        <v>0</v>
      </c>
      <c r="AW51" t="b">
        <f t="shared" si="80"/>
        <v>0</v>
      </c>
      <c r="AX51" t="b">
        <f t="shared" si="80"/>
        <v>0</v>
      </c>
      <c r="AY51" t="b">
        <f t="shared" si="80"/>
        <v>0</v>
      </c>
      <c r="AZ51" t="b">
        <f t="shared" si="80"/>
        <v>0</v>
      </c>
      <c r="BA51" t="b">
        <f t="shared" si="80"/>
        <v>0</v>
      </c>
      <c r="BB51" t="b">
        <f t="shared" si="80"/>
        <v>0</v>
      </c>
      <c r="BC51" t="b">
        <f t="shared" si="80"/>
        <v>0</v>
      </c>
      <c r="BD51" t="b">
        <f t="shared" si="80"/>
        <v>0</v>
      </c>
      <c r="BE51" t="b">
        <f t="shared" si="80"/>
        <v>0</v>
      </c>
      <c r="BF51" t="b">
        <f t="shared" si="81"/>
        <v>0</v>
      </c>
      <c r="BG51" t="b">
        <f t="shared" si="81"/>
        <v>0</v>
      </c>
      <c r="BH51" t="b">
        <f t="shared" si="81"/>
        <v>0</v>
      </c>
      <c r="BI51" t="b">
        <f t="shared" si="81"/>
        <v>0</v>
      </c>
      <c r="BJ51" t="b">
        <f t="shared" si="81"/>
        <v>0</v>
      </c>
      <c r="BK51" t="b">
        <f t="shared" si="81"/>
        <v>0</v>
      </c>
      <c r="BL51" t="b">
        <f t="shared" si="81"/>
        <v>0</v>
      </c>
      <c r="BM51" t="b">
        <f t="shared" si="81"/>
        <v>0</v>
      </c>
      <c r="BN51" t="b">
        <f t="shared" si="81"/>
        <v>0</v>
      </c>
      <c r="BO51" t="b">
        <f t="shared" si="81"/>
        <v>0</v>
      </c>
      <c r="BP51" t="b">
        <f t="shared" si="82"/>
        <v>0</v>
      </c>
      <c r="BQ51" t="b">
        <f t="shared" si="82"/>
        <v>0</v>
      </c>
      <c r="BR51" t="b">
        <f t="shared" si="82"/>
        <v>0</v>
      </c>
      <c r="BS51" t="b">
        <f t="shared" si="82"/>
        <v>0</v>
      </c>
      <c r="BT51" t="b">
        <f t="shared" si="82"/>
        <v>0</v>
      </c>
      <c r="BU51" t="b">
        <f t="shared" si="82"/>
        <v>0</v>
      </c>
      <c r="BV51" t="b">
        <f t="shared" si="82"/>
        <v>0</v>
      </c>
      <c r="BW51" t="b">
        <f t="shared" si="82"/>
        <v>0</v>
      </c>
      <c r="BX51" t="b">
        <f t="shared" si="82"/>
        <v>0</v>
      </c>
      <c r="BY51" t="b">
        <f t="shared" si="82"/>
        <v>0</v>
      </c>
      <c r="BZ51" t="b">
        <f t="shared" si="83"/>
        <v>0</v>
      </c>
      <c r="CA51" t="b">
        <f t="shared" si="83"/>
        <v>0</v>
      </c>
      <c r="CB51" t="b">
        <f t="shared" si="83"/>
        <v>0</v>
      </c>
      <c r="CC51" t="b">
        <f t="shared" si="83"/>
        <v>0</v>
      </c>
      <c r="CD51" t="b">
        <f t="shared" si="83"/>
        <v>0</v>
      </c>
      <c r="CE51" t="b">
        <f t="shared" si="83"/>
        <v>0</v>
      </c>
      <c r="CF51" t="b">
        <f t="shared" si="83"/>
        <v>0</v>
      </c>
      <c r="CG51" t="b">
        <f t="shared" si="83"/>
        <v>0</v>
      </c>
      <c r="CH51" t="b">
        <f t="shared" si="83"/>
        <v>0</v>
      </c>
      <c r="CI51" t="b">
        <f t="shared" si="83"/>
        <v>0</v>
      </c>
      <c r="CJ51" t="b">
        <f t="shared" si="84"/>
        <v>0</v>
      </c>
      <c r="CK51" t="b">
        <f t="shared" si="84"/>
        <v>0</v>
      </c>
      <c r="CL51" t="b">
        <f t="shared" si="84"/>
        <v>0</v>
      </c>
      <c r="CM51" t="b">
        <f t="shared" si="84"/>
        <v>0</v>
      </c>
      <c r="CN51" t="b">
        <f t="shared" si="84"/>
        <v>0</v>
      </c>
      <c r="CO51" t="b">
        <f t="shared" si="84"/>
        <v>0</v>
      </c>
      <c r="CP51" t="b">
        <f t="shared" si="84"/>
        <v>0</v>
      </c>
      <c r="CQ51" t="b">
        <f t="shared" si="84"/>
        <v>0</v>
      </c>
      <c r="CR51" t="b">
        <f t="shared" si="84"/>
        <v>0</v>
      </c>
      <c r="CS51" t="b">
        <f t="shared" si="84"/>
        <v>0</v>
      </c>
      <c r="CT51" t="b">
        <f t="shared" si="85"/>
        <v>0</v>
      </c>
      <c r="CU51" t="b">
        <f t="shared" si="85"/>
        <v>0</v>
      </c>
      <c r="CV51" t="b">
        <f t="shared" si="85"/>
        <v>0</v>
      </c>
      <c r="CW51" t="b">
        <f t="shared" si="85"/>
        <v>0</v>
      </c>
      <c r="CX51" t="b">
        <f t="shared" si="85"/>
        <v>0</v>
      </c>
      <c r="CY51" t="b">
        <f t="shared" si="85"/>
        <v>0</v>
      </c>
      <c r="CZ51" t="b">
        <f t="shared" si="85"/>
        <v>0</v>
      </c>
      <c r="DA51" t="b">
        <f t="shared" si="85"/>
        <v>0</v>
      </c>
      <c r="DB51" t="b">
        <f t="shared" si="85"/>
        <v>0</v>
      </c>
      <c r="DC51" t="b">
        <f t="shared" si="85"/>
        <v>0</v>
      </c>
      <c r="DD51" t="b">
        <f t="shared" si="86"/>
        <v>0</v>
      </c>
      <c r="DE51" t="b">
        <f t="shared" si="86"/>
        <v>0</v>
      </c>
      <c r="DF51" t="b">
        <f t="shared" si="86"/>
        <v>0</v>
      </c>
      <c r="DG51" t="b">
        <f t="shared" si="86"/>
        <v>0</v>
      </c>
      <c r="DH51" t="b">
        <f t="shared" si="86"/>
        <v>0</v>
      </c>
      <c r="DI51" t="b">
        <f t="shared" si="86"/>
        <v>0</v>
      </c>
      <c r="DJ51" t="b">
        <f t="shared" si="86"/>
        <v>0</v>
      </c>
      <c r="DK51" t="b">
        <f t="shared" si="86"/>
        <v>0</v>
      </c>
      <c r="DL51" t="b">
        <f t="shared" si="86"/>
        <v>0</v>
      </c>
      <c r="DM51" t="b">
        <f t="shared" si="86"/>
        <v>0</v>
      </c>
      <c r="DN51" t="b">
        <f t="shared" si="87"/>
        <v>0</v>
      </c>
      <c r="DO51" t="b">
        <f t="shared" si="87"/>
        <v>0</v>
      </c>
      <c r="DP51" t="b">
        <f t="shared" si="87"/>
        <v>0</v>
      </c>
      <c r="DQ51" t="b">
        <f t="shared" si="87"/>
        <v>0</v>
      </c>
      <c r="DR51" t="b">
        <f t="shared" si="87"/>
        <v>0</v>
      </c>
      <c r="DS51" t="b">
        <f t="shared" si="87"/>
        <v>0</v>
      </c>
      <c r="DT51" t="b">
        <f t="shared" si="87"/>
        <v>0</v>
      </c>
      <c r="DU51" t="b">
        <f t="shared" si="87"/>
        <v>0</v>
      </c>
      <c r="DV51" t="b">
        <f t="shared" si="87"/>
        <v>0</v>
      </c>
      <c r="DW51" t="b">
        <f t="shared" si="87"/>
        <v>0</v>
      </c>
      <c r="DX51" t="b">
        <f t="shared" si="88"/>
        <v>0</v>
      </c>
      <c r="DY51" t="b">
        <f t="shared" si="88"/>
        <v>0</v>
      </c>
      <c r="DZ51" t="b">
        <f t="shared" si="88"/>
        <v>0</v>
      </c>
      <c r="EA51" t="b">
        <f t="shared" si="88"/>
        <v>0</v>
      </c>
      <c r="EB51" t="b">
        <f t="shared" si="88"/>
        <v>0</v>
      </c>
      <c r="EC51" t="b">
        <f t="shared" si="88"/>
        <v>0</v>
      </c>
      <c r="ED51" t="b">
        <f t="shared" si="88"/>
        <v>0</v>
      </c>
      <c r="EE51" t="b">
        <f t="shared" si="88"/>
        <v>0</v>
      </c>
      <c r="EF51" t="b">
        <f t="shared" si="88"/>
        <v>0</v>
      </c>
      <c r="EG51" t="b">
        <f t="shared" si="88"/>
        <v>0</v>
      </c>
      <c r="EH51" t="b">
        <f t="shared" si="89"/>
        <v>0</v>
      </c>
      <c r="EI51" t="b">
        <f t="shared" si="89"/>
        <v>0</v>
      </c>
      <c r="EJ51" t="b">
        <f t="shared" si="89"/>
        <v>0</v>
      </c>
      <c r="EK51" t="b">
        <f t="shared" si="89"/>
        <v>0</v>
      </c>
      <c r="EL51" t="b">
        <f t="shared" si="89"/>
        <v>0</v>
      </c>
      <c r="EM51" t="b">
        <f t="shared" si="89"/>
        <v>0</v>
      </c>
      <c r="EN51" t="b">
        <f t="shared" si="89"/>
        <v>0</v>
      </c>
      <c r="EO51" t="b">
        <f t="shared" si="89"/>
        <v>0</v>
      </c>
      <c r="EP51" t="b">
        <f t="shared" si="89"/>
        <v>0</v>
      </c>
      <c r="EQ51" t="b">
        <f t="shared" si="89"/>
        <v>0</v>
      </c>
      <c r="ER51" t="b">
        <f t="shared" si="90"/>
        <v>0</v>
      </c>
      <c r="ES51" t="b">
        <f t="shared" si="90"/>
        <v>0</v>
      </c>
      <c r="ET51" t="b">
        <f t="shared" si="90"/>
        <v>0</v>
      </c>
      <c r="EU51" t="b">
        <f t="shared" si="90"/>
        <v>0</v>
      </c>
      <c r="EV51" t="b">
        <f t="shared" si="90"/>
        <v>0</v>
      </c>
      <c r="EW51" t="b">
        <f t="shared" si="90"/>
        <v>0</v>
      </c>
      <c r="EX51" t="b">
        <f t="shared" si="90"/>
        <v>0</v>
      </c>
      <c r="EY51" t="b">
        <f t="shared" si="90"/>
        <v>0</v>
      </c>
      <c r="EZ51" t="b">
        <f t="shared" si="90"/>
        <v>0</v>
      </c>
      <c r="FA51" t="b">
        <f t="shared" si="90"/>
        <v>0</v>
      </c>
      <c r="FB51" t="b">
        <f t="shared" si="91"/>
        <v>0</v>
      </c>
      <c r="FC51" t="b">
        <f t="shared" si="91"/>
        <v>0</v>
      </c>
      <c r="FD51" t="b">
        <f t="shared" si="91"/>
        <v>0</v>
      </c>
      <c r="FE51" t="b">
        <f t="shared" si="91"/>
        <v>0</v>
      </c>
      <c r="FF51" t="b">
        <f t="shared" si="91"/>
        <v>0</v>
      </c>
      <c r="FG51" t="b">
        <f t="shared" si="91"/>
        <v>0</v>
      </c>
      <c r="FH51" t="b">
        <f t="shared" si="91"/>
        <v>0</v>
      </c>
      <c r="FI51" t="b">
        <f t="shared" si="91"/>
        <v>0</v>
      </c>
      <c r="FJ51" t="b">
        <f t="shared" si="91"/>
        <v>0</v>
      </c>
      <c r="FK51" t="b">
        <f t="shared" si="91"/>
        <v>0</v>
      </c>
      <c r="FL51" t="b">
        <f t="shared" si="92"/>
        <v>0</v>
      </c>
      <c r="FM51" t="b">
        <f t="shared" si="92"/>
        <v>0</v>
      </c>
      <c r="FN51" t="b">
        <f t="shared" si="92"/>
        <v>0</v>
      </c>
      <c r="FO51" t="b">
        <f t="shared" si="92"/>
        <v>0</v>
      </c>
      <c r="FP51" t="b">
        <f t="shared" si="92"/>
        <v>0</v>
      </c>
      <c r="FQ51" t="b">
        <f t="shared" si="92"/>
        <v>0</v>
      </c>
      <c r="FR51" t="b">
        <f t="shared" si="92"/>
        <v>0</v>
      </c>
      <c r="FS51" t="b">
        <f t="shared" si="92"/>
        <v>0</v>
      </c>
      <c r="FT51" t="b">
        <f t="shared" si="92"/>
        <v>0</v>
      </c>
      <c r="FU51" t="b">
        <f t="shared" si="92"/>
        <v>0</v>
      </c>
      <c r="FV51" t="b">
        <f t="shared" si="93"/>
        <v>0</v>
      </c>
      <c r="FW51" t="b">
        <f t="shared" si="93"/>
        <v>0</v>
      </c>
      <c r="FX51" t="b">
        <f t="shared" si="93"/>
        <v>0</v>
      </c>
      <c r="FY51" t="b">
        <f t="shared" si="93"/>
        <v>0</v>
      </c>
      <c r="FZ51" t="b">
        <f t="shared" si="93"/>
        <v>0</v>
      </c>
      <c r="GA51" t="b">
        <f t="shared" si="93"/>
        <v>1</v>
      </c>
      <c r="GB51" t="b">
        <f t="shared" si="93"/>
        <v>1</v>
      </c>
      <c r="GC51" t="b">
        <f t="shared" si="93"/>
        <v>0</v>
      </c>
      <c r="GD51" t="b">
        <f t="shared" si="93"/>
        <v>0</v>
      </c>
      <c r="GE51" t="b">
        <f t="shared" si="93"/>
        <v>0</v>
      </c>
      <c r="GF51" t="b">
        <f t="shared" si="94"/>
        <v>0</v>
      </c>
      <c r="GG51" t="b">
        <f t="shared" si="94"/>
        <v>0</v>
      </c>
      <c r="GH51" t="b">
        <f t="shared" si="94"/>
        <v>0</v>
      </c>
      <c r="GI51" t="b">
        <f t="shared" si="94"/>
        <v>0</v>
      </c>
      <c r="GJ51" t="b">
        <f t="shared" si="94"/>
        <v>0</v>
      </c>
      <c r="GK51" t="b">
        <f t="shared" si="94"/>
        <v>0</v>
      </c>
      <c r="GL51" t="b">
        <f t="shared" si="94"/>
        <v>0</v>
      </c>
      <c r="GM51" t="b">
        <f t="shared" si="94"/>
        <v>0</v>
      </c>
      <c r="GN51" t="b">
        <f t="shared" si="94"/>
        <v>0</v>
      </c>
      <c r="GO51" t="b">
        <f t="shared" si="94"/>
        <v>0</v>
      </c>
      <c r="GP51" t="b">
        <f t="shared" si="95"/>
        <v>0</v>
      </c>
      <c r="GQ51" t="b">
        <f t="shared" si="95"/>
        <v>0</v>
      </c>
      <c r="GR51" t="b">
        <f t="shared" si="95"/>
        <v>0</v>
      </c>
      <c r="GS51" t="b">
        <f t="shared" si="95"/>
        <v>0</v>
      </c>
      <c r="GT51" t="b">
        <f t="shared" si="95"/>
        <v>0</v>
      </c>
      <c r="GU51" t="b">
        <f t="shared" si="95"/>
        <v>0</v>
      </c>
      <c r="GV51" t="b">
        <f t="shared" si="95"/>
        <v>0</v>
      </c>
      <c r="GW51" t="b">
        <f t="shared" si="95"/>
        <v>0</v>
      </c>
      <c r="GX51" t="b">
        <f t="shared" si="95"/>
        <v>0</v>
      </c>
      <c r="GY51" t="b">
        <f t="shared" si="95"/>
        <v>0</v>
      </c>
      <c r="GZ51" t="b">
        <f t="shared" si="95"/>
        <v>0</v>
      </c>
    </row>
    <row r="52" spans="1:208" hidden="1" x14ac:dyDescent="0.3">
      <c r="A52" t="s">
        <v>28</v>
      </c>
      <c r="B52" t="s">
        <v>37</v>
      </c>
      <c r="C52" t="s">
        <v>46</v>
      </c>
      <c r="D52" s="3">
        <v>4</v>
      </c>
      <c r="E52" s="3">
        <v>15</v>
      </c>
      <c r="F52" s="3">
        <v>51</v>
      </c>
      <c r="G52" s="3">
        <v>120</v>
      </c>
      <c r="H52" t="str">
        <f t="shared" si="19"/>
        <v>4-15</v>
      </c>
      <c r="I52" t="b">
        <v>1</v>
      </c>
      <c r="Q52" s="6">
        <v>52</v>
      </c>
      <c r="R52" t="b">
        <f t="shared" ref="R52:AA60" si="96">IFERROR(_xlfn.XLOOKUP(_xlfn.CONCAT($Q52,"-",R$1),$H$2:$H$926,$I$2:$I$926),FALSE)</f>
        <v>0</v>
      </c>
      <c r="S52" t="b">
        <f t="shared" si="96"/>
        <v>0</v>
      </c>
      <c r="T52" t="b">
        <f t="shared" si="96"/>
        <v>0</v>
      </c>
      <c r="U52" t="b">
        <f t="shared" si="96"/>
        <v>0</v>
      </c>
      <c r="V52" t="b">
        <f t="shared" si="96"/>
        <v>0</v>
      </c>
      <c r="W52" t="b">
        <f t="shared" si="96"/>
        <v>0</v>
      </c>
      <c r="X52" t="b">
        <f t="shared" si="96"/>
        <v>0</v>
      </c>
      <c r="Y52" t="b">
        <f t="shared" si="96"/>
        <v>0</v>
      </c>
      <c r="Z52" t="b">
        <f t="shared" si="96"/>
        <v>0</v>
      </c>
      <c r="AA52" t="b">
        <f t="shared" si="96"/>
        <v>0</v>
      </c>
      <c r="AB52" t="b">
        <f t="shared" ref="AB52:AK60" si="97">IFERROR(_xlfn.XLOOKUP(_xlfn.CONCAT($Q52,"-",AB$1),$H$2:$H$926,$I$2:$I$926),FALSE)</f>
        <v>0</v>
      </c>
      <c r="AC52" t="b">
        <f t="shared" si="97"/>
        <v>0</v>
      </c>
      <c r="AD52" t="b">
        <f t="shared" si="97"/>
        <v>0</v>
      </c>
      <c r="AE52" t="b">
        <f t="shared" si="97"/>
        <v>0</v>
      </c>
      <c r="AF52" t="b">
        <f t="shared" si="97"/>
        <v>0</v>
      </c>
      <c r="AG52" t="b">
        <f t="shared" si="97"/>
        <v>0</v>
      </c>
      <c r="AH52" t="b">
        <f t="shared" si="97"/>
        <v>0</v>
      </c>
      <c r="AI52" t="b">
        <f t="shared" si="97"/>
        <v>0</v>
      </c>
      <c r="AJ52" t="b">
        <f t="shared" si="97"/>
        <v>0</v>
      </c>
      <c r="AK52" t="b">
        <f t="shared" si="97"/>
        <v>0</v>
      </c>
      <c r="AL52" t="b">
        <f t="shared" ref="AL52:AU60" si="98">IFERROR(_xlfn.XLOOKUP(_xlfn.CONCAT($Q52,"-",AL$1),$H$2:$H$926,$I$2:$I$926),FALSE)</f>
        <v>0</v>
      </c>
      <c r="AM52" t="b">
        <f t="shared" si="98"/>
        <v>0</v>
      </c>
      <c r="AN52" t="b">
        <f t="shared" si="98"/>
        <v>0</v>
      </c>
      <c r="AO52" t="b">
        <f t="shared" si="98"/>
        <v>0</v>
      </c>
      <c r="AP52" t="b">
        <f t="shared" si="98"/>
        <v>0</v>
      </c>
      <c r="AQ52" t="b">
        <f t="shared" si="98"/>
        <v>0</v>
      </c>
      <c r="AR52" t="b">
        <f t="shared" si="98"/>
        <v>0</v>
      </c>
      <c r="AS52" t="b">
        <f t="shared" si="98"/>
        <v>0</v>
      </c>
      <c r="AT52" t="b">
        <f t="shared" si="98"/>
        <v>0</v>
      </c>
      <c r="AU52" t="b">
        <f t="shared" si="98"/>
        <v>0</v>
      </c>
      <c r="AV52" t="b">
        <f t="shared" ref="AV52:BE60" si="99">IFERROR(_xlfn.XLOOKUP(_xlfn.CONCAT($Q52,"-",AV$1),$H$2:$H$926,$I$2:$I$926),FALSE)</f>
        <v>0</v>
      </c>
      <c r="AW52" t="b">
        <f t="shared" si="99"/>
        <v>0</v>
      </c>
      <c r="AX52" t="b">
        <f t="shared" si="99"/>
        <v>0</v>
      </c>
      <c r="AY52" t="b">
        <f t="shared" si="99"/>
        <v>0</v>
      </c>
      <c r="AZ52" t="b">
        <f t="shared" si="99"/>
        <v>0</v>
      </c>
      <c r="BA52" t="b">
        <f t="shared" si="99"/>
        <v>0</v>
      </c>
      <c r="BB52" t="b">
        <f t="shared" si="99"/>
        <v>0</v>
      </c>
      <c r="BC52" t="b">
        <f t="shared" si="99"/>
        <v>0</v>
      </c>
      <c r="BD52" t="b">
        <f t="shared" si="99"/>
        <v>0</v>
      </c>
      <c r="BE52" t="b">
        <f t="shared" si="99"/>
        <v>0</v>
      </c>
      <c r="BF52" t="b">
        <f t="shared" ref="BF52:BO60" si="100">IFERROR(_xlfn.XLOOKUP(_xlfn.CONCAT($Q52,"-",BF$1),$H$2:$H$926,$I$2:$I$926),FALSE)</f>
        <v>0</v>
      </c>
      <c r="BG52" t="b">
        <f t="shared" si="100"/>
        <v>0</v>
      </c>
      <c r="BH52" t="b">
        <f t="shared" si="100"/>
        <v>0</v>
      </c>
      <c r="BI52" t="b">
        <f t="shared" si="100"/>
        <v>0</v>
      </c>
      <c r="BJ52" t="b">
        <f t="shared" si="100"/>
        <v>0</v>
      </c>
      <c r="BK52" t="b">
        <f t="shared" si="100"/>
        <v>0</v>
      </c>
      <c r="BL52" t="b">
        <f t="shared" si="100"/>
        <v>0</v>
      </c>
      <c r="BM52" t="b">
        <f t="shared" si="100"/>
        <v>0</v>
      </c>
      <c r="BN52" t="b">
        <f t="shared" si="100"/>
        <v>0</v>
      </c>
      <c r="BO52" t="b">
        <f t="shared" si="100"/>
        <v>0</v>
      </c>
      <c r="BP52" t="b">
        <f t="shared" ref="BP52:BY60" si="101">IFERROR(_xlfn.XLOOKUP(_xlfn.CONCAT($Q52,"-",BP$1),$H$2:$H$926,$I$2:$I$926),FALSE)</f>
        <v>0</v>
      </c>
      <c r="BQ52" t="b">
        <f t="shared" si="101"/>
        <v>0</v>
      </c>
      <c r="BR52" t="b">
        <f t="shared" si="101"/>
        <v>0</v>
      </c>
      <c r="BS52" t="b">
        <f t="shared" si="101"/>
        <v>0</v>
      </c>
      <c r="BT52" t="b">
        <f t="shared" si="101"/>
        <v>0</v>
      </c>
      <c r="BU52" t="b">
        <f t="shared" si="101"/>
        <v>0</v>
      </c>
      <c r="BV52" t="b">
        <f t="shared" si="101"/>
        <v>0</v>
      </c>
      <c r="BW52" t="b">
        <f t="shared" si="101"/>
        <v>0</v>
      </c>
      <c r="BX52" t="b">
        <f t="shared" si="101"/>
        <v>0</v>
      </c>
      <c r="BY52" t="b">
        <f t="shared" si="101"/>
        <v>0</v>
      </c>
      <c r="BZ52" t="b">
        <f t="shared" ref="BZ52:CI60" si="102">IFERROR(_xlfn.XLOOKUP(_xlfn.CONCAT($Q52,"-",BZ$1),$H$2:$H$926,$I$2:$I$926),FALSE)</f>
        <v>0</v>
      </c>
      <c r="CA52" t="b">
        <f t="shared" si="102"/>
        <v>0</v>
      </c>
      <c r="CB52" t="b">
        <f t="shared" si="102"/>
        <v>0</v>
      </c>
      <c r="CC52" t="b">
        <f t="shared" si="102"/>
        <v>0</v>
      </c>
      <c r="CD52" t="b">
        <f t="shared" si="102"/>
        <v>0</v>
      </c>
      <c r="CE52" t="b">
        <f t="shared" si="102"/>
        <v>0</v>
      </c>
      <c r="CF52" t="b">
        <f t="shared" si="102"/>
        <v>0</v>
      </c>
      <c r="CG52" t="b">
        <f t="shared" si="102"/>
        <v>0</v>
      </c>
      <c r="CH52" t="b">
        <f t="shared" si="102"/>
        <v>0</v>
      </c>
      <c r="CI52" t="b">
        <f t="shared" si="102"/>
        <v>0</v>
      </c>
      <c r="CJ52" t="b">
        <f t="shared" ref="CJ52:CS60" si="103">IFERROR(_xlfn.XLOOKUP(_xlfn.CONCAT($Q52,"-",CJ$1),$H$2:$H$926,$I$2:$I$926),FALSE)</f>
        <v>0</v>
      </c>
      <c r="CK52" t="b">
        <f t="shared" si="103"/>
        <v>0</v>
      </c>
      <c r="CL52" t="b">
        <f t="shared" si="103"/>
        <v>0</v>
      </c>
      <c r="CM52" t="b">
        <f t="shared" si="103"/>
        <v>0</v>
      </c>
      <c r="CN52" t="b">
        <f t="shared" si="103"/>
        <v>0</v>
      </c>
      <c r="CO52" t="b">
        <f t="shared" si="103"/>
        <v>0</v>
      </c>
      <c r="CP52" t="b">
        <f t="shared" si="103"/>
        <v>0</v>
      </c>
      <c r="CQ52" t="b">
        <f t="shared" si="103"/>
        <v>0</v>
      </c>
      <c r="CR52" t="b">
        <f t="shared" si="103"/>
        <v>0</v>
      </c>
      <c r="CS52" t="b">
        <f t="shared" si="103"/>
        <v>0</v>
      </c>
      <c r="CT52" t="b">
        <f t="shared" ref="CT52:DC60" si="104">IFERROR(_xlfn.XLOOKUP(_xlfn.CONCAT($Q52,"-",CT$1),$H$2:$H$926,$I$2:$I$926),FALSE)</f>
        <v>0</v>
      </c>
      <c r="CU52" t="b">
        <f t="shared" si="104"/>
        <v>0</v>
      </c>
      <c r="CV52" t="b">
        <f t="shared" si="104"/>
        <v>0</v>
      </c>
      <c r="CW52" t="b">
        <f t="shared" si="104"/>
        <v>0</v>
      </c>
      <c r="CX52" t="b">
        <f t="shared" si="104"/>
        <v>0</v>
      </c>
      <c r="CY52" t="b">
        <f t="shared" si="104"/>
        <v>0</v>
      </c>
      <c r="CZ52" t="b">
        <f t="shared" si="104"/>
        <v>0</v>
      </c>
      <c r="DA52" t="b">
        <f t="shared" si="104"/>
        <v>0</v>
      </c>
      <c r="DB52" t="b">
        <f t="shared" si="104"/>
        <v>0</v>
      </c>
      <c r="DC52" t="b">
        <f t="shared" si="104"/>
        <v>1</v>
      </c>
      <c r="DD52" t="b">
        <f t="shared" ref="DD52:DM60" si="105">IFERROR(_xlfn.XLOOKUP(_xlfn.CONCAT($Q52,"-",DD$1),$H$2:$H$926,$I$2:$I$926),FALSE)</f>
        <v>0</v>
      </c>
      <c r="DE52" t="b">
        <f t="shared" si="105"/>
        <v>0</v>
      </c>
      <c r="DF52" t="b">
        <f t="shared" si="105"/>
        <v>0</v>
      </c>
      <c r="DG52" t="b">
        <f t="shared" si="105"/>
        <v>0</v>
      </c>
      <c r="DH52" t="b">
        <f t="shared" si="105"/>
        <v>0</v>
      </c>
      <c r="DI52" t="b">
        <f t="shared" si="105"/>
        <v>0</v>
      </c>
      <c r="DJ52" t="b">
        <f t="shared" si="105"/>
        <v>0</v>
      </c>
      <c r="DK52" t="b">
        <f t="shared" si="105"/>
        <v>0</v>
      </c>
      <c r="DL52" t="b">
        <f t="shared" si="105"/>
        <v>0</v>
      </c>
      <c r="DM52" t="b">
        <f t="shared" si="105"/>
        <v>0</v>
      </c>
      <c r="DN52" t="b">
        <f t="shared" ref="DN52:DW60" si="106">IFERROR(_xlfn.XLOOKUP(_xlfn.CONCAT($Q52,"-",DN$1),$H$2:$H$926,$I$2:$I$926),FALSE)</f>
        <v>0</v>
      </c>
      <c r="DO52" t="b">
        <f t="shared" si="106"/>
        <v>0</v>
      </c>
      <c r="DP52" t="b">
        <f t="shared" si="106"/>
        <v>0</v>
      </c>
      <c r="DQ52" t="b">
        <f t="shared" si="106"/>
        <v>0</v>
      </c>
      <c r="DR52" t="b">
        <f t="shared" si="106"/>
        <v>0</v>
      </c>
      <c r="DS52" t="b">
        <f t="shared" si="106"/>
        <v>0</v>
      </c>
      <c r="DT52" t="b">
        <f t="shared" si="106"/>
        <v>0</v>
      </c>
      <c r="DU52" t="b">
        <f t="shared" si="106"/>
        <v>0</v>
      </c>
      <c r="DV52" t="b">
        <f t="shared" si="106"/>
        <v>0</v>
      </c>
      <c r="DW52" t="b">
        <f t="shared" si="106"/>
        <v>0</v>
      </c>
      <c r="DX52" t="b">
        <f t="shared" ref="DX52:EG60" si="107">IFERROR(_xlfn.XLOOKUP(_xlfn.CONCAT($Q52,"-",DX$1),$H$2:$H$926,$I$2:$I$926),FALSE)</f>
        <v>0</v>
      </c>
      <c r="DY52" t="b">
        <f t="shared" si="107"/>
        <v>0</v>
      </c>
      <c r="DZ52" t="b">
        <f t="shared" si="107"/>
        <v>0</v>
      </c>
      <c r="EA52" t="b">
        <f t="shared" si="107"/>
        <v>0</v>
      </c>
      <c r="EB52" t="b">
        <f t="shared" si="107"/>
        <v>0</v>
      </c>
      <c r="EC52" t="b">
        <f t="shared" si="107"/>
        <v>0</v>
      </c>
      <c r="ED52" t="b">
        <f t="shared" si="107"/>
        <v>0</v>
      </c>
      <c r="EE52" t="b">
        <f t="shared" si="107"/>
        <v>0</v>
      </c>
      <c r="EF52" t="b">
        <f t="shared" si="107"/>
        <v>0</v>
      </c>
      <c r="EG52" t="b">
        <f t="shared" si="107"/>
        <v>0</v>
      </c>
      <c r="EH52" t="b">
        <f t="shared" ref="EH52:EQ60" si="108">IFERROR(_xlfn.XLOOKUP(_xlfn.CONCAT($Q52,"-",EH$1),$H$2:$H$926,$I$2:$I$926),FALSE)</f>
        <v>0</v>
      </c>
      <c r="EI52" t="b">
        <f t="shared" si="108"/>
        <v>0</v>
      </c>
      <c r="EJ52" t="b">
        <f t="shared" si="108"/>
        <v>0</v>
      </c>
      <c r="EK52" t="b">
        <f t="shared" si="108"/>
        <v>0</v>
      </c>
      <c r="EL52" t="b">
        <f t="shared" si="108"/>
        <v>0</v>
      </c>
      <c r="EM52" t="b">
        <f t="shared" si="108"/>
        <v>0</v>
      </c>
      <c r="EN52" t="b">
        <f t="shared" si="108"/>
        <v>0</v>
      </c>
      <c r="EO52" t="b">
        <f t="shared" si="108"/>
        <v>0</v>
      </c>
      <c r="EP52" t="b">
        <f t="shared" si="108"/>
        <v>0</v>
      </c>
      <c r="EQ52" t="b">
        <f t="shared" si="108"/>
        <v>0</v>
      </c>
      <c r="ER52" t="b">
        <f t="shared" ref="ER52:FA60" si="109">IFERROR(_xlfn.XLOOKUP(_xlfn.CONCAT($Q52,"-",ER$1),$H$2:$H$926,$I$2:$I$926),FALSE)</f>
        <v>0</v>
      </c>
      <c r="ES52" t="b">
        <f t="shared" si="109"/>
        <v>0</v>
      </c>
      <c r="ET52" t="b">
        <f t="shared" si="109"/>
        <v>0</v>
      </c>
      <c r="EU52" t="b">
        <f t="shared" si="109"/>
        <v>0</v>
      </c>
      <c r="EV52" t="b">
        <f t="shared" si="109"/>
        <v>0</v>
      </c>
      <c r="EW52" t="b">
        <f t="shared" si="109"/>
        <v>0</v>
      </c>
      <c r="EX52" t="b">
        <f t="shared" si="109"/>
        <v>0</v>
      </c>
      <c r="EY52" t="b">
        <f t="shared" si="109"/>
        <v>0</v>
      </c>
      <c r="EZ52" t="b">
        <f t="shared" si="109"/>
        <v>0</v>
      </c>
      <c r="FA52" t="b">
        <f t="shared" si="109"/>
        <v>0</v>
      </c>
      <c r="FB52" t="b">
        <f t="shared" ref="FB52:FK60" si="110">IFERROR(_xlfn.XLOOKUP(_xlfn.CONCAT($Q52,"-",FB$1),$H$2:$H$926,$I$2:$I$926),FALSE)</f>
        <v>0</v>
      </c>
      <c r="FC52" t="b">
        <f t="shared" si="110"/>
        <v>0</v>
      </c>
      <c r="FD52" t="b">
        <f t="shared" si="110"/>
        <v>0</v>
      </c>
      <c r="FE52" t="b">
        <f t="shared" si="110"/>
        <v>0</v>
      </c>
      <c r="FF52" t="b">
        <f t="shared" si="110"/>
        <v>0</v>
      </c>
      <c r="FG52" t="b">
        <f t="shared" si="110"/>
        <v>0</v>
      </c>
      <c r="FH52" t="b">
        <f t="shared" si="110"/>
        <v>0</v>
      </c>
      <c r="FI52" t="b">
        <f t="shared" si="110"/>
        <v>0</v>
      </c>
      <c r="FJ52" t="b">
        <f t="shared" si="110"/>
        <v>0</v>
      </c>
      <c r="FK52" t="b">
        <f t="shared" si="110"/>
        <v>0</v>
      </c>
      <c r="FL52" t="b">
        <f t="shared" ref="FL52:FU60" si="111">IFERROR(_xlfn.XLOOKUP(_xlfn.CONCAT($Q52,"-",FL$1),$H$2:$H$926,$I$2:$I$926),FALSE)</f>
        <v>0</v>
      </c>
      <c r="FM52" t="b">
        <f t="shared" si="111"/>
        <v>0</v>
      </c>
      <c r="FN52" t="b">
        <f t="shared" si="111"/>
        <v>0</v>
      </c>
      <c r="FO52" t="b">
        <f t="shared" si="111"/>
        <v>0</v>
      </c>
      <c r="FP52" t="b">
        <f t="shared" si="111"/>
        <v>0</v>
      </c>
      <c r="FQ52" t="b">
        <f t="shared" si="111"/>
        <v>0</v>
      </c>
      <c r="FR52" t="b">
        <f t="shared" si="111"/>
        <v>0</v>
      </c>
      <c r="FS52" t="b">
        <f t="shared" si="111"/>
        <v>0</v>
      </c>
      <c r="FT52" t="b">
        <f t="shared" si="111"/>
        <v>0</v>
      </c>
      <c r="FU52" t="b">
        <f t="shared" si="111"/>
        <v>0</v>
      </c>
      <c r="FV52" t="b">
        <f t="shared" ref="FV52:GE60" si="112">IFERROR(_xlfn.XLOOKUP(_xlfn.CONCAT($Q52,"-",FV$1),$H$2:$H$926,$I$2:$I$926),FALSE)</f>
        <v>0</v>
      </c>
      <c r="FW52" t="b">
        <f t="shared" si="112"/>
        <v>0</v>
      </c>
      <c r="FX52" t="b">
        <f t="shared" si="112"/>
        <v>0</v>
      </c>
      <c r="FY52" t="b">
        <f t="shared" si="112"/>
        <v>0</v>
      </c>
      <c r="FZ52" t="b">
        <f t="shared" si="112"/>
        <v>0</v>
      </c>
      <c r="GA52" t="b">
        <f t="shared" si="112"/>
        <v>0</v>
      </c>
      <c r="GB52" t="b">
        <f t="shared" si="112"/>
        <v>0</v>
      </c>
      <c r="GC52" t="b">
        <f t="shared" si="112"/>
        <v>0</v>
      </c>
      <c r="GD52" t="b">
        <f t="shared" si="112"/>
        <v>0</v>
      </c>
      <c r="GE52" t="b">
        <f t="shared" si="112"/>
        <v>0</v>
      </c>
      <c r="GF52" t="b">
        <f t="shared" ref="GF52:GO60" si="113">IFERROR(_xlfn.XLOOKUP(_xlfn.CONCAT($Q52,"-",GF$1),$H$2:$H$926,$I$2:$I$926),FALSE)</f>
        <v>0</v>
      </c>
      <c r="GG52" t="b">
        <f t="shared" si="113"/>
        <v>0</v>
      </c>
      <c r="GH52" t="b">
        <f t="shared" si="113"/>
        <v>0</v>
      </c>
      <c r="GI52" t="b">
        <f t="shared" si="113"/>
        <v>0</v>
      </c>
      <c r="GJ52" t="b">
        <f t="shared" si="113"/>
        <v>0</v>
      </c>
      <c r="GK52" t="b">
        <f t="shared" si="113"/>
        <v>0</v>
      </c>
      <c r="GL52" t="b">
        <f t="shared" si="113"/>
        <v>0</v>
      </c>
      <c r="GM52" t="b">
        <f t="shared" si="113"/>
        <v>0</v>
      </c>
      <c r="GN52" t="b">
        <f t="shared" si="113"/>
        <v>0</v>
      </c>
      <c r="GO52" t="b">
        <f t="shared" si="113"/>
        <v>0</v>
      </c>
      <c r="GP52" t="b">
        <f t="shared" ref="GP52:GZ60" si="114">IFERROR(_xlfn.XLOOKUP(_xlfn.CONCAT($Q52,"-",GP$1),$H$2:$H$926,$I$2:$I$926),FALSE)</f>
        <v>0</v>
      </c>
      <c r="GQ52" t="b">
        <f t="shared" si="114"/>
        <v>0</v>
      </c>
      <c r="GR52" t="b">
        <f t="shared" si="114"/>
        <v>0</v>
      </c>
      <c r="GS52" t="b">
        <f t="shared" si="114"/>
        <v>0</v>
      </c>
      <c r="GT52" t="b">
        <f t="shared" si="114"/>
        <v>0</v>
      </c>
      <c r="GU52" t="b">
        <f t="shared" si="114"/>
        <v>0</v>
      </c>
      <c r="GV52" t="b">
        <f t="shared" si="114"/>
        <v>0</v>
      </c>
      <c r="GW52" t="b">
        <f t="shared" si="114"/>
        <v>0</v>
      </c>
      <c r="GX52" t="b">
        <f t="shared" si="114"/>
        <v>0</v>
      </c>
      <c r="GY52" t="b">
        <f t="shared" si="114"/>
        <v>0</v>
      </c>
      <c r="GZ52" t="b">
        <f t="shared" si="114"/>
        <v>0</v>
      </c>
    </row>
    <row r="53" spans="1:208" hidden="1" x14ac:dyDescent="0.3">
      <c r="A53" t="s">
        <v>28</v>
      </c>
      <c r="B53" t="s">
        <v>37</v>
      </c>
      <c r="C53" t="s">
        <v>47</v>
      </c>
      <c r="D53" s="3">
        <v>4</v>
      </c>
      <c r="E53" s="3">
        <v>15</v>
      </c>
      <c r="F53" s="3">
        <v>52</v>
      </c>
      <c r="G53" s="3">
        <v>10</v>
      </c>
      <c r="H53" t="str">
        <f t="shared" si="19"/>
        <v>4-15</v>
      </c>
      <c r="I53" t="b">
        <v>1</v>
      </c>
      <c r="Q53" s="6">
        <v>53</v>
      </c>
      <c r="R53" t="b">
        <f t="shared" si="96"/>
        <v>0</v>
      </c>
      <c r="S53" t="b">
        <f t="shared" si="96"/>
        <v>0</v>
      </c>
      <c r="T53" t="b">
        <f t="shared" si="96"/>
        <v>0</v>
      </c>
      <c r="U53" t="b">
        <f t="shared" si="96"/>
        <v>0</v>
      </c>
      <c r="V53" t="b">
        <f t="shared" si="96"/>
        <v>0</v>
      </c>
      <c r="W53" t="b">
        <f t="shared" si="96"/>
        <v>0</v>
      </c>
      <c r="X53" t="b">
        <f t="shared" si="96"/>
        <v>0</v>
      </c>
      <c r="Y53" t="b">
        <f t="shared" si="96"/>
        <v>0</v>
      </c>
      <c r="Z53" t="b">
        <f t="shared" si="96"/>
        <v>0</v>
      </c>
      <c r="AA53" t="b">
        <f t="shared" si="96"/>
        <v>0</v>
      </c>
      <c r="AB53" t="b">
        <f t="shared" si="97"/>
        <v>0</v>
      </c>
      <c r="AC53" t="b">
        <f t="shared" si="97"/>
        <v>0</v>
      </c>
      <c r="AD53" t="b">
        <f t="shared" si="97"/>
        <v>0</v>
      </c>
      <c r="AE53" t="b">
        <f t="shared" si="97"/>
        <v>0</v>
      </c>
      <c r="AF53" t="b">
        <f t="shared" si="97"/>
        <v>0</v>
      </c>
      <c r="AG53" t="b">
        <f t="shared" si="97"/>
        <v>0</v>
      </c>
      <c r="AH53" t="b">
        <f t="shared" si="97"/>
        <v>0</v>
      </c>
      <c r="AI53" t="b">
        <f t="shared" si="97"/>
        <v>0</v>
      </c>
      <c r="AJ53" t="b">
        <f t="shared" si="97"/>
        <v>0</v>
      </c>
      <c r="AK53" t="b">
        <f t="shared" si="97"/>
        <v>0</v>
      </c>
      <c r="AL53" t="b">
        <f t="shared" si="98"/>
        <v>0</v>
      </c>
      <c r="AM53" t="b">
        <f t="shared" si="98"/>
        <v>0</v>
      </c>
      <c r="AN53" t="b">
        <f t="shared" si="98"/>
        <v>0</v>
      </c>
      <c r="AO53" t="b">
        <f t="shared" si="98"/>
        <v>0</v>
      </c>
      <c r="AP53" t="b">
        <f t="shared" si="98"/>
        <v>0</v>
      </c>
      <c r="AQ53" t="b">
        <f t="shared" si="98"/>
        <v>0</v>
      </c>
      <c r="AR53" t="b">
        <f t="shared" si="98"/>
        <v>0</v>
      </c>
      <c r="AS53" t="b">
        <f t="shared" si="98"/>
        <v>0</v>
      </c>
      <c r="AT53" t="b">
        <f t="shared" si="98"/>
        <v>0</v>
      </c>
      <c r="AU53" t="b">
        <f t="shared" si="98"/>
        <v>0</v>
      </c>
      <c r="AV53" t="b">
        <f t="shared" si="99"/>
        <v>0</v>
      </c>
      <c r="AW53" t="b">
        <f t="shared" si="99"/>
        <v>0</v>
      </c>
      <c r="AX53" t="b">
        <f t="shared" si="99"/>
        <v>0</v>
      </c>
      <c r="AY53" t="b">
        <f t="shared" si="99"/>
        <v>0</v>
      </c>
      <c r="AZ53" t="b">
        <f t="shared" si="99"/>
        <v>0</v>
      </c>
      <c r="BA53" t="b">
        <f t="shared" si="99"/>
        <v>0</v>
      </c>
      <c r="BB53" t="b">
        <f t="shared" si="99"/>
        <v>0</v>
      </c>
      <c r="BC53" t="b">
        <f t="shared" si="99"/>
        <v>0</v>
      </c>
      <c r="BD53" t="b">
        <f t="shared" si="99"/>
        <v>0</v>
      </c>
      <c r="BE53" t="b">
        <f t="shared" si="99"/>
        <v>0</v>
      </c>
      <c r="BF53" t="b">
        <f t="shared" si="100"/>
        <v>0</v>
      </c>
      <c r="BG53" t="b">
        <f t="shared" si="100"/>
        <v>0</v>
      </c>
      <c r="BH53" t="b">
        <f t="shared" si="100"/>
        <v>0</v>
      </c>
      <c r="BI53" t="b">
        <f t="shared" si="100"/>
        <v>0</v>
      </c>
      <c r="BJ53" t="b">
        <f t="shared" si="100"/>
        <v>0</v>
      </c>
      <c r="BK53" t="b">
        <f t="shared" si="100"/>
        <v>0</v>
      </c>
      <c r="BL53" t="b">
        <f t="shared" si="100"/>
        <v>0</v>
      </c>
      <c r="BM53" t="b">
        <f t="shared" si="100"/>
        <v>0</v>
      </c>
      <c r="BN53" t="b">
        <f t="shared" si="100"/>
        <v>0</v>
      </c>
      <c r="BO53" t="b">
        <f t="shared" si="100"/>
        <v>0</v>
      </c>
      <c r="BP53" t="b">
        <f t="shared" si="101"/>
        <v>0</v>
      </c>
      <c r="BQ53" t="b">
        <f t="shared" si="101"/>
        <v>0</v>
      </c>
      <c r="BR53" t="b">
        <f t="shared" si="101"/>
        <v>0</v>
      </c>
      <c r="BS53" t="b">
        <f t="shared" si="101"/>
        <v>0</v>
      </c>
      <c r="BT53" t="b">
        <f t="shared" si="101"/>
        <v>0</v>
      </c>
      <c r="BU53" t="b">
        <f t="shared" si="101"/>
        <v>0</v>
      </c>
      <c r="BV53" t="b">
        <f t="shared" si="101"/>
        <v>0</v>
      </c>
      <c r="BW53" t="b">
        <f t="shared" si="101"/>
        <v>0</v>
      </c>
      <c r="BX53" t="b">
        <f t="shared" si="101"/>
        <v>0</v>
      </c>
      <c r="BY53" t="b">
        <f t="shared" si="101"/>
        <v>0</v>
      </c>
      <c r="BZ53" t="b">
        <f t="shared" si="102"/>
        <v>0</v>
      </c>
      <c r="CA53" t="b">
        <f t="shared" si="102"/>
        <v>0</v>
      </c>
      <c r="CB53" t="b">
        <f t="shared" si="102"/>
        <v>0</v>
      </c>
      <c r="CC53" t="b">
        <f t="shared" si="102"/>
        <v>0</v>
      </c>
      <c r="CD53" t="b">
        <f t="shared" si="102"/>
        <v>0</v>
      </c>
      <c r="CE53" t="b">
        <f t="shared" si="102"/>
        <v>0</v>
      </c>
      <c r="CF53" t="b">
        <f t="shared" si="102"/>
        <v>0</v>
      </c>
      <c r="CG53" t="b">
        <f t="shared" si="102"/>
        <v>0</v>
      </c>
      <c r="CH53" t="b">
        <f t="shared" si="102"/>
        <v>0</v>
      </c>
      <c r="CI53" t="b">
        <f t="shared" si="102"/>
        <v>0</v>
      </c>
      <c r="CJ53" t="b">
        <f t="shared" si="103"/>
        <v>0</v>
      </c>
      <c r="CK53" t="b">
        <f t="shared" si="103"/>
        <v>0</v>
      </c>
      <c r="CL53" t="b">
        <f t="shared" si="103"/>
        <v>0</v>
      </c>
      <c r="CM53" t="b">
        <f t="shared" si="103"/>
        <v>0</v>
      </c>
      <c r="CN53" t="b">
        <f t="shared" si="103"/>
        <v>0</v>
      </c>
      <c r="CO53" t="b">
        <f t="shared" si="103"/>
        <v>0</v>
      </c>
      <c r="CP53" t="b">
        <f t="shared" si="103"/>
        <v>0</v>
      </c>
      <c r="CQ53" t="b">
        <f t="shared" si="103"/>
        <v>0</v>
      </c>
      <c r="CR53" t="b">
        <f t="shared" si="103"/>
        <v>0</v>
      </c>
      <c r="CS53" t="b">
        <f t="shared" si="103"/>
        <v>0</v>
      </c>
      <c r="CT53" t="b">
        <f t="shared" si="104"/>
        <v>0</v>
      </c>
      <c r="CU53" t="b">
        <f t="shared" si="104"/>
        <v>0</v>
      </c>
      <c r="CV53" t="b">
        <f t="shared" si="104"/>
        <v>0</v>
      </c>
      <c r="CW53" t="b">
        <f t="shared" si="104"/>
        <v>0</v>
      </c>
      <c r="CX53" t="b">
        <f t="shared" si="104"/>
        <v>0</v>
      </c>
      <c r="CY53" t="b">
        <f t="shared" si="104"/>
        <v>0</v>
      </c>
      <c r="CZ53" t="b">
        <f t="shared" si="104"/>
        <v>0</v>
      </c>
      <c r="DA53" t="b">
        <f t="shared" si="104"/>
        <v>0</v>
      </c>
      <c r="DB53" t="b">
        <f t="shared" si="104"/>
        <v>0</v>
      </c>
      <c r="DC53" t="b">
        <f t="shared" si="104"/>
        <v>0</v>
      </c>
      <c r="DD53" t="b">
        <f t="shared" si="105"/>
        <v>0</v>
      </c>
      <c r="DE53" t="b">
        <f t="shared" si="105"/>
        <v>0</v>
      </c>
      <c r="DF53" t="b">
        <f t="shared" si="105"/>
        <v>0</v>
      </c>
      <c r="DG53" t="b">
        <f t="shared" si="105"/>
        <v>0</v>
      </c>
      <c r="DH53" t="b">
        <f t="shared" si="105"/>
        <v>0</v>
      </c>
      <c r="DI53" t="b">
        <f t="shared" si="105"/>
        <v>0</v>
      </c>
      <c r="DJ53" t="b">
        <f t="shared" si="105"/>
        <v>0</v>
      </c>
      <c r="DK53" t="b">
        <f t="shared" si="105"/>
        <v>0</v>
      </c>
      <c r="DL53" t="b">
        <f t="shared" si="105"/>
        <v>0</v>
      </c>
      <c r="DM53" t="b">
        <f t="shared" si="105"/>
        <v>0</v>
      </c>
      <c r="DN53" t="b">
        <f t="shared" si="106"/>
        <v>0</v>
      </c>
      <c r="DO53" t="b">
        <f t="shared" si="106"/>
        <v>0</v>
      </c>
      <c r="DP53" t="b">
        <f t="shared" si="106"/>
        <v>0</v>
      </c>
      <c r="DQ53" t="b">
        <f t="shared" si="106"/>
        <v>0</v>
      </c>
      <c r="DR53" t="b">
        <f t="shared" si="106"/>
        <v>0</v>
      </c>
      <c r="DS53" t="b">
        <f t="shared" si="106"/>
        <v>0</v>
      </c>
      <c r="DT53" t="b">
        <f t="shared" si="106"/>
        <v>0</v>
      </c>
      <c r="DU53" t="b">
        <f t="shared" si="106"/>
        <v>0</v>
      </c>
      <c r="DV53" t="b">
        <f t="shared" si="106"/>
        <v>0</v>
      </c>
      <c r="DW53" t="b">
        <f t="shared" si="106"/>
        <v>0</v>
      </c>
      <c r="DX53" t="b">
        <f t="shared" si="107"/>
        <v>0</v>
      </c>
      <c r="DY53" t="b">
        <f t="shared" si="107"/>
        <v>0</v>
      </c>
      <c r="DZ53" t="b">
        <f t="shared" si="107"/>
        <v>0</v>
      </c>
      <c r="EA53" t="b">
        <f t="shared" si="107"/>
        <v>0</v>
      </c>
      <c r="EB53" t="b">
        <f t="shared" si="107"/>
        <v>0</v>
      </c>
      <c r="EC53" t="b">
        <f t="shared" si="107"/>
        <v>0</v>
      </c>
      <c r="ED53" t="b">
        <f t="shared" si="107"/>
        <v>0</v>
      </c>
      <c r="EE53" t="b">
        <f t="shared" si="107"/>
        <v>0</v>
      </c>
      <c r="EF53" t="b">
        <f t="shared" si="107"/>
        <v>0</v>
      </c>
      <c r="EG53" t="b">
        <f t="shared" si="107"/>
        <v>0</v>
      </c>
      <c r="EH53" t="b">
        <f t="shared" si="108"/>
        <v>0</v>
      </c>
      <c r="EI53" t="b">
        <f t="shared" si="108"/>
        <v>0</v>
      </c>
      <c r="EJ53" t="b">
        <f t="shared" si="108"/>
        <v>0</v>
      </c>
      <c r="EK53" t="b">
        <f t="shared" si="108"/>
        <v>0</v>
      </c>
      <c r="EL53" t="b">
        <f t="shared" si="108"/>
        <v>0</v>
      </c>
      <c r="EM53" t="b">
        <f t="shared" si="108"/>
        <v>0</v>
      </c>
      <c r="EN53" t="b">
        <f t="shared" si="108"/>
        <v>0</v>
      </c>
      <c r="EO53" t="b">
        <f t="shared" si="108"/>
        <v>0</v>
      </c>
      <c r="EP53" t="b">
        <f t="shared" si="108"/>
        <v>0</v>
      </c>
      <c r="EQ53" t="b">
        <f t="shared" si="108"/>
        <v>0</v>
      </c>
      <c r="ER53" t="b">
        <f t="shared" si="109"/>
        <v>0</v>
      </c>
      <c r="ES53" t="b">
        <f t="shared" si="109"/>
        <v>0</v>
      </c>
      <c r="ET53" t="b">
        <f t="shared" si="109"/>
        <v>0</v>
      </c>
      <c r="EU53" t="b">
        <f t="shared" si="109"/>
        <v>0</v>
      </c>
      <c r="EV53" t="b">
        <f t="shared" si="109"/>
        <v>0</v>
      </c>
      <c r="EW53" t="b">
        <f t="shared" si="109"/>
        <v>0</v>
      </c>
      <c r="EX53" t="b">
        <f t="shared" si="109"/>
        <v>0</v>
      </c>
      <c r="EY53" t="b">
        <f t="shared" si="109"/>
        <v>0</v>
      </c>
      <c r="EZ53" t="b">
        <f t="shared" si="109"/>
        <v>0</v>
      </c>
      <c r="FA53" t="b">
        <f t="shared" si="109"/>
        <v>0</v>
      </c>
      <c r="FB53" t="b">
        <f t="shared" si="110"/>
        <v>0</v>
      </c>
      <c r="FC53" t="b">
        <f t="shared" si="110"/>
        <v>0</v>
      </c>
      <c r="FD53" t="b">
        <f t="shared" si="110"/>
        <v>0</v>
      </c>
      <c r="FE53" t="b">
        <f t="shared" si="110"/>
        <v>0</v>
      </c>
      <c r="FF53" t="b">
        <f t="shared" si="110"/>
        <v>0</v>
      </c>
      <c r="FG53" t="b">
        <f t="shared" si="110"/>
        <v>0</v>
      </c>
      <c r="FH53" t="b">
        <f t="shared" si="110"/>
        <v>0</v>
      </c>
      <c r="FI53" t="b">
        <f t="shared" si="110"/>
        <v>0</v>
      </c>
      <c r="FJ53" t="b">
        <f t="shared" si="110"/>
        <v>0</v>
      </c>
      <c r="FK53" t="b">
        <f t="shared" si="110"/>
        <v>0</v>
      </c>
      <c r="FL53" t="b">
        <f t="shared" si="111"/>
        <v>0</v>
      </c>
      <c r="FM53" t="b">
        <f t="shared" si="111"/>
        <v>0</v>
      </c>
      <c r="FN53" t="b">
        <f t="shared" si="111"/>
        <v>0</v>
      </c>
      <c r="FO53" t="b">
        <f t="shared" si="111"/>
        <v>0</v>
      </c>
      <c r="FP53" t="b">
        <f t="shared" si="111"/>
        <v>1</v>
      </c>
      <c r="FQ53" t="b">
        <f t="shared" si="111"/>
        <v>0</v>
      </c>
      <c r="FR53" t="b">
        <f t="shared" si="111"/>
        <v>0</v>
      </c>
      <c r="FS53" t="b">
        <f t="shared" si="111"/>
        <v>0</v>
      </c>
      <c r="FT53" t="b">
        <f t="shared" si="111"/>
        <v>0</v>
      </c>
      <c r="FU53" t="b">
        <f t="shared" si="111"/>
        <v>0</v>
      </c>
      <c r="FV53" t="b">
        <f t="shared" si="112"/>
        <v>0</v>
      </c>
      <c r="FW53" t="b">
        <f t="shared" si="112"/>
        <v>0</v>
      </c>
      <c r="FX53" t="b">
        <f t="shared" si="112"/>
        <v>0</v>
      </c>
      <c r="FY53" t="b">
        <f t="shared" si="112"/>
        <v>0</v>
      </c>
      <c r="FZ53" t="b">
        <f t="shared" si="112"/>
        <v>0</v>
      </c>
      <c r="GA53" t="b">
        <f t="shared" si="112"/>
        <v>0</v>
      </c>
      <c r="GB53" t="b">
        <f t="shared" si="112"/>
        <v>0</v>
      </c>
      <c r="GC53" t="b">
        <f t="shared" si="112"/>
        <v>0</v>
      </c>
      <c r="GD53" t="b">
        <f t="shared" si="112"/>
        <v>0</v>
      </c>
      <c r="GE53" t="b">
        <f t="shared" si="112"/>
        <v>0</v>
      </c>
      <c r="GF53" t="b">
        <f t="shared" si="113"/>
        <v>0</v>
      </c>
      <c r="GG53" t="b">
        <f t="shared" si="113"/>
        <v>0</v>
      </c>
      <c r="GH53" t="b">
        <f t="shared" si="113"/>
        <v>0</v>
      </c>
      <c r="GI53" t="b">
        <f t="shared" si="113"/>
        <v>0</v>
      </c>
      <c r="GJ53" t="b">
        <f t="shared" si="113"/>
        <v>0</v>
      </c>
      <c r="GK53" t="b">
        <f t="shared" si="113"/>
        <v>0</v>
      </c>
      <c r="GL53" t="b">
        <f t="shared" si="113"/>
        <v>0</v>
      </c>
      <c r="GM53" t="b">
        <f t="shared" si="113"/>
        <v>0</v>
      </c>
      <c r="GN53" t="b">
        <f t="shared" si="113"/>
        <v>0</v>
      </c>
      <c r="GO53" t="b">
        <f t="shared" si="113"/>
        <v>0</v>
      </c>
      <c r="GP53" t="b">
        <f t="shared" si="114"/>
        <v>0</v>
      </c>
      <c r="GQ53" t="b">
        <f t="shared" si="114"/>
        <v>0</v>
      </c>
      <c r="GR53" t="b">
        <f t="shared" si="114"/>
        <v>0</v>
      </c>
      <c r="GS53" t="b">
        <f t="shared" si="114"/>
        <v>0</v>
      </c>
      <c r="GT53" t="b">
        <f t="shared" si="114"/>
        <v>0</v>
      </c>
      <c r="GU53" t="b">
        <f t="shared" si="114"/>
        <v>0</v>
      </c>
      <c r="GV53" t="b">
        <f t="shared" si="114"/>
        <v>0</v>
      </c>
      <c r="GW53" t="b">
        <f t="shared" si="114"/>
        <v>0</v>
      </c>
      <c r="GX53" t="b">
        <f t="shared" si="114"/>
        <v>0</v>
      </c>
      <c r="GY53" t="b">
        <f t="shared" si="114"/>
        <v>0</v>
      </c>
      <c r="GZ53" t="b">
        <f t="shared" si="114"/>
        <v>0</v>
      </c>
    </row>
    <row r="54" spans="1:208" hidden="1" x14ac:dyDescent="0.3">
      <c r="A54" t="s">
        <v>28</v>
      </c>
      <c r="B54" t="s">
        <v>37</v>
      </c>
      <c r="C54" t="s">
        <v>48</v>
      </c>
      <c r="D54" s="3">
        <v>4</v>
      </c>
      <c r="E54" s="3">
        <v>15</v>
      </c>
      <c r="F54" s="3">
        <v>53</v>
      </c>
      <c r="G54" s="3">
        <v>320</v>
      </c>
      <c r="H54" t="str">
        <f t="shared" si="19"/>
        <v>4-15</v>
      </c>
      <c r="I54" t="b">
        <v>1</v>
      </c>
      <c r="Q54" s="6">
        <v>54</v>
      </c>
      <c r="R54" t="b">
        <f t="shared" si="96"/>
        <v>0</v>
      </c>
      <c r="S54" t="b">
        <f t="shared" si="96"/>
        <v>0</v>
      </c>
      <c r="T54" t="b">
        <f t="shared" si="96"/>
        <v>0</v>
      </c>
      <c r="U54" t="b">
        <f t="shared" si="96"/>
        <v>0</v>
      </c>
      <c r="V54" t="b">
        <f t="shared" si="96"/>
        <v>0</v>
      </c>
      <c r="W54" t="b">
        <f t="shared" si="96"/>
        <v>0</v>
      </c>
      <c r="X54" t="b">
        <f t="shared" si="96"/>
        <v>0</v>
      </c>
      <c r="Y54" t="b">
        <f t="shared" si="96"/>
        <v>0</v>
      </c>
      <c r="Z54" t="b">
        <f t="shared" si="96"/>
        <v>0</v>
      </c>
      <c r="AA54" t="b">
        <f t="shared" si="96"/>
        <v>0</v>
      </c>
      <c r="AB54" t="b">
        <f t="shared" si="97"/>
        <v>0</v>
      </c>
      <c r="AC54" t="b">
        <f t="shared" si="97"/>
        <v>0</v>
      </c>
      <c r="AD54" t="b">
        <f t="shared" si="97"/>
        <v>0</v>
      </c>
      <c r="AE54" t="b">
        <f t="shared" si="97"/>
        <v>0</v>
      </c>
      <c r="AF54" t="b">
        <f t="shared" si="97"/>
        <v>0</v>
      </c>
      <c r="AG54" t="b">
        <f t="shared" si="97"/>
        <v>0</v>
      </c>
      <c r="AH54" t="b">
        <f t="shared" si="97"/>
        <v>0</v>
      </c>
      <c r="AI54" t="b">
        <f t="shared" si="97"/>
        <v>0</v>
      </c>
      <c r="AJ54" t="b">
        <f t="shared" si="97"/>
        <v>0</v>
      </c>
      <c r="AK54" t="b">
        <f t="shared" si="97"/>
        <v>0</v>
      </c>
      <c r="AL54" t="b">
        <f t="shared" si="98"/>
        <v>0</v>
      </c>
      <c r="AM54" t="b">
        <f t="shared" si="98"/>
        <v>0</v>
      </c>
      <c r="AN54" t="b">
        <f t="shared" si="98"/>
        <v>0</v>
      </c>
      <c r="AO54" t="b">
        <f t="shared" si="98"/>
        <v>0</v>
      </c>
      <c r="AP54" t="b">
        <f t="shared" si="98"/>
        <v>0</v>
      </c>
      <c r="AQ54" t="b">
        <f t="shared" si="98"/>
        <v>0</v>
      </c>
      <c r="AR54" t="b">
        <f t="shared" si="98"/>
        <v>0</v>
      </c>
      <c r="AS54" t="b">
        <f t="shared" si="98"/>
        <v>0</v>
      </c>
      <c r="AT54" t="b">
        <f t="shared" si="98"/>
        <v>0</v>
      </c>
      <c r="AU54" t="b">
        <f t="shared" si="98"/>
        <v>0</v>
      </c>
      <c r="AV54" t="b">
        <f t="shared" si="99"/>
        <v>0</v>
      </c>
      <c r="AW54" t="b">
        <f t="shared" si="99"/>
        <v>0</v>
      </c>
      <c r="AX54" t="b">
        <f t="shared" si="99"/>
        <v>0</v>
      </c>
      <c r="AY54" t="b">
        <f t="shared" si="99"/>
        <v>0</v>
      </c>
      <c r="AZ54" t="b">
        <f t="shared" si="99"/>
        <v>0</v>
      </c>
      <c r="BA54" t="b">
        <f t="shared" si="99"/>
        <v>0</v>
      </c>
      <c r="BB54" t="b">
        <f t="shared" si="99"/>
        <v>0</v>
      </c>
      <c r="BC54" t="b">
        <f t="shared" si="99"/>
        <v>0</v>
      </c>
      <c r="BD54" t="b">
        <f t="shared" si="99"/>
        <v>0</v>
      </c>
      <c r="BE54" t="b">
        <f t="shared" si="99"/>
        <v>0</v>
      </c>
      <c r="BF54" t="b">
        <f t="shared" si="100"/>
        <v>0</v>
      </c>
      <c r="BG54" t="b">
        <f t="shared" si="100"/>
        <v>0</v>
      </c>
      <c r="BH54" t="b">
        <f t="shared" si="100"/>
        <v>0</v>
      </c>
      <c r="BI54" t="b">
        <f t="shared" si="100"/>
        <v>0</v>
      </c>
      <c r="BJ54" t="b">
        <f t="shared" si="100"/>
        <v>0</v>
      </c>
      <c r="BK54" t="b">
        <f t="shared" si="100"/>
        <v>0</v>
      </c>
      <c r="BL54" t="b">
        <f t="shared" si="100"/>
        <v>0</v>
      </c>
      <c r="BM54" t="b">
        <f t="shared" si="100"/>
        <v>0</v>
      </c>
      <c r="BN54" t="b">
        <f t="shared" si="100"/>
        <v>0</v>
      </c>
      <c r="BO54" t="b">
        <f t="shared" si="100"/>
        <v>0</v>
      </c>
      <c r="BP54" t="b">
        <f t="shared" si="101"/>
        <v>0</v>
      </c>
      <c r="BQ54" t="b">
        <f t="shared" si="101"/>
        <v>0</v>
      </c>
      <c r="BR54" t="b">
        <f t="shared" si="101"/>
        <v>0</v>
      </c>
      <c r="BS54" t="b">
        <f t="shared" si="101"/>
        <v>0</v>
      </c>
      <c r="BT54" t="b">
        <f t="shared" si="101"/>
        <v>0</v>
      </c>
      <c r="BU54" t="b">
        <f t="shared" si="101"/>
        <v>0</v>
      </c>
      <c r="BV54" t="b">
        <f t="shared" si="101"/>
        <v>0</v>
      </c>
      <c r="BW54" t="b">
        <f t="shared" si="101"/>
        <v>0</v>
      </c>
      <c r="BX54" t="b">
        <f t="shared" si="101"/>
        <v>0</v>
      </c>
      <c r="BY54" t="b">
        <f t="shared" si="101"/>
        <v>0</v>
      </c>
      <c r="BZ54" t="b">
        <f t="shared" si="102"/>
        <v>0</v>
      </c>
      <c r="CA54" t="b">
        <f t="shared" si="102"/>
        <v>0</v>
      </c>
      <c r="CB54" t="b">
        <f t="shared" si="102"/>
        <v>0</v>
      </c>
      <c r="CC54" t="b">
        <f t="shared" si="102"/>
        <v>0</v>
      </c>
      <c r="CD54" t="b">
        <f t="shared" si="102"/>
        <v>0</v>
      </c>
      <c r="CE54" t="b">
        <f t="shared" si="102"/>
        <v>0</v>
      </c>
      <c r="CF54" t="b">
        <f t="shared" si="102"/>
        <v>0</v>
      </c>
      <c r="CG54" t="b">
        <f t="shared" si="102"/>
        <v>0</v>
      </c>
      <c r="CH54" t="b">
        <f t="shared" si="102"/>
        <v>0</v>
      </c>
      <c r="CI54" t="b">
        <f t="shared" si="102"/>
        <v>0</v>
      </c>
      <c r="CJ54" t="b">
        <f t="shared" si="103"/>
        <v>0</v>
      </c>
      <c r="CK54" t="b">
        <f t="shared" si="103"/>
        <v>0</v>
      </c>
      <c r="CL54" t="b">
        <f t="shared" si="103"/>
        <v>0</v>
      </c>
      <c r="CM54" t="b">
        <f t="shared" si="103"/>
        <v>0</v>
      </c>
      <c r="CN54" t="b">
        <f t="shared" si="103"/>
        <v>0</v>
      </c>
      <c r="CO54" t="b">
        <f t="shared" si="103"/>
        <v>0</v>
      </c>
      <c r="CP54" t="b">
        <f t="shared" si="103"/>
        <v>0</v>
      </c>
      <c r="CQ54" t="b">
        <f t="shared" si="103"/>
        <v>0</v>
      </c>
      <c r="CR54" t="b">
        <f t="shared" si="103"/>
        <v>0</v>
      </c>
      <c r="CS54" t="b">
        <f t="shared" si="103"/>
        <v>0</v>
      </c>
      <c r="CT54" t="b">
        <f t="shared" si="104"/>
        <v>0</v>
      </c>
      <c r="CU54" t="b">
        <f t="shared" si="104"/>
        <v>0</v>
      </c>
      <c r="CV54" t="b">
        <f t="shared" si="104"/>
        <v>0</v>
      </c>
      <c r="CW54" t="b">
        <f t="shared" si="104"/>
        <v>0</v>
      </c>
      <c r="CX54" t="b">
        <f t="shared" si="104"/>
        <v>0</v>
      </c>
      <c r="CY54" t="b">
        <f t="shared" si="104"/>
        <v>0</v>
      </c>
      <c r="CZ54" t="b">
        <f t="shared" si="104"/>
        <v>0</v>
      </c>
      <c r="DA54" t="b">
        <f t="shared" si="104"/>
        <v>0</v>
      </c>
      <c r="DB54" t="b">
        <f t="shared" si="104"/>
        <v>0</v>
      </c>
      <c r="DC54" t="b">
        <f t="shared" si="104"/>
        <v>0</v>
      </c>
      <c r="DD54" t="b">
        <f t="shared" si="105"/>
        <v>0</v>
      </c>
      <c r="DE54" t="b">
        <f t="shared" si="105"/>
        <v>0</v>
      </c>
      <c r="DF54" t="b">
        <f t="shared" si="105"/>
        <v>0</v>
      </c>
      <c r="DG54" t="b">
        <f t="shared" si="105"/>
        <v>0</v>
      </c>
      <c r="DH54" t="b">
        <f t="shared" si="105"/>
        <v>0</v>
      </c>
      <c r="DI54" t="b">
        <f t="shared" si="105"/>
        <v>0</v>
      </c>
      <c r="DJ54" t="b">
        <f t="shared" si="105"/>
        <v>0</v>
      </c>
      <c r="DK54" t="b">
        <f t="shared" si="105"/>
        <v>0</v>
      </c>
      <c r="DL54" t="b">
        <f t="shared" si="105"/>
        <v>0</v>
      </c>
      <c r="DM54" t="b">
        <f t="shared" si="105"/>
        <v>0</v>
      </c>
      <c r="DN54" t="b">
        <f t="shared" si="106"/>
        <v>0</v>
      </c>
      <c r="DO54" t="b">
        <f t="shared" si="106"/>
        <v>0</v>
      </c>
      <c r="DP54" t="b">
        <f t="shared" si="106"/>
        <v>0</v>
      </c>
      <c r="DQ54" t="b">
        <f t="shared" si="106"/>
        <v>0</v>
      </c>
      <c r="DR54" t="b">
        <f t="shared" si="106"/>
        <v>0</v>
      </c>
      <c r="DS54" t="b">
        <f t="shared" si="106"/>
        <v>0</v>
      </c>
      <c r="DT54" t="b">
        <f t="shared" si="106"/>
        <v>0</v>
      </c>
      <c r="DU54" t="b">
        <f t="shared" si="106"/>
        <v>0</v>
      </c>
      <c r="DV54" t="b">
        <f t="shared" si="106"/>
        <v>0</v>
      </c>
      <c r="DW54" t="b">
        <f t="shared" si="106"/>
        <v>0</v>
      </c>
      <c r="DX54" t="b">
        <f t="shared" si="107"/>
        <v>0</v>
      </c>
      <c r="DY54" t="b">
        <f t="shared" si="107"/>
        <v>0</v>
      </c>
      <c r="DZ54" t="b">
        <f t="shared" si="107"/>
        <v>0</v>
      </c>
      <c r="EA54" t="b">
        <f t="shared" si="107"/>
        <v>0</v>
      </c>
      <c r="EB54" t="b">
        <f t="shared" si="107"/>
        <v>0</v>
      </c>
      <c r="EC54" t="b">
        <f t="shared" si="107"/>
        <v>0</v>
      </c>
      <c r="ED54" t="b">
        <f t="shared" si="107"/>
        <v>0</v>
      </c>
      <c r="EE54" t="b">
        <f t="shared" si="107"/>
        <v>0</v>
      </c>
      <c r="EF54" t="b">
        <f t="shared" si="107"/>
        <v>0</v>
      </c>
      <c r="EG54" t="b">
        <f t="shared" si="107"/>
        <v>0</v>
      </c>
      <c r="EH54" t="b">
        <f t="shared" si="108"/>
        <v>0</v>
      </c>
      <c r="EI54" t="b">
        <f t="shared" si="108"/>
        <v>0</v>
      </c>
      <c r="EJ54" t="b">
        <f t="shared" si="108"/>
        <v>0</v>
      </c>
      <c r="EK54" t="b">
        <f t="shared" si="108"/>
        <v>0</v>
      </c>
      <c r="EL54" t="b">
        <f t="shared" si="108"/>
        <v>0</v>
      </c>
      <c r="EM54" t="b">
        <f t="shared" si="108"/>
        <v>0</v>
      </c>
      <c r="EN54" t="b">
        <f t="shared" si="108"/>
        <v>0</v>
      </c>
      <c r="EO54" t="b">
        <f t="shared" si="108"/>
        <v>0</v>
      </c>
      <c r="EP54" t="b">
        <f t="shared" si="108"/>
        <v>0</v>
      </c>
      <c r="EQ54" t="b">
        <f t="shared" si="108"/>
        <v>0</v>
      </c>
      <c r="ER54" t="b">
        <f t="shared" si="109"/>
        <v>0</v>
      </c>
      <c r="ES54" t="b">
        <f t="shared" si="109"/>
        <v>0</v>
      </c>
      <c r="ET54" t="b">
        <f t="shared" si="109"/>
        <v>0</v>
      </c>
      <c r="EU54" t="b">
        <f t="shared" si="109"/>
        <v>0</v>
      </c>
      <c r="EV54" t="b">
        <f t="shared" si="109"/>
        <v>0</v>
      </c>
      <c r="EW54" t="b">
        <f t="shared" si="109"/>
        <v>0</v>
      </c>
      <c r="EX54" t="b">
        <f t="shared" si="109"/>
        <v>0</v>
      </c>
      <c r="EY54" t="b">
        <f t="shared" si="109"/>
        <v>0</v>
      </c>
      <c r="EZ54" t="b">
        <f t="shared" si="109"/>
        <v>0</v>
      </c>
      <c r="FA54" t="b">
        <f t="shared" si="109"/>
        <v>0</v>
      </c>
      <c r="FB54" t="b">
        <f t="shared" si="110"/>
        <v>0</v>
      </c>
      <c r="FC54" t="b">
        <f t="shared" si="110"/>
        <v>0</v>
      </c>
      <c r="FD54" t="b">
        <f t="shared" si="110"/>
        <v>0</v>
      </c>
      <c r="FE54" t="b">
        <f t="shared" si="110"/>
        <v>0</v>
      </c>
      <c r="FF54" t="b">
        <f t="shared" si="110"/>
        <v>0</v>
      </c>
      <c r="FG54" t="b">
        <f t="shared" si="110"/>
        <v>0</v>
      </c>
      <c r="FH54" t="b">
        <f t="shared" si="110"/>
        <v>0</v>
      </c>
      <c r="FI54" t="b">
        <f t="shared" si="110"/>
        <v>0</v>
      </c>
      <c r="FJ54" t="b">
        <f t="shared" si="110"/>
        <v>0</v>
      </c>
      <c r="FK54" t="b">
        <f t="shared" si="110"/>
        <v>0</v>
      </c>
      <c r="FL54" t="b">
        <f t="shared" si="111"/>
        <v>0</v>
      </c>
      <c r="FM54" t="b">
        <f t="shared" si="111"/>
        <v>0</v>
      </c>
      <c r="FN54" t="b">
        <f t="shared" si="111"/>
        <v>0</v>
      </c>
      <c r="FO54" t="b">
        <f t="shared" si="111"/>
        <v>0</v>
      </c>
      <c r="FP54" t="b">
        <f t="shared" si="111"/>
        <v>0</v>
      </c>
      <c r="FQ54" t="b">
        <f t="shared" si="111"/>
        <v>0</v>
      </c>
      <c r="FR54" t="b">
        <f t="shared" si="111"/>
        <v>0</v>
      </c>
      <c r="FS54" t="b">
        <f t="shared" si="111"/>
        <v>0</v>
      </c>
      <c r="FT54" t="b">
        <f t="shared" si="111"/>
        <v>0</v>
      </c>
      <c r="FU54" t="b">
        <f t="shared" si="111"/>
        <v>0</v>
      </c>
      <c r="FV54" t="b">
        <f t="shared" si="112"/>
        <v>0</v>
      </c>
      <c r="FW54" t="b">
        <f t="shared" si="112"/>
        <v>0</v>
      </c>
      <c r="FX54" t="b">
        <f t="shared" si="112"/>
        <v>0</v>
      </c>
      <c r="FY54" t="b">
        <f t="shared" si="112"/>
        <v>0</v>
      </c>
      <c r="FZ54" t="b">
        <f t="shared" si="112"/>
        <v>0</v>
      </c>
      <c r="GA54" t="b">
        <f t="shared" si="112"/>
        <v>0</v>
      </c>
      <c r="GB54" t="b">
        <f t="shared" si="112"/>
        <v>0</v>
      </c>
      <c r="GC54" t="b">
        <f t="shared" si="112"/>
        <v>0</v>
      </c>
      <c r="GD54" t="b">
        <f t="shared" si="112"/>
        <v>0</v>
      </c>
      <c r="GE54" t="b">
        <f t="shared" si="112"/>
        <v>0</v>
      </c>
      <c r="GF54" t="b">
        <f t="shared" si="113"/>
        <v>0</v>
      </c>
      <c r="GG54" t="b">
        <f t="shared" si="113"/>
        <v>0</v>
      </c>
      <c r="GH54" t="b">
        <f t="shared" si="113"/>
        <v>0</v>
      </c>
      <c r="GI54" t="b">
        <f t="shared" si="113"/>
        <v>0</v>
      </c>
      <c r="GJ54" t="b">
        <f t="shared" si="113"/>
        <v>0</v>
      </c>
      <c r="GK54" t="b">
        <f t="shared" si="113"/>
        <v>0</v>
      </c>
      <c r="GL54" t="b">
        <f t="shared" si="113"/>
        <v>0</v>
      </c>
      <c r="GM54" t="b">
        <f t="shared" si="113"/>
        <v>1</v>
      </c>
      <c r="GN54" t="b">
        <f t="shared" si="113"/>
        <v>0</v>
      </c>
      <c r="GO54" t="b">
        <f t="shared" si="113"/>
        <v>0</v>
      </c>
      <c r="GP54" t="b">
        <f t="shared" si="114"/>
        <v>0</v>
      </c>
      <c r="GQ54" t="b">
        <f t="shared" si="114"/>
        <v>0</v>
      </c>
      <c r="GR54" t="b">
        <f t="shared" si="114"/>
        <v>0</v>
      </c>
      <c r="GS54" t="b">
        <f t="shared" si="114"/>
        <v>0</v>
      </c>
      <c r="GT54" t="b">
        <f t="shared" si="114"/>
        <v>0</v>
      </c>
      <c r="GU54" t="b">
        <f t="shared" si="114"/>
        <v>0</v>
      </c>
      <c r="GV54" t="b">
        <f t="shared" si="114"/>
        <v>0</v>
      </c>
      <c r="GW54" t="b">
        <f t="shared" si="114"/>
        <v>0</v>
      </c>
      <c r="GX54" t="b">
        <f t="shared" si="114"/>
        <v>0</v>
      </c>
      <c r="GY54" t="b">
        <f t="shared" si="114"/>
        <v>0</v>
      </c>
      <c r="GZ54" t="b">
        <f t="shared" si="114"/>
        <v>0</v>
      </c>
    </row>
    <row r="55" spans="1:208" hidden="1" x14ac:dyDescent="0.3">
      <c r="A55" t="s">
        <v>28</v>
      </c>
      <c r="B55" t="s">
        <v>37</v>
      </c>
      <c r="C55" t="s">
        <v>49</v>
      </c>
      <c r="D55" s="3">
        <v>4</v>
      </c>
      <c r="E55" s="3">
        <v>15</v>
      </c>
      <c r="F55" s="3">
        <v>54</v>
      </c>
      <c r="G55" s="3">
        <v>40</v>
      </c>
      <c r="H55" t="str">
        <f t="shared" si="19"/>
        <v>4-15</v>
      </c>
      <c r="I55" t="b">
        <v>1</v>
      </c>
      <c r="Q55" s="6">
        <v>55</v>
      </c>
      <c r="R55" t="b">
        <f t="shared" si="96"/>
        <v>0</v>
      </c>
      <c r="S55" t="b">
        <f t="shared" si="96"/>
        <v>0</v>
      </c>
      <c r="T55" t="b">
        <f t="shared" si="96"/>
        <v>0</v>
      </c>
      <c r="U55" t="b">
        <f t="shared" si="96"/>
        <v>0</v>
      </c>
      <c r="V55" t="b">
        <f t="shared" si="96"/>
        <v>0</v>
      </c>
      <c r="W55" t="b">
        <f t="shared" si="96"/>
        <v>0</v>
      </c>
      <c r="X55" t="b">
        <f t="shared" si="96"/>
        <v>0</v>
      </c>
      <c r="Y55" t="b">
        <f t="shared" si="96"/>
        <v>0</v>
      </c>
      <c r="Z55" t="b">
        <f t="shared" si="96"/>
        <v>0</v>
      </c>
      <c r="AA55" t="b">
        <f t="shared" si="96"/>
        <v>0</v>
      </c>
      <c r="AB55" t="b">
        <f t="shared" si="97"/>
        <v>0</v>
      </c>
      <c r="AC55" t="b">
        <f t="shared" si="97"/>
        <v>0</v>
      </c>
      <c r="AD55" t="b">
        <f t="shared" si="97"/>
        <v>0</v>
      </c>
      <c r="AE55" t="b">
        <f t="shared" si="97"/>
        <v>0</v>
      </c>
      <c r="AF55" t="b">
        <f t="shared" si="97"/>
        <v>0</v>
      </c>
      <c r="AG55" t="b">
        <f t="shared" si="97"/>
        <v>0</v>
      </c>
      <c r="AH55" t="b">
        <f t="shared" si="97"/>
        <v>0</v>
      </c>
      <c r="AI55" t="b">
        <f t="shared" si="97"/>
        <v>0</v>
      </c>
      <c r="AJ55" t="b">
        <f t="shared" si="97"/>
        <v>0</v>
      </c>
      <c r="AK55" t="b">
        <f t="shared" si="97"/>
        <v>0</v>
      </c>
      <c r="AL55" t="b">
        <f t="shared" si="98"/>
        <v>0</v>
      </c>
      <c r="AM55" t="b">
        <f t="shared" si="98"/>
        <v>0</v>
      </c>
      <c r="AN55" t="b">
        <f t="shared" si="98"/>
        <v>0</v>
      </c>
      <c r="AO55" t="b">
        <f t="shared" si="98"/>
        <v>0</v>
      </c>
      <c r="AP55" t="b">
        <f t="shared" si="98"/>
        <v>0</v>
      </c>
      <c r="AQ55" t="b">
        <f t="shared" si="98"/>
        <v>0</v>
      </c>
      <c r="AR55" t="b">
        <f t="shared" si="98"/>
        <v>0</v>
      </c>
      <c r="AS55" t="b">
        <f t="shared" si="98"/>
        <v>0</v>
      </c>
      <c r="AT55" t="b">
        <f t="shared" si="98"/>
        <v>0</v>
      </c>
      <c r="AU55" t="b">
        <f t="shared" si="98"/>
        <v>0</v>
      </c>
      <c r="AV55" t="b">
        <f t="shared" si="99"/>
        <v>0</v>
      </c>
      <c r="AW55" t="b">
        <f t="shared" si="99"/>
        <v>0</v>
      </c>
      <c r="AX55" t="b">
        <f t="shared" si="99"/>
        <v>0</v>
      </c>
      <c r="AY55" t="b">
        <f t="shared" si="99"/>
        <v>0</v>
      </c>
      <c r="AZ55" t="b">
        <f t="shared" si="99"/>
        <v>0</v>
      </c>
      <c r="BA55" t="b">
        <f t="shared" si="99"/>
        <v>0</v>
      </c>
      <c r="BB55" t="b">
        <f t="shared" si="99"/>
        <v>0</v>
      </c>
      <c r="BC55" t="b">
        <f t="shared" si="99"/>
        <v>0</v>
      </c>
      <c r="BD55" t="b">
        <f t="shared" si="99"/>
        <v>0</v>
      </c>
      <c r="BE55" t="b">
        <f t="shared" si="99"/>
        <v>0</v>
      </c>
      <c r="BF55" t="b">
        <f t="shared" si="100"/>
        <v>0</v>
      </c>
      <c r="BG55" t="b">
        <f t="shared" si="100"/>
        <v>0</v>
      </c>
      <c r="BH55" t="b">
        <f t="shared" si="100"/>
        <v>0</v>
      </c>
      <c r="BI55" t="b">
        <f t="shared" si="100"/>
        <v>0</v>
      </c>
      <c r="BJ55" t="b">
        <f t="shared" si="100"/>
        <v>0</v>
      </c>
      <c r="BK55" t="b">
        <f t="shared" si="100"/>
        <v>0</v>
      </c>
      <c r="BL55" t="b">
        <f t="shared" si="100"/>
        <v>0</v>
      </c>
      <c r="BM55" t="b">
        <f t="shared" si="100"/>
        <v>0</v>
      </c>
      <c r="BN55" t="b">
        <f t="shared" si="100"/>
        <v>0</v>
      </c>
      <c r="BO55" t="b">
        <f t="shared" si="100"/>
        <v>0</v>
      </c>
      <c r="BP55" t="b">
        <f t="shared" si="101"/>
        <v>0</v>
      </c>
      <c r="BQ55" t="b">
        <f t="shared" si="101"/>
        <v>0</v>
      </c>
      <c r="BR55" t="b">
        <f t="shared" si="101"/>
        <v>0</v>
      </c>
      <c r="BS55" t="b">
        <f t="shared" si="101"/>
        <v>0</v>
      </c>
      <c r="BT55" t="b">
        <f t="shared" si="101"/>
        <v>0</v>
      </c>
      <c r="BU55" t="b">
        <f t="shared" si="101"/>
        <v>0</v>
      </c>
      <c r="BV55" t="b">
        <f t="shared" si="101"/>
        <v>0</v>
      </c>
      <c r="BW55" t="b">
        <f t="shared" si="101"/>
        <v>0</v>
      </c>
      <c r="BX55" t="b">
        <f t="shared" si="101"/>
        <v>0</v>
      </c>
      <c r="BY55" t="b">
        <f t="shared" si="101"/>
        <v>0</v>
      </c>
      <c r="BZ55" t="b">
        <f t="shared" si="102"/>
        <v>0</v>
      </c>
      <c r="CA55" t="b">
        <f t="shared" si="102"/>
        <v>0</v>
      </c>
      <c r="CB55" t="b">
        <f t="shared" si="102"/>
        <v>0</v>
      </c>
      <c r="CC55" t="b">
        <f t="shared" si="102"/>
        <v>0</v>
      </c>
      <c r="CD55" t="b">
        <f t="shared" si="102"/>
        <v>0</v>
      </c>
      <c r="CE55" t="b">
        <f t="shared" si="102"/>
        <v>0</v>
      </c>
      <c r="CF55" t="b">
        <f t="shared" si="102"/>
        <v>0</v>
      </c>
      <c r="CG55" t="b">
        <f t="shared" si="102"/>
        <v>0</v>
      </c>
      <c r="CH55" t="b">
        <f t="shared" si="102"/>
        <v>0</v>
      </c>
      <c r="CI55" t="b">
        <f t="shared" si="102"/>
        <v>0</v>
      </c>
      <c r="CJ55" t="b">
        <f t="shared" si="103"/>
        <v>0</v>
      </c>
      <c r="CK55" t="b">
        <f t="shared" si="103"/>
        <v>0</v>
      </c>
      <c r="CL55" t="b">
        <f t="shared" si="103"/>
        <v>0</v>
      </c>
      <c r="CM55" t="b">
        <f t="shared" si="103"/>
        <v>0</v>
      </c>
      <c r="CN55" t="b">
        <f t="shared" si="103"/>
        <v>0</v>
      </c>
      <c r="CO55" t="b">
        <f t="shared" si="103"/>
        <v>0</v>
      </c>
      <c r="CP55" t="b">
        <f t="shared" si="103"/>
        <v>0</v>
      </c>
      <c r="CQ55" t="b">
        <f t="shared" si="103"/>
        <v>0</v>
      </c>
      <c r="CR55" t="b">
        <f t="shared" si="103"/>
        <v>0</v>
      </c>
      <c r="CS55" t="b">
        <f t="shared" si="103"/>
        <v>0</v>
      </c>
      <c r="CT55" t="b">
        <f t="shared" si="104"/>
        <v>0</v>
      </c>
      <c r="CU55" t="b">
        <f t="shared" si="104"/>
        <v>0</v>
      </c>
      <c r="CV55" t="b">
        <f t="shared" si="104"/>
        <v>0</v>
      </c>
      <c r="CW55" t="b">
        <f t="shared" si="104"/>
        <v>0</v>
      </c>
      <c r="CX55" t="b">
        <f t="shared" si="104"/>
        <v>0</v>
      </c>
      <c r="CY55" t="b">
        <f t="shared" si="104"/>
        <v>0</v>
      </c>
      <c r="CZ55" t="b">
        <f t="shared" si="104"/>
        <v>0</v>
      </c>
      <c r="DA55" t="b">
        <f t="shared" si="104"/>
        <v>0</v>
      </c>
      <c r="DB55" t="b">
        <f t="shared" si="104"/>
        <v>0</v>
      </c>
      <c r="DC55" t="b">
        <f t="shared" si="104"/>
        <v>0</v>
      </c>
      <c r="DD55" t="b">
        <f t="shared" si="105"/>
        <v>0</v>
      </c>
      <c r="DE55" t="b">
        <f t="shared" si="105"/>
        <v>0</v>
      </c>
      <c r="DF55" t="b">
        <f t="shared" si="105"/>
        <v>0</v>
      </c>
      <c r="DG55" t="b">
        <f t="shared" si="105"/>
        <v>0</v>
      </c>
      <c r="DH55" t="b">
        <f t="shared" si="105"/>
        <v>0</v>
      </c>
      <c r="DI55" t="b">
        <f t="shared" si="105"/>
        <v>0</v>
      </c>
      <c r="DJ55" t="b">
        <f t="shared" si="105"/>
        <v>0</v>
      </c>
      <c r="DK55" t="b">
        <f t="shared" si="105"/>
        <v>0</v>
      </c>
      <c r="DL55" t="b">
        <f t="shared" si="105"/>
        <v>0</v>
      </c>
      <c r="DM55" t="b">
        <f t="shared" si="105"/>
        <v>0</v>
      </c>
      <c r="DN55" t="b">
        <f t="shared" si="106"/>
        <v>0</v>
      </c>
      <c r="DO55" t="b">
        <f t="shared" si="106"/>
        <v>0</v>
      </c>
      <c r="DP55" t="b">
        <f t="shared" si="106"/>
        <v>0</v>
      </c>
      <c r="DQ55" t="b">
        <f t="shared" si="106"/>
        <v>0</v>
      </c>
      <c r="DR55" t="b">
        <f t="shared" si="106"/>
        <v>0</v>
      </c>
      <c r="DS55" t="b">
        <f t="shared" si="106"/>
        <v>0</v>
      </c>
      <c r="DT55" t="b">
        <f t="shared" si="106"/>
        <v>0</v>
      </c>
      <c r="DU55" t="b">
        <f t="shared" si="106"/>
        <v>0</v>
      </c>
      <c r="DV55" t="b">
        <f t="shared" si="106"/>
        <v>0</v>
      </c>
      <c r="DW55" t="b">
        <f t="shared" si="106"/>
        <v>0</v>
      </c>
      <c r="DX55" t="b">
        <f t="shared" si="107"/>
        <v>0</v>
      </c>
      <c r="DY55" t="b">
        <f t="shared" si="107"/>
        <v>0</v>
      </c>
      <c r="DZ55" t="b">
        <f t="shared" si="107"/>
        <v>0</v>
      </c>
      <c r="EA55" t="b">
        <f t="shared" si="107"/>
        <v>0</v>
      </c>
      <c r="EB55" t="b">
        <f t="shared" si="107"/>
        <v>0</v>
      </c>
      <c r="EC55" t="b">
        <f t="shared" si="107"/>
        <v>0</v>
      </c>
      <c r="ED55" t="b">
        <f t="shared" si="107"/>
        <v>0</v>
      </c>
      <c r="EE55" t="b">
        <f t="shared" si="107"/>
        <v>0</v>
      </c>
      <c r="EF55" t="b">
        <f t="shared" si="107"/>
        <v>0</v>
      </c>
      <c r="EG55" t="b">
        <f t="shared" si="107"/>
        <v>0</v>
      </c>
      <c r="EH55" t="b">
        <f t="shared" si="108"/>
        <v>0</v>
      </c>
      <c r="EI55" t="b">
        <f t="shared" si="108"/>
        <v>0</v>
      </c>
      <c r="EJ55" t="b">
        <f t="shared" si="108"/>
        <v>0</v>
      </c>
      <c r="EK55" t="b">
        <f t="shared" si="108"/>
        <v>0</v>
      </c>
      <c r="EL55" t="b">
        <f t="shared" si="108"/>
        <v>0</v>
      </c>
      <c r="EM55" t="b">
        <f t="shared" si="108"/>
        <v>0</v>
      </c>
      <c r="EN55" t="b">
        <f t="shared" si="108"/>
        <v>0</v>
      </c>
      <c r="EO55" t="b">
        <f t="shared" si="108"/>
        <v>0</v>
      </c>
      <c r="EP55" t="b">
        <f t="shared" si="108"/>
        <v>0</v>
      </c>
      <c r="EQ55" t="b">
        <f t="shared" si="108"/>
        <v>0</v>
      </c>
      <c r="ER55" t="b">
        <f t="shared" si="109"/>
        <v>0</v>
      </c>
      <c r="ES55" t="b">
        <f t="shared" si="109"/>
        <v>0</v>
      </c>
      <c r="ET55" t="b">
        <f t="shared" si="109"/>
        <v>0</v>
      </c>
      <c r="EU55" t="b">
        <f t="shared" si="109"/>
        <v>0</v>
      </c>
      <c r="EV55" t="b">
        <f t="shared" si="109"/>
        <v>0</v>
      </c>
      <c r="EW55" t="b">
        <f t="shared" si="109"/>
        <v>0</v>
      </c>
      <c r="EX55" t="b">
        <f t="shared" si="109"/>
        <v>0</v>
      </c>
      <c r="EY55" t="b">
        <f t="shared" si="109"/>
        <v>0</v>
      </c>
      <c r="EZ55" t="b">
        <f t="shared" si="109"/>
        <v>0</v>
      </c>
      <c r="FA55" t="b">
        <f t="shared" si="109"/>
        <v>0</v>
      </c>
      <c r="FB55" t="b">
        <f t="shared" si="110"/>
        <v>0</v>
      </c>
      <c r="FC55" t="b">
        <f t="shared" si="110"/>
        <v>0</v>
      </c>
      <c r="FD55" t="b">
        <f t="shared" si="110"/>
        <v>0</v>
      </c>
      <c r="FE55" t="b">
        <f t="shared" si="110"/>
        <v>0</v>
      </c>
      <c r="FF55" t="b">
        <f t="shared" si="110"/>
        <v>0</v>
      </c>
      <c r="FG55" t="b">
        <f t="shared" si="110"/>
        <v>0</v>
      </c>
      <c r="FH55" t="b">
        <f t="shared" si="110"/>
        <v>0</v>
      </c>
      <c r="FI55" t="b">
        <f t="shared" si="110"/>
        <v>0</v>
      </c>
      <c r="FJ55" t="b">
        <f t="shared" si="110"/>
        <v>0</v>
      </c>
      <c r="FK55" t="b">
        <f t="shared" si="110"/>
        <v>0</v>
      </c>
      <c r="FL55" t="b">
        <f t="shared" si="111"/>
        <v>0</v>
      </c>
      <c r="FM55" t="b">
        <f t="shared" si="111"/>
        <v>0</v>
      </c>
      <c r="FN55" t="b">
        <f t="shared" si="111"/>
        <v>0</v>
      </c>
      <c r="FO55" t="b">
        <f t="shared" si="111"/>
        <v>0</v>
      </c>
      <c r="FP55" t="b">
        <f t="shared" si="111"/>
        <v>0</v>
      </c>
      <c r="FQ55" t="b">
        <f t="shared" si="111"/>
        <v>0</v>
      </c>
      <c r="FR55" t="b">
        <f t="shared" si="111"/>
        <v>0</v>
      </c>
      <c r="FS55" t="b">
        <f t="shared" si="111"/>
        <v>0</v>
      </c>
      <c r="FT55" t="b">
        <f t="shared" si="111"/>
        <v>0</v>
      </c>
      <c r="FU55" t="b">
        <f t="shared" si="111"/>
        <v>0</v>
      </c>
      <c r="FV55" t="b">
        <f t="shared" si="112"/>
        <v>0</v>
      </c>
      <c r="FW55" t="b">
        <f t="shared" si="112"/>
        <v>0</v>
      </c>
      <c r="FX55" t="b">
        <f t="shared" si="112"/>
        <v>0</v>
      </c>
      <c r="FY55" t="b">
        <f t="shared" si="112"/>
        <v>0</v>
      </c>
      <c r="FZ55" t="b">
        <f t="shared" si="112"/>
        <v>0</v>
      </c>
      <c r="GA55" t="b">
        <f t="shared" si="112"/>
        <v>0</v>
      </c>
      <c r="GB55" t="b">
        <f t="shared" si="112"/>
        <v>0</v>
      </c>
      <c r="GC55" t="b">
        <f t="shared" si="112"/>
        <v>0</v>
      </c>
      <c r="GD55" t="b">
        <f t="shared" si="112"/>
        <v>0</v>
      </c>
      <c r="GE55" t="b">
        <f t="shared" si="112"/>
        <v>0</v>
      </c>
      <c r="GF55" t="b">
        <f t="shared" si="113"/>
        <v>0</v>
      </c>
      <c r="GG55" t="b">
        <f t="shared" si="113"/>
        <v>0</v>
      </c>
      <c r="GH55" t="b">
        <f t="shared" si="113"/>
        <v>0</v>
      </c>
      <c r="GI55" t="b">
        <f t="shared" si="113"/>
        <v>0</v>
      </c>
      <c r="GJ55" t="b">
        <f t="shared" si="113"/>
        <v>0</v>
      </c>
      <c r="GK55" t="b">
        <f t="shared" si="113"/>
        <v>0</v>
      </c>
      <c r="GL55" t="b">
        <f t="shared" si="113"/>
        <v>0</v>
      </c>
      <c r="GM55" t="b">
        <f t="shared" si="113"/>
        <v>0</v>
      </c>
      <c r="GN55" t="b">
        <f t="shared" si="113"/>
        <v>0</v>
      </c>
      <c r="GO55" t="b">
        <f t="shared" si="113"/>
        <v>0</v>
      </c>
      <c r="GP55" t="b">
        <f t="shared" si="114"/>
        <v>1</v>
      </c>
      <c r="GQ55" t="b">
        <f t="shared" si="114"/>
        <v>0</v>
      </c>
      <c r="GR55" t="b">
        <f t="shared" si="114"/>
        <v>0</v>
      </c>
      <c r="GS55" t="b">
        <f t="shared" si="114"/>
        <v>0</v>
      </c>
      <c r="GT55" t="b">
        <f t="shared" si="114"/>
        <v>0</v>
      </c>
      <c r="GU55" t="b">
        <f t="shared" si="114"/>
        <v>0</v>
      </c>
      <c r="GV55" t="b">
        <f t="shared" si="114"/>
        <v>0</v>
      </c>
      <c r="GW55" t="b">
        <f t="shared" si="114"/>
        <v>0</v>
      </c>
      <c r="GX55" t="b">
        <f t="shared" si="114"/>
        <v>0</v>
      </c>
      <c r="GY55" t="b">
        <f t="shared" si="114"/>
        <v>0</v>
      </c>
      <c r="GZ55" t="b">
        <f t="shared" si="114"/>
        <v>0</v>
      </c>
    </row>
    <row r="56" spans="1:208" hidden="1" x14ac:dyDescent="0.3">
      <c r="A56" t="s">
        <v>28</v>
      </c>
      <c r="B56" t="s">
        <v>37</v>
      </c>
      <c r="C56" t="s">
        <v>50</v>
      </c>
      <c r="D56" s="3">
        <v>4</v>
      </c>
      <c r="E56" s="3">
        <v>15</v>
      </c>
      <c r="F56" s="3">
        <v>55</v>
      </c>
      <c r="G56" s="3">
        <v>1580</v>
      </c>
      <c r="H56" t="str">
        <f t="shared" si="19"/>
        <v>4-15</v>
      </c>
      <c r="I56" t="b">
        <v>1</v>
      </c>
      <c r="Q56" s="6">
        <v>56</v>
      </c>
      <c r="R56" t="b">
        <f t="shared" si="96"/>
        <v>0</v>
      </c>
      <c r="S56" t="b">
        <f t="shared" si="96"/>
        <v>0</v>
      </c>
      <c r="T56" t="b">
        <f t="shared" si="96"/>
        <v>0</v>
      </c>
      <c r="U56" t="b">
        <f t="shared" si="96"/>
        <v>0</v>
      </c>
      <c r="V56" t="b">
        <f t="shared" si="96"/>
        <v>0</v>
      </c>
      <c r="W56" t="b">
        <f t="shared" si="96"/>
        <v>0</v>
      </c>
      <c r="X56" t="b">
        <f t="shared" si="96"/>
        <v>0</v>
      </c>
      <c r="Y56" t="b">
        <f t="shared" si="96"/>
        <v>0</v>
      </c>
      <c r="Z56" t="b">
        <f t="shared" si="96"/>
        <v>0</v>
      </c>
      <c r="AA56" t="b">
        <f t="shared" si="96"/>
        <v>0</v>
      </c>
      <c r="AB56" t="b">
        <f t="shared" si="97"/>
        <v>0</v>
      </c>
      <c r="AC56" t="b">
        <f t="shared" si="97"/>
        <v>1</v>
      </c>
      <c r="AD56" t="b">
        <f t="shared" si="97"/>
        <v>0</v>
      </c>
      <c r="AE56" t="b">
        <f t="shared" si="97"/>
        <v>0</v>
      </c>
      <c r="AF56" t="b">
        <f t="shared" si="97"/>
        <v>0</v>
      </c>
      <c r="AG56" t="b">
        <f t="shared" si="97"/>
        <v>0</v>
      </c>
      <c r="AH56" t="b">
        <f t="shared" si="97"/>
        <v>0</v>
      </c>
      <c r="AI56" t="b">
        <f t="shared" si="97"/>
        <v>0</v>
      </c>
      <c r="AJ56" t="b">
        <f t="shared" si="97"/>
        <v>0</v>
      </c>
      <c r="AK56" t="b">
        <f t="shared" si="97"/>
        <v>0</v>
      </c>
      <c r="AL56" t="b">
        <f t="shared" si="98"/>
        <v>0</v>
      </c>
      <c r="AM56" t="b">
        <f t="shared" si="98"/>
        <v>0</v>
      </c>
      <c r="AN56" t="b">
        <f t="shared" si="98"/>
        <v>0</v>
      </c>
      <c r="AO56" t="b">
        <f t="shared" si="98"/>
        <v>0</v>
      </c>
      <c r="AP56" t="b">
        <f t="shared" si="98"/>
        <v>0</v>
      </c>
      <c r="AQ56" t="b">
        <f t="shared" si="98"/>
        <v>0</v>
      </c>
      <c r="AR56" t="b">
        <f t="shared" si="98"/>
        <v>0</v>
      </c>
      <c r="AS56" t="b">
        <f t="shared" si="98"/>
        <v>0</v>
      </c>
      <c r="AT56" t="b">
        <f t="shared" si="98"/>
        <v>0</v>
      </c>
      <c r="AU56" t="b">
        <f t="shared" si="98"/>
        <v>0</v>
      </c>
      <c r="AV56" t="b">
        <f t="shared" si="99"/>
        <v>0</v>
      </c>
      <c r="AW56" t="b">
        <f t="shared" si="99"/>
        <v>0</v>
      </c>
      <c r="AX56" t="b">
        <f t="shared" si="99"/>
        <v>0</v>
      </c>
      <c r="AY56" t="b">
        <f t="shared" si="99"/>
        <v>0</v>
      </c>
      <c r="AZ56" t="b">
        <f t="shared" si="99"/>
        <v>0</v>
      </c>
      <c r="BA56" t="b">
        <f t="shared" si="99"/>
        <v>0</v>
      </c>
      <c r="BB56" t="b">
        <f t="shared" si="99"/>
        <v>0</v>
      </c>
      <c r="BC56" t="b">
        <f t="shared" si="99"/>
        <v>0</v>
      </c>
      <c r="BD56" t="b">
        <f t="shared" si="99"/>
        <v>0</v>
      </c>
      <c r="BE56" t="b">
        <f t="shared" si="99"/>
        <v>0</v>
      </c>
      <c r="BF56" t="b">
        <f t="shared" si="100"/>
        <v>0</v>
      </c>
      <c r="BG56" t="b">
        <f t="shared" si="100"/>
        <v>0</v>
      </c>
      <c r="BH56" t="b">
        <f t="shared" si="100"/>
        <v>0</v>
      </c>
      <c r="BI56" t="b">
        <f t="shared" si="100"/>
        <v>0</v>
      </c>
      <c r="BJ56" t="b">
        <f t="shared" si="100"/>
        <v>0</v>
      </c>
      <c r="BK56" t="b">
        <f t="shared" si="100"/>
        <v>0</v>
      </c>
      <c r="BL56" t="b">
        <f t="shared" si="100"/>
        <v>0</v>
      </c>
      <c r="BM56" t="b">
        <f t="shared" si="100"/>
        <v>0</v>
      </c>
      <c r="BN56" t="b">
        <f t="shared" si="100"/>
        <v>0</v>
      </c>
      <c r="BO56" t="b">
        <f t="shared" si="100"/>
        <v>0</v>
      </c>
      <c r="BP56" t="b">
        <f t="shared" si="101"/>
        <v>0</v>
      </c>
      <c r="BQ56" t="b">
        <f t="shared" si="101"/>
        <v>0</v>
      </c>
      <c r="BR56" t="b">
        <f t="shared" si="101"/>
        <v>0</v>
      </c>
      <c r="BS56" t="b">
        <f t="shared" si="101"/>
        <v>0</v>
      </c>
      <c r="BT56" t="b">
        <f t="shared" si="101"/>
        <v>0</v>
      </c>
      <c r="BU56" t="b">
        <f t="shared" si="101"/>
        <v>0</v>
      </c>
      <c r="BV56" t="b">
        <f t="shared" si="101"/>
        <v>0</v>
      </c>
      <c r="BW56" t="b">
        <f t="shared" si="101"/>
        <v>0</v>
      </c>
      <c r="BX56" t="b">
        <f t="shared" si="101"/>
        <v>0</v>
      </c>
      <c r="BY56" t="b">
        <f t="shared" si="101"/>
        <v>0</v>
      </c>
      <c r="BZ56" t="b">
        <f t="shared" si="102"/>
        <v>0</v>
      </c>
      <c r="CA56" t="b">
        <f t="shared" si="102"/>
        <v>0</v>
      </c>
      <c r="CB56" t="b">
        <f t="shared" si="102"/>
        <v>0</v>
      </c>
      <c r="CC56" t="b">
        <f t="shared" si="102"/>
        <v>0</v>
      </c>
      <c r="CD56" t="b">
        <f t="shared" si="102"/>
        <v>0</v>
      </c>
      <c r="CE56" t="b">
        <f t="shared" si="102"/>
        <v>0</v>
      </c>
      <c r="CF56" t="b">
        <f t="shared" si="102"/>
        <v>0</v>
      </c>
      <c r="CG56" t="b">
        <f t="shared" si="102"/>
        <v>0</v>
      </c>
      <c r="CH56" t="b">
        <f t="shared" si="102"/>
        <v>0</v>
      </c>
      <c r="CI56" t="b">
        <f t="shared" si="102"/>
        <v>0</v>
      </c>
      <c r="CJ56" t="b">
        <f t="shared" si="103"/>
        <v>0</v>
      </c>
      <c r="CK56" t="b">
        <f t="shared" si="103"/>
        <v>0</v>
      </c>
      <c r="CL56" t="b">
        <f t="shared" si="103"/>
        <v>0</v>
      </c>
      <c r="CM56" t="b">
        <f t="shared" si="103"/>
        <v>0</v>
      </c>
      <c r="CN56" t="b">
        <f t="shared" si="103"/>
        <v>0</v>
      </c>
      <c r="CO56" t="b">
        <f t="shared" si="103"/>
        <v>0</v>
      </c>
      <c r="CP56" t="b">
        <f t="shared" si="103"/>
        <v>0</v>
      </c>
      <c r="CQ56" t="b">
        <f t="shared" si="103"/>
        <v>0</v>
      </c>
      <c r="CR56" t="b">
        <f t="shared" si="103"/>
        <v>0</v>
      </c>
      <c r="CS56" t="b">
        <f t="shared" si="103"/>
        <v>0</v>
      </c>
      <c r="CT56" t="b">
        <f t="shared" si="104"/>
        <v>1</v>
      </c>
      <c r="CU56" t="b">
        <f t="shared" si="104"/>
        <v>0</v>
      </c>
      <c r="CV56" t="b">
        <f t="shared" si="104"/>
        <v>0</v>
      </c>
      <c r="CW56" t="b">
        <f t="shared" si="104"/>
        <v>0</v>
      </c>
      <c r="CX56" t="b">
        <f t="shared" si="104"/>
        <v>0</v>
      </c>
      <c r="CY56" t="b">
        <f t="shared" si="104"/>
        <v>0</v>
      </c>
      <c r="CZ56" t="b">
        <f t="shared" si="104"/>
        <v>0</v>
      </c>
      <c r="DA56" t="b">
        <f t="shared" si="104"/>
        <v>0</v>
      </c>
      <c r="DB56" t="b">
        <f t="shared" si="104"/>
        <v>0</v>
      </c>
      <c r="DC56" t="b">
        <f t="shared" si="104"/>
        <v>0</v>
      </c>
      <c r="DD56" t="b">
        <f t="shared" si="105"/>
        <v>0</v>
      </c>
      <c r="DE56" t="b">
        <f t="shared" si="105"/>
        <v>0</v>
      </c>
      <c r="DF56" t="b">
        <f t="shared" si="105"/>
        <v>0</v>
      </c>
      <c r="DG56" t="b">
        <f t="shared" si="105"/>
        <v>0</v>
      </c>
      <c r="DH56" t="b">
        <f t="shared" si="105"/>
        <v>0</v>
      </c>
      <c r="DI56" t="b">
        <f t="shared" si="105"/>
        <v>0</v>
      </c>
      <c r="DJ56" t="b">
        <f t="shared" si="105"/>
        <v>0</v>
      </c>
      <c r="DK56" t="b">
        <f t="shared" si="105"/>
        <v>0</v>
      </c>
      <c r="DL56" t="b">
        <f t="shared" si="105"/>
        <v>0</v>
      </c>
      <c r="DM56" t="b">
        <f t="shared" si="105"/>
        <v>0</v>
      </c>
      <c r="DN56" t="b">
        <f t="shared" si="106"/>
        <v>0</v>
      </c>
      <c r="DO56" t="b">
        <f t="shared" si="106"/>
        <v>0</v>
      </c>
      <c r="DP56" t="b">
        <f t="shared" si="106"/>
        <v>0</v>
      </c>
      <c r="DQ56" t="b">
        <f t="shared" si="106"/>
        <v>0</v>
      </c>
      <c r="DR56" t="b">
        <f t="shared" si="106"/>
        <v>0</v>
      </c>
      <c r="DS56" t="b">
        <f t="shared" si="106"/>
        <v>0</v>
      </c>
      <c r="DT56" t="b">
        <f t="shared" si="106"/>
        <v>0</v>
      </c>
      <c r="DU56" t="b">
        <f t="shared" si="106"/>
        <v>0</v>
      </c>
      <c r="DV56" t="b">
        <f t="shared" si="106"/>
        <v>0</v>
      </c>
      <c r="DW56" t="b">
        <f t="shared" si="106"/>
        <v>0</v>
      </c>
      <c r="DX56" t="b">
        <f t="shared" si="107"/>
        <v>0</v>
      </c>
      <c r="DY56" t="b">
        <f t="shared" si="107"/>
        <v>0</v>
      </c>
      <c r="DZ56" t="b">
        <f t="shared" si="107"/>
        <v>0</v>
      </c>
      <c r="EA56" t="b">
        <f t="shared" si="107"/>
        <v>0</v>
      </c>
      <c r="EB56" t="b">
        <f t="shared" si="107"/>
        <v>0</v>
      </c>
      <c r="EC56" t="b">
        <f t="shared" si="107"/>
        <v>0</v>
      </c>
      <c r="ED56" t="b">
        <f t="shared" si="107"/>
        <v>0</v>
      </c>
      <c r="EE56" t="b">
        <f t="shared" si="107"/>
        <v>0</v>
      </c>
      <c r="EF56" t="b">
        <f t="shared" si="107"/>
        <v>0</v>
      </c>
      <c r="EG56" t="b">
        <f t="shared" si="107"/>
        <v>0</v>
      </c>
      <c r="EH56" t="b">
        <f t="shared" si="108"/>
        <v>0</v>
      </c>
      <c r="EI56" t="b">
        <f t="shared" si="108"/>
        <v>0</v>
      </c>
      <c r="EJ56" t="b">
        <f t="shared" si="108"/>
        <v>0</v>
      </c>
      <c r="EK56" t="b">
        <f t="shared" si="108"/>
        <v>0</v>
      </c>
      <c r="EL56" t="b">
        <f t="shared" si="108"/>
        <v>0</v>
      </c>
      <c r="EM56" t="b">
        <f t="shared" si="108"/>
        <v>0</v>
      </c>
      <c r="EN56" t="b">
        <f t="shared" si="108"/>
        <v>0</v>
      </c>
      <c r="EO56" t="b">
        <f t="shared" si="108"/>
        <v>0</v>
      </c>
      <c r="EP56" t="b">
        <f t="shared" si="108"/>
        <v>0</v>
      </c>
      <c r="EQ56" t="b">
        <f t="shared" si="108"/>
        <v>0</v>
      </c>
      <c r="ER56" t="b">
        <f t="shared" si="109"/>
        <v>0</v>
      </c>
      <c r="ES56" t="b">
        <f t="shared" si="109"/>
        <v>0</v>
      </c>
      <c r="ET56" t="b">
        <f t="shared" si="109"/>
        <v>0</v>
      </c>
      <c r="EU56" t="b">
        <f t="shared" si="109"/>
        <v>0</v>
      </c>
      <c r="EV56" t="b">
        <f t="shared" si="109"/>
        <v>0</v>
      </c>
      <c r="EW56" t="b">
        <f t="shared" si="109"/>
        <v>0</v>
      </c>
      <c r="EX56" t="b">
        <f t="shared" si="109"/>
        <v>0</v>
      </c>
      <c r="EY56" t="b">
        <f t="shared" si="109"/>
        <v>0</v>
      </c>
      <c r="EZ56" t="b">
        <f t="shared" si="109"/>
        <v>0</v>
      </c>
      <c r="FA56" t="b">
        <f t="shared" si="109"/>
        <v>0</v>
      </c>
      <c r="FB56" t="b">
        <f t="shared" si="110"/>
        <v>0</v>
      </c>
      <c r="FC56" t="b">
        <f t="shared" si="110"/>
        <v>0</v>
      </c>
      <c r="FD56" t="b">
        <f t="shared" si="110"/>
        <v>0</v>
      </c>
      <c r="FE56" t="b">
        <f t="shared" si="110"/>
        <v>0</v>
      </c>
      <c r="FF56" t="b">
        <f t="shared" si="110"/>
        <v>0</v>
      </c>
      <c r="FG56" t="b">
        <f t="shared" si="110"/>
        <v>0</v>
      </c>
      <c r="FH56" t="b">
        <f t="shared" si="110"/>
        <v>0</v>
      </c>
      <c r="FI56" t="b">
        <f t="shared" si="110"/>
        <v>0</v>
      </c>
      <c r="FJ56" t="b">
        <f t="shared" si="110"/>
        <v>0</v>
      </c>
      <c r="FK56" t="b">
        <f t="shared" si="110"/>
        <v>0</v>
      </c>
      <c r="FL56" t="b">
        <f t="shared" si="111"/>
        <v>0</v>
      </c>
      <c r="FM56" t="b">
        <f t="shared" si="111"/>
        <v>0</v>
      </c>
      <c r="FN56" t="b">
        <f t="shared" si="111"/>
        <v>0</v>
      </c>
      <c r="FO56" t="b">
        <f t="shared" si="111"/>
        <v>0</v>
      </c>
      <c r="FP56" t="b">
        <f t="shared" si="111"/>
        <v>0</v>
      </c>
      <c r="FQ56" t="b">
        <f t="shared" si="111"/>
        <v>0</v>
      </c>
      <c r="FR56" t="b">
        <f t="shared" si="111"/>
        <v>0</v>
      </c>
      <c r="FS56" t="b">
        <f t="shared" si="111"/>
        <v>0</v>
      </c>
      <c r="FT56" t="b">
        <f t="shared" si="111"/>
        <v>0</v>
      </c>
      <c r="FU56" t="b">
        <f t="shared" si="111"/>
        <v>0</v>
      </c>
      <c r="FV56" t="b">
        <f t="shared" si="112"/>
        <v>0</v>
      </c>
      <c r="FW56" t="b">
        <f t="shared" si="112"/>
        <v>0</v>
      </c>
      <c r="FX56" t="b">
        <f t="shared" si="112"/>
        <v>0</v>
      </c>
      <c r="FY56" t="b">
        <f t="shared" si="112"/>
        <v>0</v>
      </c>
      <c r="FZ56" t="b">
        <f t="shared" si="112"/>
        <v>0</v>
      </c>
      <c r="GA56" t="b">
        <f t="shared" si="112"/>
        <v>0</v>
      </c>
      <c r="GB56" t="b">
        <f t="shared" si="112"/>
        <v>0</v>
      </c>
      <c r="GC56" t="b">
        <f t="shared" si="112"/>
        <v>0</v>
      </c>
      <c r="GD56" t="b">
        <f t="shared" si="112"/>
        <v>0</v>
      </c>
      <c r="GE56" t="b">
        <f t="shared" si="112"/>
        <v>0</v>
      </c>
      <c r="GF56" t="b">
        <f t="shared" si="113"/>
        <v>0</v>
      </c>
      <c r="GG56" t="b">
        <f t="shared" si="113"/>
        <v>0</v>
      </c>
      <c r="GH56" t="b">
        <f t="shared" si="113"/>
        <v>0</v>
      </c>
      <c r="GI56" t="b">
        <f t="shared" si="113"/>
        <v>0</v>
      </c>
      <c r="GJ56" t="b">
        <f t="shared" si="113"/>
        <v>0</v>
      </c>
      <c r="GK56" t="b">
        <f t="shared" si="113"/>
        <v>0</v>
      </c>
      <c r="GL56" t="b">
        <f t="shared" si="113"/>
        <v>0</v>
      </c>
      <c r="GM56" t="b">
        <f t="shared" si="113"/>
        <v>0</v>
      </c>
      <c r="GN56" t="b">
        <f t="shared" si="113"/>
        <v>0</v>
      </c>
      <c r="GO56" t="b">
        <f t="shared" si="113"/>
        <v>0</v>
      </c>
      <c r="GP56" t="b">
        <f t="shared" si="114"/>
        <v>0</v>
      </c>
      <c r="GQ56" t="b">
        <f t="shared" si="114"/>
        <v>0</v>
      </c>
      <c r="GR56" t="b">
        <f t="shared" si="114"/>
        <v>0</v>
      </c>
      <c r="GS56" t="b">
        <f t="shared" si="114"/>
        <v>0</v>
      </c>
      <c r="GT56" t="b">
        <f t="shared" si="114"/>
        <v>0</v>
      </c>
      <c r="GU56" t="b">
        <f t="shared" si="114"/>
        <v>0</v>
      </c>
      <c r="GV56" t="b">
        <f t="shared" si="114"/>
        <v>0</v>
      </c>
      <c r="GW56" t="b">
        <f t="shared" si="114"/>
        <v>0</v>
      </c>
      <c r="GX56" t="b">
        <f t="shared" si="114"/>
        <v>0</v>
      </c>
      <c r="GY56" t="b">
        <f t="shared" si="114"/>
        <v>0</v>
      </c>
      <c r="GZ56" t="b">
        <f t="shared" si="114"/>
        <v>0</v>
      </c>
    </row>
    <row r="57" spans="1:208" hidden="1" x14ac:dyDescent="0.3">
      <c r="A57" t="s">
        <v>28</v>
      </c>
      <c r="B57" t="s">
        <v>37</v>
      </c>
      <c r="C57" t="s">
        <v>51</v>
      </c>
      <c r="D57" s="3">
        <v>4</v>
      </c>
      <c r="E57" s="3">
        <v>15</v>
      </c>
      <c r="F57" s="3">
        <v>56</v>
      </c>
      <c r="G57" s="3">
        <v>30</v>
      </c>
      <c r="H57" t="str">
        <f t="shared" si="19"/>
        <v>4-15</v>
      </c>
      <c r="I57" t="b">
        <v>1</v>
      </c>
      <c r="Q57" s="6">
        <v>57</v>
      </c>
      <c r="R57" t="b">
        <f t="shared" si="96"/>
        <v>0</v>
      </c>
      <c r="S57" t="b">
        <f t="shared" si="96"/>
        <v>0</v>
      </c>
      <c r="T57" t="b">
        <f t="shared" si="96"/>
        <v>0</v>
      </c>
      <c r="U57" t="b">
        <f t="shared" si="96"/>
        <v>0</v>
      </c>
      <c r="V57" t="b">
        <f t="shared" si="96"/>
        <v>0</v>
      </c>
      <c r="W57" t="b">
        <f t="shared" si="96"/>
        <v>0</v>
      </c>
      <c r="X57" t="b">
        <f t="shared" si="96"/>
        <v>0</v>
      </c>
      <c r="Y57" t="b">
        <f t="shared" si="96"/>
        <v>0</v>
      </c>
      <c r="Z57" t="b">
        <f t="shared" si="96"/>
        <v>0</v>
      </c>
      <c r="AA57" t="b">
        <f t="shared" si="96"/>
        <v>0</v>
      </c>
      <c r="AB57" t="b">
        <f t="shared" si="97"/>
        <v>0</v>
      </c>
      <c r="AC57" t="b">
        <f t="shared" si="97"/>
        <v>0</v>
      </c>
      <c r="AD57" t="b">
        <f t="shared" si="97"/>
        <v>0</v>
      </c>
      <c r="AE57" t="b">
        <f t="shared" si="97"/>
        <v>0</v>
      </c>
      <c r="AF57" t="b">
        <f t="shared" si="97"/>
        <v>0</v>
      </c>
      <c r="AG57" t="b">
        <f t="shared" si="97"/>
        <v>0</v>
      </c>
      <c r="AH57" t="b">
        <f t="shared" si="97"/>
        <v>0</v>
      </c>
      <c r="AI57" t="b">
        <f t="shared" si="97"/>
        <v>0</v>
      </c>
      <c r="AJ57" t="b">
        <f t="shared" si="97"/>
        <v>0</v>
      </c>
      <c r="AK57" t="b">
        <f t="shared" si="97"/>
        <v>0</v>
      </c>
      <c r="AL57" t="b">
        <f t="shared" si="98"/>
        <v>0</v>
      </c>
      <c r="AM57" t="b">
        <f t="shared" si="98"/>
        <v>0</v>
      </c>
      <c r="AN57" t="b">
        <f t="shared" si="98"/>
        <v>0</v>
      </c>
      <c r="AO57" t="b">
        <f t="shared" si="98"/>
        <v>0</v>
      </c>
      <c r="AP57" t="b">
        <f t="shared" si="98"/>
        <v>0</v>
      </c>
      <c r="AQ57" t="b">
        <f t="shared" si="98"/>
        <v>0</v>
      </c>
      <c r="AR57" t="b">
        <f t="shared" si="98"/>
        <v>0</v>
      </c>
      <c r="AS57" t="b">
        <f t="shared" si="98"/>
        <v>0</v>
      </c>
      <c r="AT57" t="b">
        <f t="shared" si="98"/>
        <v>0</v>
      </c>
      <c r="AU57" t="b">
        <f t="shared" si="98"/>
        <v>0</v>
      </c>
      <c r="AV57" t="b">
        <f t="shared" si="99"/>
        <v>0</v>
      </c>
      <c r="AW57" t="b">
        <f t="shared" si="99"/>
        <v>0</v>
      </c>
      <c r="AX57" t="b">
        <f t="shared" si="99"/>
        <v>0</v>
      </c>
      <c r="AY57" t="b">
        <f t="shared" si="99"/>
        <v>0</v>
      </c>
      <c r="AZ57" t="b">
        <f t="shared" si="99"/>
        <v>0</v>
      </c>
      <c r="BA57" t="b">
        <f t="shared" si="99"/>
        <v>0</v>
      </c>
      <c r="BB57" t="b">
        <f t="shared" si="99"/>
        <v>0</v>
      </c>
      <c r="BC57" t="b">
        <f t="shared" si="99"/>
        <v>0</v>
      </c>
      <c r="BD57" t="b">
        <f t="shared" si="99"/>
        <v>0</v>
      </c>
      <c r="BE57" t="b">
        <f t="shared" si="99"/>
        <v>0</v>
      </c>
      <c r="BF57" t="b">
        <f t="shared" si="100"/>
        <v>0</v>
      </c>
      <c r="BG57" t="b">
        <f t="shared" si="100"/>
        <v>0</v>
      </c>
      <c r="BH57" t="b">
        <f t="shared" si="100"/>
        <v>0</v>
      </c>
      <c r="BI57" t="b">
        <f t="shared" si="100"/>
        <v>0</v>
      </c>
      <c r="BJ57" t="b">
        <f t="shared" si="100"/>
        <v>0</v>
      </c>
      <c r="BK57" t="b">
        <f t="shared" si="100"/>
        <v>0</v>
      </c>
      <c r="BL57" t="b">
        <f t="shared" si="100"/>
        <v>0</v>
      </c>
      <c r="BM57" t="b">
        <f t="shared" si="100"/>
        <v>0</v>
      </c>
      <c r="BN57" t="b">
        <f t="shared" si="100"/>
        <v>0</v>
      </c>
      <c r="BO57" t="b">
        <f t="shared" si="100"/>
        <v>0</v>
      </c>
      <c r="BP57" t="b">
        <f t="shared" si="101"/>
        <v>0</v>
      </c>
      <c r="BQ57" t="b">
        <f t="shared" si="101"/>
        <v>0</v>
      </c>
      <c r="BR57" t="b">
        <f t="shared" si="101"/>
        <v>0</v>
      </c>
      <c r="BS57" t="b">
        <f t="shared" si="101"/>
        <v>0</v>
      </c>
      <c r="BT57" t="b">
        <f t="shared" si="101"/>
        <v>0</v>
      </c>
      <c r="BU57" t="b">
        <f t="shared" si="101"/>
        <v>0</v>
      </c>
      <c r="BV57" t="b">
        <f t="shared" si="101"/>
        <v>0</v>
      </c>
      <c r="BW57" t="b">
        <f t="shared" si="101"/>
        <v>0</v>
      </c>
      <c r="BX57" t="b">
        <f t="shared" si="101"/>
        <v>0</v>
      </c>
      <c r="BY57" t="b">
        <f t="shared" si="101"/>
        <v>0</v>
      </c>
      <c r="BZ57" t="b">
        <f t="shared" si="102"/>
        <v>0</v>
      </c>
      <c r="CA57" t="b">
        <f t="shared" si="102"/>
        <v>0</v>
      </c>
      <c r="CB57" t="b">
        <f t="shared" si="102"/>
        <v>0</v>
      </c>
      <c r="CC57" t="b">
        <f t="shared" si="102"/>
        <v>0</v>
      </c>
      <c r="CD57" t="b">
        <f t="shared" si="102"/>
        <v>0</v>
      </c>
      <c r="CE57" t="b">
        <f t="shared" si="102"/>
        <v>0</v>
      </c>
      <c r="CF57" t="b">
        <f t="shared" si="102"/>
        <v>0</v>
      </c>
      <c r="CG57" t="b">
        <f t="shared" si="102"/>
        <v>0</v>
      </c>
      <c r="CH57" t="b">
        <f t="shared" si="102"/>
        <v>0</v>
      </c>
      <c r="CI57" t="b">
        <f t="shared" si="102"/>
        <v>0</v>
      </c>
      <c r="CJ57" t="b">
        <f t="shared" si="103"/>
        <v>0</v>
      </c>
      <c r="CK57" t="b">
        <f t="shared" si="103"/>
        <v>0</v>
      </c>
      <c r="CL57" t="b">
        <f t="shared" si="103"/>
        <v>0</v>
      </c>
      <c r="CM57" t="b">
        <f t="shared" si="103"/>
        <v>0</v>
      </c>
      <c r="CN57" t="b">
        <f t="shared" si="103"/>
        <v>0</v>
      </c>
      <c r="CO57" t="b">
        <f t="shared" si="103"/>
        <v>0</v>
      </c>
      <c r="CP57" t="b">
        <f t="shared" si="103"/>
        <v>0</v>
      </c>
      <c r="CQ57" t="b">
        <f t="shared" si="103"/>
        <v>0</v>
      </c>
      <c r="CR57" t="b">
        <f t="shared" si="103"/>
        <v>0</v>
      </c>
      <c r="CS57" t="b">
        <f t="shared" si="103"/>
        <v>0</v>
      </c>
      <c r="CT57" t="b">
        <f t="shared" si="104"/>
        <v>0</v>
      </c>
      <c r="CU57" t="b">
        <f t="shared" si="104"/>
        <v>0</v>
      </c>
      <c r="CV57" t="b">
        <f t="shared" si="104"/>
        <v>0</v>
      </c>
      <c r="CW57" t="b">
        <f t="shared" si="104"/>
        <v>0</v>
      </c>
      <c r="CX57" t="b">
        <f t="shared" si="104"/>
        <v>0</v>
      </c>
      <c r="CY57" t="b">
        <f t="shared" si="104"/>
        <v>0</v>
      </c>
      <c r="CZ57" t="b">
        <f t="shared" si="104"/>
        <v>0</v>
      </c>
      <c r="DA57" t="b">
        <f t="shared" si="104"/>
        <v>0</v>
      </c>
      <c r="DB57" t="b">
        <f t="shared" si="104"/>
        <v>0</v>
      </c>
      <c r="DC57" t="b">
        <f t="shared" si="104"/>
        <v>0</v>
      </c>
      <c r="DD57" t="b">
        <f t="shared" si="105"/>
        <v>0</v>
      </c>
      <c r="DE57" t="b">
        <f t="shared" si="105"/>
        <v>1</v>
      </c>
      <c r="DF57" t="b">
        <f t="shared" si="105"/>
        <v>0</v>
      </c>
      <c r="DG57" t="b">
        <f t="shared" si="105"/>
        <v>0</v>
      </c>
      <c r="DH57" t="b">
        <f t="shared" si="105"/>
        <v>0</v>
      </c>
      <c r="DI57" t="b">
        <f t="shared" si="105"/>
        <v>0</v>
      </c>
      <c r="DJ57" t="b">
        <f t="shared" si="105"/>
        <v>0</v>
      </c>
      <c r="DK57" t="b">
        <f t="shared" si="105"/>
        <v>0</v>
      </c>
      <c r="DL57" t="b">
        <f t="shared" si="105"/>
        <v>0</v>
      </c>
      <c r="DM57" t="b">
        <f t="shared" si="105"/>
        <v>0</v>
      </c>
      <c r="DN57" t="b">
        <f t="shared" si="106"/>
        <v>0</v>
      </c>
      <c r="DO57" t="b">
        <f t="shared" si="106"/>
        <v>0</v>
      </c>
      <c r="DP57" t="b">
        <f t="shared" si="106"/>
        <v>0</v>
      </c>
      <c r="DQ57" t="b">
        <f t="shared" si="106"/>
        <v>0</v>
      </c>
      <c r="DR57" t="b">
        <f t="shared" si="106"/>
        <v>0</v>
      </c>
      <c r="DS57" t="b">
        <f t="shared" si="106"/>
        <v>0</v>
      </c>
      <c r="DT57" t="b">
        <f t="shared" si="106"/>
        <v>1</v>
      </c>
      <c r="DU57" t="b">
        <f t="shared" si="106"/>
        <v>0</v>
      </c>
      <c r="DV57" t="b">
        <f t="shared" si="106"/>
        <v>0</v>
      </c>
      <c r="DW57" t="b">
        <f t="shared" si="106"/>
        <v>0</v>
      </c>
      <c r="DX57" t="b">
        <f t="shared" si="107"/>
        <v>0</v>
      </c>
      <c r="DY57" t="b">
        <f t="shared" si="107"/>
        <v>0</v>
      </c>
      <c r="DZ57" t="b">
        <f t="shared" si="107"/>
        <v>0</v>
      </c>
      <c r="EA57" t="b">
        <f t="shared" si="107"/>
        <v>0</v>
      </c>
      <c r="EB57" t="b">
        <f t="shared" si="107"/>
        <v>0</v>
      </c>
      <c r="EC57" t="b">
        <f t="shared" si="107"/>
        <v>0</v>
      </c>
      <c r="ED57" t="b">
        <f t="shared" si="107"/>
        <v>0</v>
      </c>
      <c r="EE57" t="b">
        <f t="shared" si="107"/>
        <v>0</v>
      </c>
      <c r="EF57" t="b">
        <f t="shared" si="107"/>
        <v>0</v>
      </c>
      <c r="EG57" t="b">
        <f t="shared" si="107"/>
        <v>0</v>
      </c>
      <c r="EH57" t="b">
        <f t="shared" si="108"/>
        <v>0</v>
      </c>
      <c r="EI57" t="b">
        <f t="shared" si="108"/>
        <v>0</v>
      </c>
      <c r="EJ57" t="b">
        <f t="shared" si="108"/>
        <v>0</v>
      </c>
      <c r="EK57" t="b">
        <f t="shared" si="108"/>
        <v>0</v>
      </c>
      <c r="EL57" t="b">
        <f t="shared" si="108"/>
        <v>0</v>
      </c>
      <c r="EM57" t="b">
        <f t="shared" si="108"/>
        <v>0</v>
      </c>
      <c r="EN57" t="b">
        <f t="shared" si="108"/>
        <v>0</v>
      </c>
      <c r="EO57" t="b">
        <f t="shared" si="108"/>
        <v>0</v>
      </c>
      <c r="EP57" t="b">
        <f t="shared" si="108"/>
        <v>0</v>
      </c>
      <c r="EQ57" t="b">
        <f t="shared" si="108"/>
        <v>0</v>
      </c>
      <c r="ER57" t="b">
        <f t="shared" si="109"/>
        <v>0</v>
      </c>
      <c r="ES57" t="b">
        <f t="shared" si="109"/>
        <v>0</v>
      </c>
      <c r="ET57" t="b">
        <f t="shared" si="109"/>
        <v>0</v>
      </c>
      <c r="EU57" t="b">
        <f t="shared" si="109"/>
        <v>0</v>
      </c>
      <c r="EV57" t="b">
        <f t="shared" si="109"/>
        <v>0</v>
      </c>
      <c r="EW57" t="b">
        <f t="shared" si="109"/>
        <v>0</v>
      </c>
      <c r="EX57" t="b">
        <f t="shared" si="109"/>
        <v>0</v>
      </c>
      <c r="EY57" t="b">
        <f t="shared" si="109"/>
        <v>0</v>
      </c>
      <c r="EZ57" t="b">
        <f t="shared" si="109"/>
        <v>0</v>
      </c>
      <c r="FA57" t="b">
        <f t="shared" si="109"/>
        <v>0</v>
      </c>
      <c r="FB57" t="b">
        <f t="shared" si="110"/>
        <v>0</v>
      </c>
      <c r="FC57" t="b">
        <f t="shared" si="110"/>
        <v>0</v>
      </c>
      <c r="FD57" t="b">
        <f t="shared" si="110"/>
        <v>0</v>
      </c>
      <c r="FE57" t="b">
        <f t="shared" si="110"/>
        <v>0</v>
      </c>
      <c r="FF57" t="b">
        <f t="shared" si="110"/>
        <v>0</v>
      </c>
      <c r="FG57" t="b">
        <f t="shared" si="110"/>
        <v>0</v>
      </c>
      <c r="FH57" t="b">
        <f t="shared" si="110"/>
        <v>0</v>
      </c>
      <c r="FI57" t="b">
        <f t="shared" si="110"/>
        <v>0</v>
      </c>
      <c r="FJ57" t="b">
        <f t="shared" si="110"/>
        <v>0</v>
      </c>
      <c r="FK57" t="b">
        <f t="shared" si="110"/>
        <v>0</v>
      </c>
      <c r="FL57" t="b">
        <f t="shared" si="111"/>
        <v>0</v>
      </c>
      <c r="FM57" t="b">
        <f t="shared" si="111"/>
        <v>0</v>
      </c>
      <c r="FN57" t="b">
        <f t="shared" si="111"/>
        <v>0</v>
      </c>
      <c r="FO57" t="b">
        <f t="shared" si="111"/>
        <v>0</v>
      </c>
      <c r="FP57" t="b">
        <f t="shared" si="111"/>
        <v>0</v>
      </c>
      <c r="FQ57" t="b">
        <f t="shared" si="111"/>
        <v>0</v>
      </c>
      <c r="FR57" t="b">
        <f t="shared" si="111"/>
        <v>0</v>
      </c>
      <c r="FS57" t="b">
        <f t="shared" si="111"/>
        <v>0</v>
      </c>
      <c r="FT57" t="b">
        <f t="shared" si="111"/>
        <v>0</v>
      </c>
      <c r="FU57" t="b">
        <f t="shared" si="111"/>
        <v>0</v>
      </c>
      <c r="FV57" t="b">
        <f t="shared" si="112"/>
        <v>0</v>
      </c>
      <c r="FW57" t="b">
        <f t="shared" si="112"/>
        <v>0</v>
      </c>
      <c r="FX57" t="b">
        <f t="shared" si="112"/>
        <v>0</v>
      </c>
      <c r="FY57" t="b">
        <f t="shared" si="112"/>
        <v>0</v>
      </c>
      <c r="FZ57" t="b">
        <f t="shared" si="112"/>
        <v>0</v>
      </c>
      <c r="GA57" t="b">
        <f t="shared" si="112"/>
        <v>0</v>
      </c>
      <c r="GB57" t="b">
        <f t="shared" si="112"/>
        <v>0</v>
      </c>
      <c r="GC57" t="b">
        <f t="shared" si="112"/>
        <v>0</v>
      </c>
      <c r="GD57" t="b">
        <f t="shared" si="112"/>
        <v>0</v>
      </c>
      <c r="GE57" t="b">
        <f t="shared" si="112"/>
        <v>0</v>
      </c>
      <c r="GF57" t="b">
        <f t="shared" si="113"/>
        <v>0</v>
      </c>
      <c r="GG57" t="b">
        <f t="shared" si="113"/>
        <v>0</v>
      </c>
      <c r="GH57" t="b">
        <f t="shared" si="113"/>
        <v>0</v>
      </c>
      <c r="GI57" t="b">
        <f t="shared" si="113"/>
        <v>0</v>
      </c>
      <c r="GJ57" t="b">
        <f t="shared" si="113"/>
        <v>0</v>
      </c>
      <c r="GK57" t="b">
        <f t="shared" si="113"/>
        <v>0</v>
      </c>
      <c r="GL57" t="b">
        <f t="shared" si="113"/>
        <v>0</v>
      </c>
      <c r="GM57" t="b">
        <f t="shared" si="113"/>
        <v>0</v>
      </c>
      <c r="GN57" t="b">
        <f t="shared" si="113"/>
        <v>0</v>
      </c>
      <c r="GO57" t="b">
        <f t="shared" si="113"/>
        <v>0</v>
      </c>
      <c r="GP57" t="b">
        <f t="shared" si="114"/>
        <v>0</v>
      </c>
      <c r="GQ57" t="b">
        <f t="shared" si="114"/>
        <v>0</v>
      </c>
      <c r="GR57" t="b">
        <f t="shared" si="114"/>
        <v>0</v>
      </c>
      <c r="GS57" t="b">
        <f t="shared" si="114"/>
        <v>0</v>
      </c>
      <c r="GT57" t="b">
        <f t="shared" si="114"/>
        <v>0</v>
      </c>
      <c r="GU57" t="b">
        <f t="shared" si="114"/>
        <v>0</v>
      </c>
      <c r="GV57" t="b">
        <f t="shared" si="114"/>
        <v>0</v>
      </c>
      <c r="GW57" t="b">
        <f t="shared" si="114"/>
        <v>0</v>
      </c>
      <c r="GX57" t="b">
        <f t="shared" si="114"/>
        <v>0</v>
      </c>
      <c r="GY57" t="b">
        <f t="shared" si="114"/>
        <v>0</v>
      </c>
      <c r="GZ57" t="b">
        <f t="shared" si="114"/>
        <v>0</v>
      </c>
    </row>
    <row r="58" spans="1:208" hidden="1" x14ac:dyDescent="0.3">
      <c r="A58" t="s">
        <v>28</v>
      </c>
      <c r="B58" t="s">
        <v>37</v>
      </c>
      <c r="C58" t="s">
        <v>52</v>
      </c>
      <c r="D58" s="3">
        <v>4</v>
      </c>
      <c r="E58" s="3">
        <v>15</v>
      </c>
      <c r="F58" s="3">
        <v>57</v>
      </c>
      <c r="G58" s="3">
        <v>30</v>
      </c>
      <c r="H58" t="str">
        <f t="shared" si="19"/>
        <v>4-15</v>
      </c>
      <c r="I58" t="b">
        <v>1</v>
      </c>
      <c r="Q58" s="6">
        <v>58</v>
      </c>
      <c r="R58" t="b">
        <f t="shared" si="96"/>
        <v>0</v>
      </c>
      <c r="S58" t="b">
        <f t="shared" si="96"/>
        <v>0</v>
      </c>
      <c r="T58" t="b">
        <f t="shared" si="96"/>
        <v>0</v>
      </c>
      <c r="U58" t="b">
        <f t="shared" si="96"/>
        <v>0</v>
      </c>
      <c r="V58" t="b">
        <f t="shared" si="96"/>
        <v>0</v>
      </c>
      <c r="W58" t="b">
        <f t="shared" si="96"/>
        <v>0</v>
      </c>
      <c r="X58" t="b">
        <f t="shared" si="96"/>
        <v>0</v>
      </c>
      <c r="Y58" t="b">
        <f t="shared" si="96"/>
        <v>0</v>
      </c>
      <c r="Z58" t="b">
        <f t="shared" si="96"/>
        <v>0</v>
      </c>
      <c r="AA58" t="b">
        <f t="shared" si="96"/>
        <v>0</v>
      </c>
      <c r="AB58" t="b">
        <f t="shared" si="97"/>
        <v>0</v>
      </c>
      <c r="AC58" t="b">
        <f t="shared" si="97"/>
        <v>0</v>
      </c>
      <c r="AD58" t="b">
        <f t="shared" si="97"/>
        <v>0</v>
      </c>
      <c r="AE58" t="b">
        <f t="shared" si="97"/>
        <v>0</v>
      </c>
      <c r="AF58" t="b">
        <f t="shared" si="97"/>
        <v>0</v>
      </c>
      <c r="AG58" t="b">
        <f t="shared" si="97"/>
        <v>0</v>
      </c>
      <c r="AH58" t="b">
        <f t="shared" si="97"/>
        <v>0</v>
      </c>
      <c r="AI58" t="b">
        <f t="shared" si="97"/>
        <v>0</v>
      </c>
      <c r="AJ58" t="b">
        <f t="shared" si="97"/>
        <v>0</v>
      </c>
      <c r="AK58" t="b">
        <f t="shared" si="97"/>
        <v>0</v>
      </c>
      <c r="AL58" t="b">
        <f t="shared" si="98"/>
        <v>0</v>
      </c>
      <c r="AM58" t="b">
        <f t="shared" si="98"/>
        <v>0</v>
      </c>
      <c r="AN58" t="b">
        <f t="shared" si="98"/>
        <v>0</v>
      </c>
      <c r="AO58" t="b">
        <f t="shared" si="98"/>
        <v>0</v>
      </c>
      <c r="AP58" t="b">
        <f t="shared" si="98"/>
        <v>0</v>
      </c>
      <c r="AQ58" t="b">
        <f t="shared" si="98"/>
        <v>0</v>
      </c>
      <c r="AR58" t="b">
        <f t="shared" si="98"/>
        <v>0</v>
      </c>
      <c r="AS58" t="b">
        <f t="shared" si="98"/>
        <v>0</v>
      </c>
      <c r="AT58" t="b">
        <f t="shared" si="98"/>
        <v>0</v>
      </c>
      <c r="AU58" t="b">
        <f t="shared" si="98"/>
        <v>0</v>
      </c>
      <c r="AV58" t="b">
        <f t="shared" si="99"/>
        <v>0</v>
      </c>
      <c r="AW58" t="b">
        <f t="shared" si="99"/>
        <v>0</v>
      </c>
      <c r="AX58" t="b">
        <f t="shared" si="99"/>
        <v>0</v>
      </c>
      <c r="AY58" t="b">
        <f t="shared" si="99"/>
        <v>0</v>
      </c>
      <c r="AZ58" t="b">
        <f t="shared" si="99"/>
        <v>0</v>
      </c>
      <c r="BA58" t="b">
        <f t="shared" si="99"/>
        <v>0</v>
      </c>
      <c r="BB58" t="b">
        <f t="shared" si="99"/>
        <v>0</v>
      </c>
      <c r="BC58" t="b">
        <f t="shared" si="99"/>
        <v>0</v>
      </c>
      <c r="BD58" t="b">
        <f t="shared" si="99"/>
        <v>0</v>
      </c>
      <c r="BE58" t="b">
        <f t="shared" si="99"/>
        <v>0</v>
      </c>
      <c r="BF58" t="b">
        <f t="shared" si="100"/>
        <v>0</v>
      </c>
      <c r="BG58" t="b">
        <f t="shared" si="100"/>
        <v>0</v>
      </c>
      <c r="BH58" t="b">
        <f t="shared" si="100"/>
        <v>0</v>
      </c>
      <c r="BI58" t="b">
        <f t="shared" si="100"/>
        <v>0</v>
      </c>
      <c r="BJ58" t="b">
        <f t="shared" si="100"/>
        <v>0</v>
      </c>
      <c r="BK58" t="b">
        <f t="shared" si="100"/>
        <v>0</v>
      </c>
      <c r="BL58" t="b">
        <f t="shared" si="100"/>
        <v>0</v>
      </c>
      <c r="BM58" t="b">
        <f t="shared" si="100"/>
        <v>0</v>
      </c>
      <c r="BN58" t="b">
        <f t="shared" si="100"/>
        <v>0</v>
      </c>
      <c r="BO58" t="b">
        <f t="shared" si="100"/>
        <v>0</v>
      </c>
      <c r="BP58" t="b">
        <f t="shared" si="101"/>
        <v>0</v>
      </c>
      <c r="BQ58" t="b">
        <f t="shared" si="101"/>
        <v>0</v>
      </c>
      <c r="BR58" t="b">
        <f t="shared" si="101"/>
        <v>0</v>
      </c>
      <c r="BS58" t="b">
        <f t="shared" si="101"/>
        <v>0</v>
      </c>
      <c r="BT58" t="b">
        <f t="shared" si="101"/>
        <v>0</v>
      </c>
      <c r="BU58" t="b">
        <f t="shared" si="101"/>
        <v>0</v>
      </c>
      <c r="BV58" t="b">
        <f t="shared" si="101"/>
        <v>0</v>
      </c>
      <c r="BW58" t="b">
        <f t="shared" si="101"/>
        <v>0</v>
      </c>
      <c r="BX58" t="b">
        <f t="shared" si="101"/>
        <v>0</v>
      </c>
      <c r="BY58" t="b">
        <f t="shared" si="101"/>
        <v>0</v>
      </c>
      <c r="BZ58" t="b">
        <f t="shared" si="102"/>
        <v>0</v>
      </c>
      <c r="CA58" t="b">
        <f t="shared" si="102"/>
        <v>0</v>
      </c>
      <c r="CB58" t="b">
        <f t="shared" si="102"/>
        <v>0</v>
      </c>
      <c r="CC58" t="b">
        <f t="shared" si="102"/>
        <v>0</v>
      </c>
      <c r="CD58" t="b">
        <f t="shared" si="102"/>
        <v>0</v>
      </c>
      <c r="CE58" t="b">
        <f t="shared" si="102"/>
        <v>0</v>
      </c>
      <c r="CF58" t="b">
        <f t="shared" si="102"/>
        <v>0</v>
      </c>
      <c r="CG58" t="b">
        <f t="shared" si="102"/>
        <v>0</v>
      </c>
      <c r="CH58" t="b">
        <f t="shared" si="102"/>
        <v>0</v>
      </c>
      <c r="CI58" t="b">
        <f t="shared" si="102"/>
        <v>0</v>
      </c>
      <c r="CJ58" t="b">
        <f t="shared" si="103"/>
        <v>0</v>
      </c>
      <c r="CK58" t="b">
        <f t="shared" si="103"/>
        <v>0</v>
      </c>
      <c r="CL58" t="b">
        <f t="shared" si="103"/>
        <v>0</v>
      </c>
      <c r="CM58" t="b">
        <f t="shared" si="103"/>
        <v>0</v>
      </c>
      <c r="CN58" t="b">
        <f t="shared" si="103"/>
        <v>0</v>
      </c>
      <c r="CO58" t="b">
        <f t="shared" si="103"/>
        <v>0</v>
      </c>
      <c r="CP58" t="b">
        <f t="shared" si="103"/>
        <v>0</v>
      </c>
      <c r="CQ58" t="b">
        <f t="shared" si="103"/>
        <v>0</v>
      </c>
      <c r="CR58" t="b">
        <f t="shared" si="103"/>
        <v>0</v>
      </c>
      <c r="CS58" t="b">
        <f t="shared" si="103"/>
        <v>1</v>
      </c>
      <c r="CT58" t="b">
        <f t="shared" si="104"/>
        <v>0</v>
      </c>
      <c r="CU58" t="b">
        <f t="shared" si="104"/>
        <v>0</v>
      </c>
      <c r="CV58" t="b">
        <f t="shared" si="104"/>
        <v>0</v>
      </c>
      <c r="CW58" t="b">
        <f t="shared" si="104"/>
        <v>0</v>
      </c>
      <c r="CX58" t="b">
        <f t="shared" si="104"/>
        <v>0</v>
      </c>
      <c r="CY58" t="b">
        <f t="shared" si="104"/>
        <v>0</v>
      </c>
      <c r="CZ58" t="b">
        <f t="shared" si="104"/>
        <v>0</v>
      </c>
      <c r="DA58" t="b">
        <f t="shared" si="104"/>
        <v>0</v>
      </c>
      <c r="DB58" t="b">
        <f t="shared" si="104"/>
        <v>0</v>
      </c>
      <c r="DC58" t="b">
        <f t="shared" si="104"/>
        <v>0</v>
      </c>
      <c r="DD58" t="b">
        <f t="shared" si="105"/>
        <v>0</v>
      </c>
      <c r="DE58" t="b">
        <f t="shared" si="105"/>
        <v>0</v>
      </c>
      <c r="DF58" t="b">
        <f t="shared" si="105"/>
        <v>0</v>
      </c>
      <c r="DG58" t="b">
        <f t="shared" si="105"/>
        <v>0</v>
      </c>
      <c r="DH58" t="b">
        <f t="shared" si="105"/>
        <v>0</v>
      </c>
      <c r="DI58" t="b">
        <f t="shared" si="105"/>
        <v>0</v>
      </c>
      <c r="DJ58" t="b">
        <f t="shared" si="105"/>
        <v>0</v>
      </c>
      <c r="DK58" t="b">
        <f t="shared" si="105"/>
        <v>0</v>
      </c>
      <c r="DL58" t="b">
        <f t="shared" si="105"/>
        <v>0</v>
      </c>
      <c r="DM58" t="b">
        <f t="shared" si="105"/>
        <v>0</v>
      </c>
      <c r="DN58" t="b">
        <f t="shared" si="106"/>
        <v>0</v>
      </c>
      <c r="DO58" t="b">
        <f t="shared" si="106"/>
        <v>0</v>
      </c>
      <c r="DP58" t="b">
        <f t="shared" si="106"/>
        <v>0</v>
      </c>
      <c r="DQ58" t="b">
        <f t="shared" si="106"/>
        <v>0</v>
      </c>
      <c r="DR58" t="b">
        <f t="shared" si="106"/>
        <v>0</v>
      </c>
      <c r="DS58" t="b">
        <f t="shared" si="106"/>
        <v>0</v>
      </c>
      <c r="DT58" t="b">
        <f t="shared" si="106"/>
        <v>0</v>
      </c>
      <c r="DU58" t="b">
        <f t="shared" si="106"/>
        <v>0</v>
      </c>
      <c r="DV58" t="b">
        <f t="shared" si="106"/>
        <v>0</v>
      </c>
      <c r="DW58" t="b">
        <f t="shared" si="106"/>
        <v>0</v>
      </c>
      <c r="DX58" t="b">
        <f t="shared" si="107"/>
        <v>0</v>
      </c>
      <c r="DY58" t="b">
        <f t="shared" si="107"/>
        <v>0</v>
      </c>
      <c r="DZ58" t="b">
        <f t="shared" si="107"/>
        <v>0</v>
      </c>
      <c r="EA58" t="b">
        <f t="shared" si="107"/>
        <v>0</v>
      </c>
      <c r="EB58" t="b">
        <f t="shared" si="107"/>
        <v>0</v>
      </c>
      <c r="EC58" t="b">
        <f t="shared" si="107"/>
        <v>0</v>
      </c>
      <c r="ED58" t="b">
        <f t="shared" si="107"/>
        <v>0</v>
      </c>
      <c r="EE58" t="b">
        <f t="shared" si="107"/>
        <v>0</v>
      </c>
      <c r="EF58" t="b">
        <f t="shared" si="107"/>
        <v>0</v>
      </c>
      <c r="EG58" t="b">
        <f t="shared" si="107"/>
        <v>0</v>
      </c>
      <c r="EH58" t="b">
        <f t="shared" si="108"/>
        <v>0</v>
      </c>
      <c r="EI58" t="b">
        <f t="shared" si="108"/>
        <v>0</v>
      </c>
      <c r="EJ58" t="b">
        <f t="shared" si="108"/>
        <v>0</v>
      </c>
      <c r="EK58" t="b">
        <f t="shared" si="108"/>
        <v>0</v>
      </c>
      <c r="EL58" t="b">
        <f t="shared" si="108"/>
        <v>0</v>
      </c>
      <c r="EM58" t="b">
        <f t="shared" si="108"/>
        <v>0</v>
      </c>
      <c r="EN58" t="b">
        <f t="shared" si="108"/>
        <v>0</v>
      </c>
      <c r="EO58" t="b">
        <f t="shared" si="108"/>
        <v>0</v>
      </c>
      <c r="EP58" t="b">
        <f t="shared" si="108"/>
        <v>0</v>
      </c>
      <c r="EQ58" t="b">
        <f t="shared" si="108"/>
        <v>0</v>
      </c>
      <c r="ER58" t="b">
        <f t="shared" si="109"/>
        <v>0</v>
      </c>
      <c r="ES58" t="b">
        <f t="shared" si="109"/>
        <v>0</v>
      </c>
      <c r="ET58" t="b">
        <f t="shared" si="109"/>
        <v>0</v>
      </c>
      <c r="EU58" t="b">
        <f t="shared" si="109"/>
        <v>0</v>
      </c>
      <c r="EV58" t="b">
        <f t="shared" si="109"/>
        <v>0</v>
      </c>
      <c r="EW58" t="b">
        <f t="shared" si="109"/>
        <v>0</v>
      </c>
      <c r="EX58" t="b">
        <f t="shared" si="109"/>
        <v>0</v>
      </c>
      <c r="EY58" t="b">
        <f t="shared" si="109"/>
        <v>0</v>
      </c>
      <c r="EZ58" t="b">
        <f t="shared" si="109"/>
        <v>0</v>
      </c>
      <c r="FA58" t="b">
        <f t="shared" si="109"/>
        <v>0</v>
      </c>
      <c r="FB58" t="b">
        <f t="shared" si="110"/>
        <v>0</v>
      </c>
      <c r="FC58" t="b">
        <f t="shared" si="110"/>
        <v>0</v>
      </c>
      <c r="FD58" t="b">
        <f t="shared" si="110"/>
        <v>0</v>
      </c>
      <c r="FE58" t="b">
        <f t="shared" si="110"/>
        <v>0</v>
      </c>
      <c r="FF58" t="b">
        <f t="shared" si="110"/>
        <v>0</v>
      </c>
      <c r="FG58" t="b">
        <f t="shared" si="110"/>
        <v>0</v>
      </c>
      <c r="FH58" t="b">
        <f t="shared" si="110"/>
        <v>0</v>
      </c>
      <c r="FI58" t="b">
        <f t="shared" si="110"/>
        <v>0</v>
      </c>
      <c r="FJ58" t="b">
        <f t="shared" si="110"/>
        <v>0</v>
      </c>
      <c r="FK58" t="b">
        <f t="shared" si="110"/>
        <v>0</v>
      </c>
      <c r="FL58" t="b">
        <f t="shared" si="111"/>
        <v>0</v>
      </c>
      <c r="FM58" t="b">
        <f t="shared" si="111"/>
        <v>0</v>
      </c>
      <c r="FN58" t="b">
        <f t="shared" si="111"/>
        <v>0</v>
      </c>
      <c r="FO58" t="b">
        <f t="shared" si="111"/>
        <v>0</v>
      </c>
      <c r="FP58" t="b">
        <f t="shared" si="111"/>
        <v>0</v>
      </c>
      <c r="FQ58" t="b">
        <f t="shared" si="111"/>
        <v>0</v>
      </c>
      <c r="FR58" t="b">
        <f t="shared" si="111"/>
        <v>0</v>
      </c>
      <c r="FS58" t="b">
        <f t="shared" si="111"/>
        <v>0</v>
      </c>
      <c r="FT58" t="b">
        <f t="shared" si="111"/>
        <v>0</v>
      </c>
      <c r="FU58" t="b">
        <f t="shared" si="111"/>
        <v>0</v>
      </c>
      <c r="FV58" t="b">
        <f t="shared" si="112"/>
        <v>0</v>
      </c>
      <c r="FW58" t="b">
        <f t="shared" si="112"/>
        <v>0</v>
      </c>
      <c r="FX58" t="b">
        <f t="shared" si="112"/>
        <v>0</v>
      </c>
      <c r="FY58" t="b">
        <f t="shared" si="112"/>
        <v>0</v>
      </c>
      <c r="FZ58" t="b">
        <f t="shared" si="112"/>
        <v>0</v>
      </c>
      <c r="GA58" t="b">
        <f t="shared" si="112"/>
        <v>0</v>
      </c>
      <c r="GB58" t="b">
        <f t="shared" si="112"/>
        <v>0</v>
      </c>
      <c r="GC58" t="b">
        <f t="shared" si="112"/>
        <v>0</v>
      </c>
      <c r="GD58" t="b">
        <f t="shared" si="112"/>
        <v>0</v>
      </c>
      <c r="GE58" t="b">
        <f t="shared" si="112"/>
        <v>0</v>
      </c>
      <c r="GF58" t="b">
        <f t="shared" si="113"/>
        <v>0</v>
      </c>
      <c r="GG58" t="b">
        <f t="shared" si="113"/>
        <v>0</v>
      </c>
      <c r="GH58" t="b">
        <f t="shared" si="113"/>
        <v>0</v>
      </c>
      <c r="GI58" t="b">
        <f t="shared" si="113"/>
        <v>0</v>
      </c>
      <c r="GJ58" t="b">
        <f t="shared" si="113"/>
        <v>0</v>
      </c>
      <c r="GK58" t="b">
        <f t="shared" si="113"/>
        <v>0</v>
      </c>
      <c r="GL58" t="b">
        <f t="shared" si="113"/>
        <v>0</v>
      </c>
      <c r="GM58" t="b">
        <f t="shared" si="113"/>
        <v>0</v>
      </c>
      <c r="GN58" t="b">
        <f t="shared" si="113"/>
        <v>1</v>
      </c>
      <c r="GO58" t="b">
        <f t="shared" si="113"/>
        <v>0</v>
      </c>
      <c r="GP58" t="b">
        <f t="shared" si="114"/>
        <v>0</v>
      </c>
      <c r="GQ58" t="b">
        <f t="shared" si="114"/>
        <v>0</v>
      </c>
      <c r="GR58" t="b">
        <f t="shared" si="114"/>
        <v>0</v>
      </c>
      <c r="GS58" t="b">
        <f t="shared" si="114"/>
        <v>0</v>
      </c>
      <c r="GT58" t="b">
        <f t="shared" si="114"/>
        <v>0</v>
      </c>
      <c r="GU58" t="b">
        <f t="shared" si="114"/>
        <v>0</v>
      </c>
      <c r="GV58" t="b">
        <f t="shared" si="114"/>
        <v>0</v>
      </c>
      <c r="GW58" t="b">
        <f t="shared" si="114"/>
        <v>0</v>
      </c>
      <c r="GX58" t="b">
        <f t="shared" si="114"/>
        <v>0</v>
      </c>
      <c r="GY58" t="b">
        <f t="shared" si="114"/>
        <v>0</v>
      </c>
      <c r="GZ58" t="b">
        <f t="shared" si="114"/>
        <v>0</v>
      </c>
    </row>
    <row r="59" spans="1:208" hidden="1" x14ac:dyDescent="0.3">
      <c r="A59" t="s">
        <v>28</v>
      </c>
      <c r="B59" t="s">
        <v>37</v>
      </c>
      <c r="C59" t="s">
        <v>11</v>
      </c>
      <c r="D59" s="3">
        <v>4</v>
      </c>
      <c r="E59" s="3">
        <v>15</v>
      </c>
      <c r="F59" s="3">
        <v>58</v>
      </c>
      <c r="G59" s="3">
        <v>50</v>
      </c>
      <c r="H59" t="str">
        <f t="shared" si="19"/>
        <v>4-15</v>
      </c>
      <c r="I59" t="b">
        <v>1</v>
      </c>
      <c r="Q59" s="6">
        <v>59</v>
      </c>
      <c r="R59" t="b">
        <f t="shared" si="96"/>
        <v>0</v>
      </c>
      <c r="S59" t="b">
        <f t="shared" si="96"/>
        <v>0</v>
      </c>
      <c r="T59" t="b">
        <f t="shared" si="96"/>
        <v>0</v>
      </c>
      <c r="U59" t="b">
        <f t="shared" si="96"/>
        <v>0</v>
      </c>
      <c r="V59" t="b">
        <f t="shared" si="96"/>
        <v>0</v>
      </c>
      <c r="W59" t="b">
        <f t="shared" si="96"/>
        <v>0</v>
      </c>
      <c r="X59" t="b">
        <f t="shared" si="96"/>
        <v>0</v>
      </c>
      <c r="Y59" t="b">
        <f t="shared" si="96"/>
        <v>0</v>
      </c>
      <c r="Z59" t="b">
        <f t="shared" si="96"/>
        <v>0</v>
      </c>
      <c r="AA59" t="b">
        <f t="shared" si="96"/>
        <v>0</v>
      </c>
      <c r="AB59" t="b">
        <f t="shared" si="97"/>
        <v>0</v>
      </c>
      <c r="AC59" t="b">
        <f t="shared" si="97"/>
        <v>0</v>
      </c>
      <c r="AD59" t="b">
        <f t="shared" si="97"/>
        <v>0</v>
      </c>
      <c r="AE59" t="b">
        <f t="shared" si="97"/>
        <v>0</v>
      </c>
      <c r="AF59" t="b">
        <f t="shared" si="97"/>
        <v>0</v>
      </c>
      <c r="AG59" t="b">
        <f t="shared" si="97"/>
        <v>0</v>
      </c>
      <c r="AH59" t="b">
        <f t="shared" si="97"/>
        <v>0</v>
      </c>
      <c r="AI59" t="b">
        <f t="shared" si="97"/>
        <v>0</v>
      </c>
      <c r="AJ59" t="b">
        <f t="shared" si="97"/>
        <v>0</v>
      </c>
      <c r="AK59" t="b">
        <f t="shared" si="97"/>
        <v>0</v>
      </c>
      <c r="AL59" t="b">
        <f t="shared" si="98"/>
        <v>0</v>
      </c>
      <c r="AM59" t="b">
        <f t="shared" si="98"/>
        <v>0</v>
      </c>
      <c r="AN59" t="b">
        <f t="shared" si="98"/>
        <v>0</v>
      </c>
      <c r="AO59" t="b">
        <f t="shared" si="98"/>
        <v>0</v>
      </c>
      <c r="AP59" t="b">
        <f t="shared" si="98"/>
        <v>0</v>
      </c>
      <c r="AQ59" t="b">
        <f t="shared" si="98"/>
        <v>0</v>
      </c>
      <c r="AR59" t="b">
        <f t="shared" si="98"/>
        <v>0</v>
      </c>
      <c r="AS59" t="b">
        <f t="shared" si="98"/>
        <v>0</v>
      </c>
      <c r="AT59" t="b">
        <f t="shared" si="98"/>
        <v>0</v>
      </c>
      <c r="AU59" t="b">
        <f t="shared" si="98"/>
        <v>0</v>
      </c>
      <c r="AV59" t="b">
        <f t="shared" si="99"/>
        <v>0</v>
      </c>
      <c r="AW59" t="b">
        <f t="shared" si="99"/>
        <v>0</v>
      </c>
      <c r="AX59" t="b">
        <f t="shared" si="99"/>
        <v>0</v>
      </c>
      <c r="AY59" t="b">
        <f t="shared" si="99"/>
        <v>0</v>
      </c>
      <c r="AZ59" t="b">
        <f t="shared" si="99"/>
        <v>0</v>
      </c>
      <c r="BA59" t="b">
        <f t="shared" si="99"/>
        <v>0</v>
      </c>
      <c r="BB59" t="b">
        <f t="shared" si="99"/>
        <v>0</v>
      </c>
      <c r="BC59" t="b">
        <f t="shared" si="99"/>
        <v>0</v>
      </c>
      <c r="BD59" t="b">
        <f t="shared" si="99"/>
        <v>0</v>
      </c>
      <c r="BE59" t="b">
        <f t="shared" si="99"/>
        <v>0</v>
      </c>
      <c r="BF59" t="b">
        <f t="shared" si="100"/>
        <v>0</v>
      </c>
      <c r="BG59" t="b">
        <f t="shared" si="100"/>
        <v>0</v>
      </c>
      <c r="BH59" t="b">
        <f t="shared" si="100"/>
        <v>0</v>
      </c>
      <c r="BI59" t="b">
        <f t="shared" si="100"/>
        <v>0</v>
      </c>
      <c r="BJ59" t="b">
        <f t="shared" si="100"/>
        <v>0</v>
      </c>
      <c r="BK59" t="b">
        <f t="shared" si="100"/>
        <v>0</v>
      </c>
      <c r="BL59" t="b">
        <f t="shared" si="100"/>
        <v>0</v>
      </c>
      <c r="BM59" t="b">
        <f t="shared" si="100"/>
        <v>0</v>
      </c>
      <c r="BN59" t="b">
        <f t="shared" si="100"/>
        <v>0</v>
      </c>
      <c r="BO59" t="b">
        <f t="shared" si="100"/>
        <v>0</v>
      </c>
      <c r="BP59" t="b">
        <f t="shared" si="101"/>
        <v>0</v>
      </c>
      <c r="BQ59" t="b">
        <f t="shared" si="101"/>
        <v>0</v>
      </c>
      <c r="BR59" t="b">
        <f t="shared" si="101"/>
        <v>0</v>
      </c>
      <c r="BS59" t="b">
        <f t="shared" si="101"/>
        <v>0</v>
      </c>
      <c r="BT59" t="b">
        <f t="shared" si="101"/>
        <v>0</v>
      </c>
      <c r="BU59" t="b">
        <f t="shared" si="101"/>
        <v>0</v>
      </c>
      <c r="BV59" t="b">
        <f t="shared" si="101"/>
        <v>0</v>
      </c>
      <c r="BW59" t="b">
        <f t="shared" si="101"/>
        <v>0</v>
      </c>
      <c r="BX59" t="b">
        <f t="shared" si="101"/>
        <v>0</v>
      </c>
      <c r="BY59" t="b">
        <f t="shared" si="101"/>
        <v>0</v>
      </c>
      <c r="BZ59" t="b">
        <f t="shared" si="102"/>
        <v>0</v>
      </c>
      <c r="CA59" t="b">
        <f t="shared" si="102"/>
        <v>0</v>
      </c>
      <c r="CB59" t="b">
        <f t="shared" si="102"/>
        <v>0</v>
      </c>
      <c r="CC59" t="b">
        <f t="shared" si="102"/>
        <v>0</v>
      </c>
      <c r="CD59" t="b">
        <f t="shared" si="102"/>
        <v>0</v>
      </c>
      <c r="CE59" t="b">
        <f t="shared" si="102"/>
        <v>0</v>
      </c>
      <c r="CF59" t="b">
        <f t="shared" si="102"/>
        <v>0</v>
      </c>
      <c r="CG59" t="b">
        <f t="shared" si="102"/>
        <v>0</v>
      </c>
      <c r="CH59" t="b">
        <f t="shared" si="102"/>
        <v>1</v>
      </c>
      <c r="CI59" t="b">
        <f t="shared" si="102"/>
        <v>0</v>
      </c>
      <c r="CJ59" t="b">
        <f t="shared" si="103"/>
        <v>0</v>
      </c>
      <c r="CK59" t="b">
        <f t="shared" si="103"/>
        <v>0</v>
      </c>
      <c r="CL59" t="b">
        <f t="shared" si="103"/>
        <v>0</v>
      </c>
      <c r="CM59" t="b">
        <f t="shared" si="103"/>
        <v>0</v>
      </c>
      <c r="CN59" t="b">
        <f t="shared" si="103"/>
        <v>0</v>
      </c>
      <c r="CO59" t="b">
        <f t="shared" si="103"/>
        <v>0</v>
      </c>
      <c r="CP59" t="b">
        <f t="shared" si="103"/>
        <v>0</v>
      </c>
      <c r="CQ59" t="b">
        <f t="shared" si="103"/>
        <v>0</v>
      </c>
      <c r="CR59" t="b">
        <f t="shared" si="103"/>
        <v>0</v>
      </c>
      <c r="CS59" t="b">
        <f t="shared" si="103"/>
        <v>0</v>
      </c>
      <c r="CT59" t="b">
        <f t="shared" si="104"/>
        <v>0</v>
      </c>
      <c r="CU59" t="b">
        <f t="shared" si="104"/>
        <v>0</v>
      </c>
      <c r="CV59" t="b">
        <f t="shared" si="104"/>
        <v>0</v>
      </c>
      <c r="CW59" t="b">
        <f t="shared" si="104"/>
        <v>0</v>
      </c>
      <c r="CX59" t="b">
        <f t="shared" si="104"/>
        <v>0</v>
      </c>
      <c r="CY59" t="b">
        <f t="shared" si="104"/>
        <v>0</v>
      </c>
      <c r="CZ59" t="b">
        <f t="shared" si="104"/>
        <v>0</v>
      </c>
      <c r="DA59" t="b">
        <f t="shared" si="104"/>
        <v>0</v>
      </c>
      <c r="DB59" t="b">
        <f t="shared" si="104"/>
        <v>0</v>
      </c>
      <c r="DC59" t="b">
        <f t="shared" si="104"/>
        <v>0</v>
      </c>
      <c r="DD59" t="b">
        <f t="shared" si="105"/>
        <v>0</v>
      </c>
      <c r="DE59" t="b">
        <f t="shared" si="105"/>
        <v>0</v>
      </c>
      <c r="DF59" t="b">
        <f t="shared" si="105"/>
        <v>0</v>
      </c>
      <c r="DG59" t="b">
        <f t="shared" si="105"/>
        <v>0</v>
      </c>
      <c r="DH59" t="b">
        <f t="shared" si="105"/>
        <v>0</v>
      </c>
      <c r="DI59" t="b">
        <f t="shared" si="105"/>
        <v>0</v>
      </c>
      <c r="DJ59" t="b">
        <f t="shared" si="105"/>
        <v>0</v>
      </c>
      <c r="DK59" t="b">
        <f t="shared" si="105"/>
        <v>0</v>
      </c>
      <c r="DL59" t="b">
        <f t="shared" si="105"/>
        <v>0</v>
      </c>
      <c r="DM59" t="b">
        <f t="shared" si="105"/>
        <v>0</v>
      </c>
      <c r="DN59" t="b">
        <f t="shared" si="106"/>
        <v>0</v>
      </c>
      <c r="DO59" t="b">
        <f t="shared" si="106"/>
        <v>0</v>
      </c>
      <c r="DP59" t="b">
        <f t="shared" si="106"/>
        <v>0</v>
      </c>
      <c r="DQ59" t="b">
        <f t="shared" si="106"/>
        <v>0</v>
      </c>
      <c r="DR59" t="b">
        <f t="shared" si="106"/>
        <v>0</v>
      </c>
      <c r="DS59" t="b">
        <f t="shared" si="106"/>
        <v>0</v>
      </c>
      <c r="DT59" t="b">
        <f t="shared" si="106"/>
        <v>0</v>
      </c>
      <c r="DU59" t="b">
        <f t="shared" si="106"/>
        <v>0</v>
      </c>
      <c r="DV59" t="b">
        <f t="shared" si="106"/>
        <v>0</v>
      </c>
      <c r="DW59" t="b">
        <f t="shared" si="106"/>
        <v>0</v>
      </c>
      <c r="DX59" t="b">
        <f t="shared" si="107"/>
        <v>0</v>
      </c>
      <c r="DY59" t="b">
        <f t="shared" si="107"/>
        <v>0</v>
      </c>
      <c r="DZ59" t="b">
        <f t="shared" si="107"/>
        <v>0</v>
      </c>
      <c r="EA59" t="b">
        <f t="shared" si="107"/>
        <v>0</v>
      </c>
      <c r="EB59" t="b">
        <f t="shared" si="107"/>
        <v>0</v>
      </c>
      <c r="EC59" t="b">
        <f t="shared" si="107"/>
        <v>0</v>
      </c>
      <c r="ED59" t="b">
        <f t="shared" si="107"/>
        <v>0</v>
      </c>
      <c r="EE59" t="b">
        <f t="shared" si="107"/>
        <v>0</v>
      </c>
      <c r="EF59" t="b">
        <f t="shared" si="107"/>
        <v>0</v>
      </c>
      <c r="EG59" t="b">
        <f t="shared" si="107"/>
        <v>0</v>
      </c>
      <c r="EH59" t="b">
        <f t="shared" si="108"/>
        <v>0</v>
      </c>
      <c r="EI59" t="b">
        <f t="shared" si="108"/>
        <v>0</v>
      </c>
      <c r="EJ59" t="b">
        <f t="shared" si="108"/>
        <v>0</v>
      </c>
      <c r="EK59" t="b">
        <f t="shared" si="108"/>
        <v>0</v>
      </c>
      <c r="EL59" t="b">
        <f t="shared" si="108"/>
        <v>0</v>
      </c>
      <c r="EM59" t="b">
        <f t="shared" si="108"/>
        <v>0</v>
      </c>
      <c r="EN59" t="b">
        <f t="shared" si="108"/>
        <v>0</v>
      </c>
      <c r="EO59" t="b">
        <f t="shared" si="108"/>
        <v>0</v>
      </c>
      <c r="EP59" t="b">
        <f t="shared" si="108"/>
        <v>0</v>
      </c>
      <c r="EQ59" t="b">
        <f t="shared" si="108"/>
        <v>0</v>
      </c>
      <c r="ER59" t="b">
        <f t="shared" si="109"/>
        <v>0</v>
      </c>
      <c r="ES59" t="b">
        <f t="shared" si="109"/>
        <v>0</v>
      </c>
      <c r="ET59" t="b">
        <f t="shared" si="109"/>
        <v>0</v>
      </c>
      <c r="EU59" t="b">
        <f t="shared" si="109"/>
        <v>0</v>
      </c>
      <c r="EV59" t="b">
        <f t="shared" si="109"/>
        <v>0</v>
      </c>
      <c r="EW59" t="b">
        <f t="shared" si="109"/>
        <v>0</v>
      </c>
      <c r="EX59" t="b">
        <f t="shared" si="109"/>
        <v>0</v>
      </c>
      <c r="EY59" t="b">
        <f t="shared" si="109"/>
        <v>0</v>
      </c>
      <c r="EZ59" t="b">
        <f t="shared" si="109"/>
        <v>0</v>
      </c>
      <c r="FA59" t="b">
        <f t="shared" si="109"/>
        <v>0</v>
      </c>
      <c r="FB59" t="b">
        <f t="shared" si="110"/>
        <v>0</v>
      </c>
      <c r="FC59" t="b">
        <f t="shared" si="110"/>
        <v>0</v>
      </c>
      <c r="FD59" t="b">
        <f t="shared" si="110"/>
        <v>0</v>
      </c>
      <c r="FE59" t="b">
        <f t="shared" si="110"/>
        <v>0</v>
      </c>
      <c r="FF59" t="b">
        <f t="shared" si="110"/>
        <v>0</v>
      </c>
      <c r="FG59" t="b">
        <f t="shared" si="110"/>
        <v>0</v>
      </c>
      <c r="FH59" t="b">
        <f t="shared" si="110"/>
        <v>0</v>
      </c>
      <c r="FI59" t="b">
        <f t="shared" si="110"/>
        <v>0</v>
      </c>
      <c r="FJ59" t="b">
        <f t="shared" si="110"/>
        <v>0</v>
      </c>
      <c r="FK59" t="b">
        <f t="shared" si="110"/>
        <v>0</v>
      </c>
      <c r="FL59" t="b">
        <f t="shared" si="111"/>
        <v>0</v>
      </c>
      <c r="FM59" t="b">
        <f t="shared" si="111"/>
        <v>0</v>
      </c>
      <c r="FN59" t="b">
        <f t="shared" si="111"/>
        <v>0</v>
      </c>
      <c r="FO59" t="b">
        <f t="shared" si="111"/>
        <v>0</v>
      </c>
      <c r="FP59" t="b">
        <f t="shared" si="111"/>
        <v>0</v>
      </c>
      <c r="FQ59" t="b">
        <f t="shared" si="111"/>
        <v>1</v>
      </c>
      <c r="FR59" t="b">
        <f t="shared" si="111"/>
        <v>0</v>
      </c>
      <c r="FS59" t="b">
        <f t="shared" si="111"/>
        <v>0</v>
      </c>
      <c r="FT59" t="b">
        <f t="shared" si="111"/>
        <v>0</v>
      </c>
      <c r="FU59" t="b">
        <f t="shared" si="111"/>
        <v>0</v>
      </c>
      <c r="FV59" t="b">
        <f t="shared" si="112"/>
        <v>0</v>
      </c>
      <c r="FW59" t="b">
        <f t="shared" si="112"/>
        <v>0</v>
      </c>
      <c r="FX59" t="b">
        <f t="shared" si="112"/>
        <v>0</v>
      </c>
      <c r="FY59" t="b">
        <f t="shared" si="112"/>
        <v>0</v>
      </c>
      <c r="FZ59" t="b">
        <f t="shared" si="112"/>
        <v>0</v>
      </c>
      <c r="GA59" t="b">
        <f t="shared" si="112"/>
        <v>0</v>
      </c>
      <c r="GB59" t="b">
        <f t="shared" si="112"/>
        <v>0</v>
      </c>
      <c r="GC59" t="b">
        <f t="shared" si="112"/>
        <v>0</v>
      </c>
      <c r="GD59" t="b">
        <f t="shared" si="112"/>
        <v>0</v>
      </c>
      <c r="GE59" t="b">
        <f t="shared" si="112"/>
        <v>0</v>
      </c>
      <c r="GF59" t="b">
        <f t="shared" si="113"/>
        <v>0</v>
      </c>
      <c r="GG59" t="b">
        <f t="shared" si="113"/>
        <v>0</v>
      </c>
      <c r="GH59" t="b">
        <f t="shared" si="113"/>
        <v>0</v>
      </c>
      <c r="GI59" t="b">
        <f t="shared" si="113"/>
        <v>0</v>
      </c>
      <c r="GJ59" t="b">
        <f t="shared" si="113"/>
        <v>0</v>
      </c>
      <c r="GK59" t="b">
        <f t="shared" si="113"/>
        <v>0</v>
      </c>
      <c r="GL59" t="b">
        <f t="shared" si="113"/>
        <v>0</v>
      </c>
      <c r="GM59" t="b">
        <f t="shared" si="113"/>
        <v>0</v>
      </c>
      <c r="GN59" t="b">
        <f t="shared" si="113"/>
        <v>0</v>
      </c>
      <c r="GO59" t="b">
        <f t="shared" si="113"/>
        <v>0</v>
      </c>
      <c r="GP59" t="b">
        <f t="shared" si="114"/>
        <v>0</v>
      </c>
      <c r="GQ59" t="b">
        <f t="shared" si="114"/>
        <v>0</v>
      </c>
      <c r="GR59" t="b">
        <f t="shared" si="114"/>
        <v>0</v>
      </c>
      <c r="GS59" t="b">
        <f t="shared" si="114"/>
        <v>0</v>
      </c>
      <c r="GT59" t="b">
        <f t="shared" si="114"/>
        <v>0</v>
      </c>
      <c r="GU59" t="b">
        <f t="shared" si="114"/>
        <v>0</v>
      </c>
      <c r="GV59" t="b">
        <f t="shared" si="114"/>
        <v>0</v>
      </c>
      <c r="GW59" t="b">
        <f t="shared" si="114"/>
        <v>0</v>
      </c>
      <c r="GX59" t="b">
        <f t="shared" si="114"/>
        <v>0</v>
      </c>
      <c r="GY59" t="b">
        <f t="shared" si="114"/>
        <v>1</v>
      </c>
      <c r="GZ59" t="b">
        <f t="shared" si="114"/>
        <v>0</v>
      </c>
    </row>
    <row r="60" spans="1:208" ht="15" hidden="1" thickBot="1" x14ac:dyDescent="0.35">
      <c r="A60" t="s">
        <v>28</v>
      </c>
      <c r="B60" t="s">
        <v>37</v>
      </c>
      <c r="C60" t="s">
        <v>53</v>
      </c>
      <c r="D60" s="3">
        <v>4</v>
      </c>
      <c r="E60" s="3">
        <v>15</v>
      </c>
      <c r="F60" s="3">
        <v>59</v>
      </c>
      <c r="G60" s="3">
        <v>80</v>
      </c>
      <c r="H60" t="str">
        <f t="shared" si="19"/>
        <v>4-15</v>
      </c>
      <c r="I60" t="b">
        <v>1</v>
      </c>
      <c r="K60" s="9"/>
      <c r="L60" s="9"/>
      <c r="M60" s="9"/>
      <c r="N60" s="9"/>
      <c r="O60" s="9"/>
      <c r="P60" s="9"/>
      <c r="Q60" s="14">
        <v>60</v>
      </c>
      <c r="R60" s="10" t="b">
        <f t="shared" si="96"/>
        <v>0</v>
      </c>
      <c r="S60" s="10" t="b">
        <f t="shared" si="96"/>
        <v>0</v>
      </c>
      <c r="T60" s="10" t="b">
        <f t="shared" si="96"/>
        <v>0</v>
      </c>
      <c r="U60" s="10" t="b">
        <f t="shared" si="96"/>
        <v>0</v>
      </c>
      <c r="V60" s="10" t="b">
        <f t="shared" si="96"/>
        <v>0</v>
      </c>
      <c r="W60" s="10" t="b">
        <f t="shared" si="96"/>
        <v>0</v>
      </c>
      <c r="X60" s="10" t="b">
        <f t="shared" si="96"/>
        <v>0</v>
      </c>
      <c r="Y60" s="10" t="b">
        <f t="shared" si="96"/>
        <v>0</v>
      </c>
      <c r="Z60" s="10" t="b">
        <f t="shared" si="96"/>
        <v>0</v>
      </c>
      <c r="AA60" s="10" t="b">
        <f t="shared" si="96"/>
        <v>0</v>
      </c>
      <c r="AB60" s="10" t="b">
        <f t="shared" si="97"/>
        <v>0</v>
      </c>
      <c r="AC60" s="10" t="b">
        <f t="shared" si="97"/>
        <v>0</v>
      </c>
      <c r="AD60" s="10" t="b">
        <f t="shared" si="97"/>
        <v>0</v>
      </c>
      <c r="AE60" s="10" t="b">
        <f t="shared" si="97"/>
        <v>0</v>
      </c>
      <c r="AF60" s="10" t="b">
        <f t="shared" si="97"/>
        <v>0</v>
      </c>
      <c r="AG60" s="10" t="b">
        <f t="shared" si="97"/>
        <v>0</v>
      </c>
      <c r="AH60" s="10" t="b">
        <f t="shared" si="97"/>
        <v>0</v>
      </c>
      <c r="AI60" s="10" t="b">
        <f t="shared" si="97"/>
        <v>0</v>
      </c>
      <c r="AJ60" s="10" t="b">
        <f t="shared" si="97"/>
        <v>0</v>
      </c>
      <c r="AK60" s="10" t="b">
        <f t="shared" si="97"/>
        <v>0</v>
      </c>
      <c r="AL60" s="10" t="b">
        <f t="shared" si="98"/>
        <v>0</v>
      </c>
      <c r="AM60" s="10" t="b">
        <f t="shared" si="98"/>
        <v>0</v>
      </c>
      <c r="AN60" s="10" t="b">
        <f t="shared" si="98"/>
        <v>0</v>
      </c>
      <c r="AO60" s="10" t="b">
        <f t="shared" si="98"/>
        <v>0</v>
      </c>
      <c r="AP60" s="10" t="b">
        <f t="shared" si="98"/>
        <v>0</v>
      </c>
      <c r="AQ60" s="10" t="b">
        <f t="shared" si="98"/>
        <v>0</v>
      </c>
      <c r="AR60" s="10" t="b">
        <f t="shared" si="98"/>
        <v>0</v>
      </c>
      <c r="AS60" s="10" t="b">
        <f t="shared" si="98"/>
        <v>0</v>
      </c>
      <c r="AT60" s="10" t="b">
        <f t="shared" si="98"/>
        <v>0</v>
      </c>
      <c r="AU60" s="10" t="b">
        <f t="shared" si="98"/>
        <v>0</v>
      </c>
      <c r="AV60" s="10" t="b">
        <f t="shared" si="99"/>
        <v>0</v>
      </c>
      <c r="AW60" s="10" t="b">
        <f t="shared" si="99"/>
        <v>0</v>
      </c>
      <c r="AX60" s="10" t="b">
        <f t="shared" si="99"/>
        <v>0</v>
      </c>
      <c r="AY60" s="10" t="b">
        <f t="shared" si="99"/>
        <v>0</v>
      </c>
      <c r="AZ60" s="10" t="b">
        <f t="shared" si="99"/>
        <v>0</v>
      </c>
      <c r="BA60" s="10" t="b">
        <f t="shared" si="99"/>
        <v>0</v>
      </c>
      <c r="BB60" s="10" t="b">
        <f t="shared" si="99"/>
        <v>0</v>
      </c>
      <c r="BC60" s="10" t="b">
        <f t="shared" si="99"/>
        <v>0</v>
      </c>
      <c r="BD60" s="10" t="b">
        <f t="shared" si="99"/>
        <v>0</v>
      </c>
      <c r="BE60" s="10" t="b">
        <f t="shared" si="99"/>
        <v>0</v>
      </c>
      <c r="BF60" s="10" t="b">
        <f t="shared" si="100"/>
        <v>0</v>
      </c>
      <c r="BG60" s="10" t="b">
        <f t="shared" si="100"/>
        <v>0</v>
      </c>
      <c r="BH60" s="10" t="b">
        <f t="shared" si="100"/>
        <v>0</v>
      </c>
      <c r="BI60" s="10" t="b">
        <f t="shared" si="100"/>
        <v>0</v>
      </c>
      <c r="BJ60" s="10" t="b">
        <f t="shared" si="100"/>
        <v>0</v>
      </c>
      <c r="BK60" s="10" t="b">
        <f t="shared" si="100"/>
        <v>0</v>
      </c>
      <c r="BL60" s="10" t="b">
        <f t="shared" si="100"/>
        <v>0</v>
      </c>
      <c r="BM60" s="10" t="b">
        <f t="shared" si="100"/>
        <v>0</v>
      </c>
      <c r="BN60" s="10" t="b">
        <f t="shared" si="100"/>
        <v>0</v>
      </c>
      <c r="BO60" s="10" t="b">
        <f t="shared" si="100"/>
        <v>0</v>
      </c>
      <c r="BP60" s="10" t="b">
        <f t="shared" si="101"/>
        <v>0</v>
      </c>
      <c r="BQ60" s="10" t="b">
        <f t="shared" si="101"/>
        <v>0</v>
      </c>
      <c r="BR60" s="10" t="b">
        <f t="shared" si="101"/>
        <v>0</v>
      </c>
      <c r="BS60" s="10" t="b">
        <f t="shared" si="101"/>
        <v>0</v>
      </c>
      <c r="BT60" s="10" t="b">
        <f t="shared" si="101"/>
        <v>0</v>
      </c>
      <c r="BU60" s="10" t="b">
        <f t="shared" si="101"/>
        <v>0</v>
      </c>
      <c r="BV60" s="10" t="b">
        <f t="shared" si="101"/>
        <v>0</v>
      </c>
      <c r="BW60" s="10" t="b">
        <f t="shared" si="101"/>
        <v>0</v>
      </c>
      <c r="BX60" s="10" t="b">
        <f t="shared" si="101"/>
        <v>0</v>
      </c>
      <c r="BY60" s="10" t="b">
        <f t="shared" si="101"/>
        <v>0</v>
      </c>
      <c r="BZ60" s="10" t="b">
        <f t="shared" si="102"/>
        <v>0</v>
      </c>
      <c r="CA60" s="10" t="b">
        <f t="shared" si="102"/>
        <v>0</v>
      </c>
      <c r="CB60" s="10" t="b">
        <f t="shared" si="102"/>
        <v>0</v>
      </c>
      <c r="CC60" s="10" t="b">
        <f t="shared" si="102"/>
        <v>0</v>
      </c>
      <c r="CD60" s="10" t="b">
        <f t="shared" si="102"/>
        <v>0</v>
      </c>
      <c r="CE60" s="10" t="b">
        <f t="shared" si="102"/>
        <v>0</v>
      </c>
      <c r="CF60" s="10" t="b">
        <f t="shared" si="102"/>
        <v>0</v>
      </c>
      <c r="CG60" s="10" t="b">
        <f t="shared" si="102"/>
        <v>0</v>
      </c>
      <c r="CH60" s="10" t="b">
        <f t="shared" si="102"/>
        <v>0</v>
      </c>
      <c r="CI60" s="10" t="b">
        <f t="shared" si="102"/>
        <v>0</v>
      </c>
      <c r="CJ60" s="10" t="b">
        <f t="shared" si="103"/>
        <v>0</v>
      </c>
      <c r="CK60" s="10" t="b">
        <f t="shared" si="103"/>
        <v>0</v>
      </c>
      <c r="CL60" s="10" t="b">
        <f t="shared" si="103"/>
        <v>0</v>
      </c>
      <c r="CM60" s="10" t="b">
        <f t="shared" si="103"/>
        <v>0</v>
      </c>
      <c r="CN60" s="10" t="b">
        <f t="shared" si="103"/>
        <v>0</v>
      </c>
      <c r="CO60" s="10" t="b">
        <f t="shared" si="103"/>
        <v>0</v>
      </c>
      <c r="CP60" s="10" t="b">
        <f t="shared" si="103"/>
        <v>0</v>
      </c>
      <c r="CQ60" s="10" t="b">
        <f t="shared" si="103"/>
        <v>0</v>
      </c>
      <c r="CR60" s="10" t="b">
        <f t="shared" si="103"/>
        <v>0</v>
      </c>
      <c r="CS60" s="10" t="b">
        <f t="shared" si="103"/>
        <v>0</v>
      </c>
      <c r="CT60" s="10" t="b">
        <f t="shared" si="104"/>
        <v>0</v>
      </c>
      <c r="CU60" s="10" t="b">
        <f t="shared" si="104"/>
        <v>0</v>
      </c>
      <c r="CV60" s="10" t="b">
        <f t="shared" si="104"/>
        <v>0</v>
      </c>
      <c r="CW60" s="10" t="b">
        <f t="shared" si="104"/>
        <v>1</v>
      </c>
      <c r="CX60" s="10" t="b">
        <f t="shared" si="104"/>
        <v>0</v>
      </c>
      <c r="CY60" s="10" t="b">
        <f t="shared" si="104"/>
        <v>0</v>
      </c>
      <c r="CZ60" s="10" t="b">
        <f t="shared" si="104"/>
        <v>0</v>
      </c>
      <c r="DA60" s="10" t="b">
        <f t="shared" si="104"/>
        <v>0</v>
      </c>
      <c r="DB60" s="10" t="b">
        <f t="shared" si="104"/>
        <v>0</v>
      </c>
      <c r="DC60" s="10" t="b">
        <f t="shared" si="104"/>
        <v>0</v>
      </c>
      <c r="DD60" s="10" t="b">
        <f t="shared" si="105"/>
        <v>0</v>
      </c>
      <c r="DE60" s="10" t="b">
        <f t="shared" si="105"/>
        <v>0</v>
      </c>
      <c r="DF60" s="10" t="b">
        <f t="shared" si="105"/>
        <v>0</v>
      </c>
      <c r="DG60" s="10" t="b">
        <f t="shared" si="105"/>
        <v>0</v>
      </c>
      <c r="DH60" s="10" t="b">
        <f t="shared" si="105"/>
        <v>0</v>
      </c>
      <c r="DI60" s="10" t="b">
        <f t="shared" si="105"/>
        <v>0</v>
      </c>
      <c r="DJ60" s="10" t="b">
        <f t="shared" si="105"/>
        <v>0</v>
      </c>
      <c r="DK60" s="10" t="b">
        <f t="shared" si="105"/>
        <v>0</v>
      </c>
      <c r="DL60" s="10" t="b">
        <f t="shared" si="105"/>
        <v>0</v>
      </c>
      <c r="DM60" s="10" t="b">
        <f t="shared" si="105"/>
        <v>0</v>
      </c>
      <c r="DN60" s="10" t="b">
        <f t="shared" si="106"/>
        <v>0</v>
      </c>
      <c r="DO60" s="10" t="b">
        <f t="shared" si="106"/>
        <v>0</v>
      </c>
      <c r="DP60" s="10" t="b">
        <f t="shared" si="106"/>
        <v>0</v>
      </c>
      <c r="DQ60" s="10" t="b">
        <f t="shared" si="106"/>
        <v>0</v>
      </c>
      <c r="DR60" s="10" t="b">
        <f t="shared" si="106"/>
        <v>0</v>
      </c>
      <c r="DS60" s="10" t="b">
        <f t="shared" si="106"/>
        <v>0</v>
      </c>
      <c r="DT60" s="10" t="b">
        <f t="shared" si="106"/>
        <v>0</v>
      </c>
      <c r="DU60" s="10" t="b">
        <f t="shared" si="106"/>
        <v>0</v>
      </c>
      <c r="DV60" s="10" t="b">
        <f t="shared" si="106"/>
        <v>0</v>
      </c>
      <c r="DW60" s="10" t="b">
        <f t="shared" si="106"/>
        <v>0</v>
      </c>
      <c r="DX60" s="10" t="b">
        <f t="shared" si="107"/>
        <v>0</v>
      </c>
      <c r="DY60" s="10" t="b">
        <f t="shared" si="107"/>
        <v>0</v>
      </c>
      <c r="DZ60" s="10" t="b">
        <f t="shared" si="107"/>
        <v>0</v>
      </c>
      <c r="EA60" s="10" t="b">
        <f t="shared" si="107"/>
        <v>0</v>
      </c>
      <c r="EB60" s="10" t="b">
        <f t="shared" si="107"/>
        <v>0</v>
      </c>
      <c r="EC60" s="10" t="b">
        <f t="shared" si="107"/>
        <v>0</v>
      </c>
      <c r="ED60" s="10" t="b">
        <f t="shared" si="107"/>
        <v>0</v>
      </c>
      <c r="EE60" s="10" t="b">
        <f t="shared" si="107"/>
        <v>0</v>
      </c>
      <c r="EF60" s="10" t="b">
        <f t="shared" si="107"/>
        <v>0</v>
      </c>
      <c r="EG60" s="10" t="b">
        <f t="shared" si="107"/>
        <v>0</v>
      </c>
      <c r="EH60" s="10" t="b">
        <f t="shared" si="108"/>
        <v>0</v>
      </c>
      <c r="EI60" s="10" t="b">
        <f t="shared" si="108"/>
        <v>0</v>
      </c>
      <c r="EJ60" s="10" t="b">
        <f t="shared" si="108"/>
        <v>0</v>
      </c>
      <c r="EK60" s="10" t="b">
        <f t="shared" si="108"/>
        <v>0</v>
      </c>
      <c r="EL60" s="10" t="b">
        <f t="shared" si="108"/>
        <v>0</v>
      </c>
      <c r="EM60" s="10" t="b">
        <f t="shared" si="108"/>
        <v>0</v>
      </c>
      <c r="EN60" s="10" t="b">
        <f t="shared" si="108"/>
        <v>0</v>
      </c>
      <c r="EO60" s="10" t="b">
        <f t="shared" si="108"/>
        <v>0</v>
      </c>
      <c r="EP60" s="10" t="b">
        <f t="shared" si="108"/>
        <v>0</v>
      </c>
      <c r="EQ60" s="10" t="b">
        <f t="shared" si="108"/>
        <v>0</v>
      </c>
      <c r="ER60" s="10" t="b">
        <f t="shared" si="109"/>
        <v>0</v>
      </c>
      <c r="ES60" s="10" t="b">
        <f t="shared" si="109"/>
        <v>0</v>
      </c>
      <c r="ET60" s="10" t="b">
        <f t="shared" si="109"/>
        <v>0</v>
      </c>
      <c r="EU60" s="10" t="b">
        <f t="shared" si="109"/>
        <v>0</v>
      </c>
      <c r="EV60" s="10" t="b">
        <f t="shared" si="109"/>
        <v>0</v>
      </c>
      <c r="EW60" s="10" t="b">
        <f t="shared" si="109"/>
        <v>0</v>
      </c>
      <c r="EX60" s="10" t="b">
        <f t="shared" si="109"/>
        <v>0</v>
      </c>
      <c r="EY60" s="10" t="b">
        <f t="shared" si="109"/>
        <v>0</v>
      </c>
      <c r="EZ60" s="10" t="b">
        <f t="shared" si="109"/>
        <v>0</v>
      </c>
      <c r="FA60" s="10" t="b">
        <f t="shared" si="109"/>
        <v>0</v>
      </c>
      <c r="FB60" s="10" t="b">
        <f t="shared" si="110"/>
        <v>0</v>
      </c>
      <c r="FC60" s="10" t="b">
        <f t="shared" si="110"/>
        <v>0</v>
      </c>
      <c r="FD60" s="10" t="b">
        <f t="shared" si="110"/>
        <v>0</v>
      </c>
      <c r="FE60" s="10" t="b">
        <f t="shared" si="110"/>
        <v>0</v>
      </c>
      <c r="FF60" s="10" t="b">
        <f t="shared" si="110"/>
        <v>0</v>
      </c>
      <c r="FG60" s="10" t="b">
        <f t="shared" si="110"/>
        <v>0</v>
      </c>
      <c r="FH60" s="10" t="b">
        <f t="shared" si="110"/>
        <v>0</v>
      </c>
      <c r="FI60" s="10" t="b">
        <f t="shared" si="110"/>
        <v>0</v>
      </c>
      <c r="FJ60" s="10" t="b">
        <f t="shared" si="110"/>
        <v>0</v>
      </c>
      <c r="FK60" s="10" t="b">
        <f t="shared" si="110"/>
        <v>0</v>
      </c>
      <c r="FL60" s="10" t="b">
        <f t="shared" si="111"/>
        <v>0</v>
      </c>
      <c r="FM60" s="10" t="b">
        <f t="shared" si="111"/>
        <v>0</v>
      </c>
      <c r="FN60" s="10" t="b">
        <f t="shared" si="111"/>
        <v>0</v>
      </c>
      <c r="FO60" s="10" t="b">
        <f t="shared" si="111"/>
        <v>0</v>
      </c>
      <c r="FP60" s="10" t="b">
        <f t="shared" si="111"/>
        <v>0</v>
      </c>
      <c r="FQ60" s="10" t="b">
        <f t="shared" si="111"/>
        <v>0</v>
      </c>
      <c r="FR60" s="10" t="b">
        <f t="shared" si="111"/>
        <v>0</v>
      </c>
      <c r="FS60" s="10" t="b">
        <f t="shared" si="111"/>
        <v>0</v>
      </c>
      <c r="FT60" s="10" t="b">
        <f t="shared" si="111"/>
        <v>0</v>
      </c>
      <c r="FU60" s="10" t="b">
        <f t="shared" si="111"/>
        <v>0</v>
      </c>
      <c r="FV60" s="10" t="b">
        <f t="shared" si="112"/>
        <v>0</v>
      </c>
      <c r="FW60" s="10" t="b">
        <f t="shared" si="112"/>
        <v>0</v>
      </c>
      <c r="FX60" s="10" t="b">
        <f t="shared" si="112"/>
        <v>0</v>
      </c>
      <c r="FY60" s="10" t="b">
        <f t="shared" si="112"/>
        <v>0</v>
      </c>
      <c r="FZ60" s="10" t="b">
        <f t="shared" si="112"/>
        <v>0</v>
      </c>
      <c r="GA60" s="10" t="b">
        <f t="shared" si="112"/>
        <v>0</v>
      </c>
      <c r="GB60" s="10" t="b">
        <f t="shared" si="112"/>
        <v>0</v>
      </c>
      <c r="GC60" s="10" t="b">
        <f t="shared" si="112"/>
        <v>0</v>
      </c>
      <c r="GD60" s="10" t="b">
        <f t="shared" si="112"/>
        <v>0</v>
      </c>
      <c r="GE60" s="10" t="b">
        <f t="shared" si="112"/>
        <v>0</v>
      </c>
      <c r="GF60" s="10" t="b">
        <f t="shared" si="113"/>
        <v>0</v>
      </c>
      <c r="GG60" s="10" t="b">
        <f t="shared" si="113"/>
        <v>0</v>
      </c>
      <c r="GH60" s="10" t="b">
        <f t="shared" si="113"/>
        <v>0</v>
      </c>
      <c r="GI60" s="10" t="b">
        <f t="shared" si="113"/>
        <v>0</v>
      </c>
      <c r="GJ60" s="10" t="b">
        <f t="shared" si="113"/>
        <v>0</v>
      </c>
      <c r="GK60" s="10" t="b">
        <f t="shared" si="113"/>
        <v>0</v>
      </c>
      <c r="GL60" s="10" t="b">
        <f t="shared" si="113"/>
        <v>0</v>
      </c>
      <c r="GM60" s="10" t="b">
        <f t="shared" si="113"/>
        <v>0</v>
      </c>
      <c r="GN60" s="10" t="b">
        <f t="shared" si="113"/>
        <v>0</v>
      </c>
      <c r="GO60" s="10" t="b">
        <f t="shared" si="113"/>
        <v>0</v>
      </c>
      <c r="GP60" s="10" t="b">
        <f t="shared" si="114"/>
        <v>0</v>
      </c>
      <c r="GQ60" s="10" t="b">
        <f t="shared" si="114"/>
        <v>0</v>
      </c>
      <c r="GR60" s="10" t="b">
        <f t="shared" si="114"/>
        <v>0</v>
      </c>
      <c r="GS60" s="10" t="b">
        <f t="shared" si="114"/>
        <v>0</v>
      </c>
      <c r="GT60" s="10" t="b">
        <f t="shared" si="114"/>
        <v>0</v>
      </c>
      <c r="GU60" s="10" t="b">
        <f t="shared" si="114"/>
        <v>0</v>
      </c>
      <c r="GV60" s="10" t="b">
        <f t="shared" si="114"/>
        <v>0</v>
      </c>
      <c r="GW60" s="10" t="b">
        <f t="shared" si="114"/>
        <v>0</v>
      </c>
      <c r="GX60" s="10" t="b">
        <f t="shared" si="114"/>
        <v>0</v>
      </c>
      <c r="GY60" s="10" t="b">
        <f t="shared" si="114"/>
        <v>0</v>
      </c>
      <c r="GZ60" s="10" t="b">
        <f t="shared" si="114"/>
        <v>0</v>
      </c>
    </row>
    <row r="61" spans="1:208" ht="15.6" thickTop="1" thickBot="1" x14ac:dyDescent="0.35">
      <c r="A61" t="s">
        <v>28</v>
      </c>
      <c r="B61" t="s">
        <v>37</v>
      </c>
      <c r="C61" t="s">
        <v>54</v>
      </c>
      <c r="D61" s="3">
        <v>4</v>
      </c>
      <c r="E61" s="3">
        <v>15</v>
      </c>
      <c r="F61" s="3">
        <v>60</v>
      </c>
      <c r="G61" s="3">
        <v>220</v>
      </c>
      <c r="H61" t="str">
        <f t="shared" si="19"/>
        <v>4-15</v>
      </c>
      <c r="I61" t="b">
        <v>1</v>
      </c>
      <c r="K61" s="18" t="s">
        <v>979</v>
      </c>
      <c r="L61" s="18" t="s">
        <v>980</v>
      </c>
      <c r="M61" s="18" t="s">
        <v>981</v>
      </c>
      <c r="N61" s="19" t="s">
        <v>982</v>
      </c>
      <c r="O61" s="18" t="s">
        <v>983</v>
      </c>
      <c r="P61" s="16" t="s">
        <v>978</v>
      </c>
      <c r="Q61" s="15" t="s">
        <v>3</v>
      </c>
      <c r="R61" s="6" t="s">
        <v>977</v>
      </c>
    </row>
    <row r="62" spans="1:208" ht="15" thickTop="1" x14ac:dyDescent="0.3">
      <c r="A62" t="s">
        <v>28</v>
      </c>
      <c r="B62" t="s">
        <v>37</v>
      </c>
      <c r="C62" t="s">
        <v>55</v>
      </c>
      <c r="D62" s="3">
        <v>4</v>
      </c>
      <c r="E62" s="3">
        <v>15</v>
      </c>
      <c r="F62" s="3">
        <v>61</v>
      </c>
      <c r="G62" s="3">
        <v>70</v>
      </c>
      <c r="H62" t="str">
        <f t="shared" si="19"/>
        <v>4-15</v>
      </c>
      <c r="I62" t="b">
        <v>1</v>
      </c>
      <c r="K62" s="20">
        <f>MIN(_xlfn.ANCHORARRAY(R62))</f>
        <v>7</v>
      </c>
      <c r="L62" s="20">
        <f>MAX(_xlfn.ANCHORARRAY(R62))</f>
        <v>182</v>
      </c>
      <c r="M62" s="21">
        <f>L62-K62</f>
        <v>175</v>
      </c>
      <c r="N62" s="20">
        <f>AVERAGE(_xlfn.ANCHORARRAY(R62))</f>
        <v>68.333333333333329</v>
      </c>
      <c r="O62" s="20">
        <f>IFERROR(STDEV(_xlfn.ANCHORARRAY(R62)),0)</f>
        <v>98.541023606076536</v>
      </c>
      <c r="P62" s="17">
        <f>COUNTA(_xlfn.ANCHORARRAY(R62))</f>
        <v>3</v>
      </c>
      <c r="Q62" s="13" cm="1">
        <f t="array" ref="Q62:Q120">_xlfn.ANCHORARRAY(Q2)</f>
        <v>2</v>
      </c>
      <c r="R62" s="11" cm="1">
        <f t="array" ref="R62:T62">_xlfn._xlws.FILTER($R$1:$GZ$1, $R2:$GZ2=TRUE)</f>
        <v>7</v>
      </c>
      <c r="S62" s="11">
        <v>16</v>
      </c>
      <c r="T62" s="11">
        <v>182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  <c r="FQ62" s="11"/>
      <c r="FR62" s="11"/>
      <c r="FS62" s="11"/>
      <c r="FT62" s="11"/>
      <c r="FU62" s="11"/>
      <c r="FV62" s="11"/>
      <c r="FW62" s="11"/>
      <c r="FX62" s="11"/>
      <c r="FY62" s="11"/>
      <c r="FZ62" s="11"/>
      <c r="GA62" s="11"/>
      <c r="GB62" s="11"/>
      <c r="GC62" s="11"/>
      <c r="GD62" s="11"/>
      <c r="GE62" s="11"/>
      <c r="GF62" s="11"/>
      <c r="GG62" s="11"/>
      <c r="GH62" s="11"/>
      <c r="GI62" s="11"/>
      <c r="GJ62" s="11"/>
      <c r="GK62" s="11"/>
      <c r="GL62" s="11"/>
      <c r="GM62" s="11"/>
      <c r="GN62" s="11"/>
      <c r="GO62" s="11"/>
      <c r="GP62" s="11"/>
      <c r="GQ62" s="11"/>
      <c r="GR62" s="11"/>
      <c r="GS62" s="11"/>
      <c r="GT62" s="11"/>
      <c r="GU62" s="11"/>
      <c r="GV62" s="11"/>
      <c r="GW62" s="11"/>
      <c r="GX62" s="11"/>
      <c r="GY62" s="11"/>
      <c r="GZ62" s="11">
        <v>1</v>
      </c>
    </row>
    <row r="63" spans="1:208" x14ac:dyDescent="0.3">
      <c r="A63" t="s">
        <v>28</v>
      </c>
      <c r="B63" t="s">
        <v>37</v>
      </c>
      <c r="C63" t="s">
        <v>56</v>
      </c>
      <c r="D63" s="3">
        <v>4</v>
      </c>
      <c r="E63" s="3">
        <v>15</v>
      </c>
      <c r="F63" s="3">
        <v>62</v>
      </c>
      <c r="G63" s="3">
        <v>1330</v>
      </c>
      <c r="H63" t="str">
        <f t="shared" si="19"/>
        <v>4-15</v>
      </c>
      <c r="I63" t="b">
        <v>1</v>
      </c>
      <c r="K63" s="20">
        <f t="shared" ref="K63:K120" si="115">MIN(_xlfn.ANCHORARRAY(R63))</f>
        <v>56</v>
      </c>
      <c r="L63" s="20">
        <f t="shared" ref="L63:L120" si="116">MAX(_xlfn.ANCHORARRAY(R63))</f>
        <v>64</v>
      </c>
      <c r="M63" s="21">
        <f t="shared" ref="M63:M120" si="117">L63-K63</f>
        <v>8</v>
      </c>
      <c r="N63" s="20">
        <f t="shared" ref="N63:N120" si="118">AVERAGE(_xlfn.ANCHORARRAY(R63))</f>
        <v>60</v>
      </c>
      <c r="O63" s="20">
        <f t="shared" ref="O63:O120" si="119">IFERROR(STDEV(_xlfn.ANCHORARRAY(R63)),0)</f>
        <v>5.6568542494923806</v>
      </c>
      <c r="P63" s="17">
        <f t="shared" ref="P63:P120" si="120">COUNTA(_xlfn.ANCHORARRAY(R63))</f>
        <v>2</v>
      </c>
      <c r="Q63" s="13">
        <v>3</v>
      </c>
      <c r="R63" s="9" cm="1">
        <f t="array" ref="R63:S63">_xlfn._xlws.FILTER($R$1:$GZ$1, $R3:$GZ3=TRUE)</f>
        <v>56</v>
      </c>
      <c r="S63">
        <v>64</v>
      </c>
    </row>
    <row r="64" spans="1:208" x14ac:dyDescent="0.3">
      <c r="A64" t="s">
        <v>28</v>
      </c>
      <c r="B64" t="s">
        <v>37</v>
      </c>
      <c r="C64" t="s">
        <v>57</v>
      </c>
      <c r="D64" s="3">
        <v>4</v>
      </c>
      <c r="E64" s="3">
        <v>15</v>
      </c>
      <c r="F64" s="3">
        <v>63</v>
      </c>
      <c r="G64" s="3">
        <v>310</v>
      </c>
      <c r="H64" t="str">
        <f t="shared" si="19"/>
        <v>4-15</v>
      </c>
      <c r="I64" t="b">
        <v>1</v>
      </c>
      <c r="K64" s="20">
        <f t="shared" si="115"/>
        <v>5</v>
      </c>
      <c r="L64" s="20">
        <f t="shared" si="116"/>
        <v>65</v>
      </c>
      <c r="M64" s="21">
        <f t="shared" si="117"/>
        <v>60</v>
      </c>
      <c r="N64" s="20">
        <f t="shared" si="118"/>
        <v>28.333333333333332</v>
      </c>
      <c r="O64" s="20">
        <f t="shared" si="119"/>
        <v>32.145502536643185</v>
      </c>
      <c r="P64" s="17">
        <f t="shared" si="120"/>
        <v>3</v>
      </c>
      <c r="Q64" s="13">
        <v>4</v>
      </c>
      <c r="R64" s="9" cm="1">
        <f t="array" ref="R64:T64">_xlfn._xlws.FILTER($R$1:$GZ$1, $R4:$GZ4=TRUE)</f>
        <v>5</v>
      </c>
      <c r="S64">
        <v>15</v>
      </c>
      <c r="T64">
        <v>65</v>
      </c>
    </row>
    <row r="65" spans="1:22" x14ac:dyDescent="0.3">
      <c r="A65" t="s">
        <v>28</v>
      </c>
      <c r="B65" t="s">
        <v>37</v>
      </c>
      <c r="C65" t="s">
        <v>58</v>
      </c>
      <c r="D65" s="3">
        <v>4</v>
      </c>
      <c r="E65" s="3">
        <v>15</v>
      </c>
      <c r="F65" s="3">
        <v>64</v>
      </c>
      <c r="G65" s="3">
        <v>150</v>
      </c>
      <c r="H65" t="str">
        <f t="shared" si="19"/>
        <v>4-15</v>
      </c>
      <c r="I65" t="b">
        <v>1</v>
      </c>
      <c r="K65" s="20">
        <f t="shared" si="115"/>
        <v>57</v>
      </c>
      <c r="L65" s="20">
        <f t="shared" si="116"/>
        <v>166</v>
      </c>
      <c r="M65" s="21">
        <f t="shared" si="117"/>
        <v>109</v>
      </c>
      <c r="N65" s="20">
        <f t="shared" si="118"/>
        <v>111.5</v>
      </c>
      <c r="O65" s="20">
        <f t="shared" si="119"/>
        <v>77.074639149333677</v>
      </c>
      <c r="P65" s="17">
        <f t="shared" si="120"/>
        <v>2</v>
      </c>
      <c r="Q65" s="13">
        <v>5</v>
      </c>
      <c r="R65" s="9" cm="1">
        <f t="array" ref="R65:S65">_xlfn._xlws.FILTER($R$1:$GZ$1, $R5:$GZ5=TRUE)</f>
        <v>57</v>
      </c>
      <c r="S65">
        <v>166</v>
      </c>
    </row>
    <row r="66" spans="1:22" x14ac:dyDescent="0.3">
      <c r="A66" t="s">
        <v>28</v>
      </c>
      <c r="B66" t="s">
        <v>37</v>
      </c>
      <c r="C66" t="s">
        <v>59</v>
      </c>
      <c r="D66" s="3">
        <v>4</v>
      </c>
      <c r="E66" s="3">
        <v>15</v>
      </c>
      <c r="F66" s="3">
        <v>65</v>
      </c>
      <c r="G66" s="3">
        <v>80</v>
      </c>
      <c r="H66" t="str">
        <f t="shared" si="19"/>
        <v>4-15</v>
      </c>
      <c r="I66" t="b">
        <v>1</v>
      </c>
      <c r="K66" s="20">
        <f t="shared" si="115"/>
        <v>14</v>
      </c>
      <c r="L66" s="20">
        <f t="shared" si="116"/>
        <v>14</v>
      </c>
      <c r="M66" s="21">
        <f t="shared" si="117"/>
        <v>0</v>
      </c>
      <c r="N66" s="20">
        <f t="shared" si="118"/>
        <v>14</v>
      </c>
      <c r="O66" s="20">
        <f t="shared" si="119"/>
        <v>0</v>
      </c>
      <c r="P66" s="17">
        <f t="shared" si="120"/>
        <v>1</v>
      </c>
      <c r="Q66" s="13">
        <v>6</v>
      </c>
      <c r="R66" s="9" cm="1">
        <f t="array" ref="R66">_xlfn._xlws.FILTER($R$1:$GZ$1, $R6:$GZ6=TRUE)</f>
        <v>14</v>
      </c>
    </row>
    <row r="67" spans="1:22" x14ac:dyDescent="0.3">
      <c r="A67" t="s">
        <v>28</v>
      </c>
      <c r="B67" t="s">
        <v>37</v>
      </c>
      <c r="C67" t="s">
        <v>60</v>
      </c>
      <c r="D67" s="3">
        <v>4</v>
      </c>
      <c r="E67" s="3">
        <v>15</v>
      </c>
      <c r="F67" s="3">
        <v>66</v>
      </c>
      <c r="G67" s="3">
        <v>5200</v>
      </c>
      <c r="H67" t="str">
        <f t="shared" ref="H67:H130" si="121">_xlfn.CONCAT(D67,"-",E67)</f>
        <v>4-15</v>
      </c>
      <c r="I67" t="b">
        <v>1</v>
      </c>
      <c r="K67" s="20">
        <f t="shared" si="115"/>
        <v>53</v>
      </c>
      <c r="L67" s="20">
        <f t="shared" si="116"/>
        <v>178</v>
      </c>
      <c r="M67" s="21">
        <f t="shared" si="117"/>
        <v>125</v>
      </c>
      <c r="N67" s="20">
        <f t="shared" si="118"/>
        <v>115.25</v>
      </c>
      <c r="O67" s="20">
        <f t="shared" si="119"/>
        <v>52.480948924347778</v>
      </c>
      <c r="P67" s="17">
        <f t="shared" si="120"/>
        <v>4</v>
      </c>
      <c r="Q67" s="13">
        <v>7</v>
      </c>
      <c r="R67" s="9" cm="1">
        <f t="array" ref="R67:U67">_xlfn._xlws.FILTER($R$1:$GZ$1, $R7:$GZ7=TRUE)</f>
        <v>53</v>
      </c>
      <c r="S67">
        <v>100</v>
      </c>
      <c r="T67">
        <v>130</v>
      </c>
      <c r="U67">
        <v>178</v>
      </c>
    </row>
    <row r="68" spans="1:22" x14ac:dyDescent="0.3">
      <c r="A68" t="s">
        <v>28</v>
      </c>
      <c r="B68" t="s">
        <v>37</v>
      </c>
      <c r="C68" t="s">
        <v>61</v>
      </c>
      <c r="D68" s="3">
        <v>4</v>
      </c>
      <c r="E68" s="3">
        <v>15</v>
      </c>
      <c r="F68" s="3">
        <v>67</v>
      </c>
      <c r="G68" s="3">
        <v>50</v>
      </c>
      <c r="H68" t="str">
        <f t="shared" si="121"/>
        <v>4-15</v>
      </c>
      <c r="I68" t="b">
        <v>1</v>
      </c>
      <c r="K68" s="20">
        <f t="shared" si="115"/>
        <v>21</v>
      </c>
      <c r="L68" s="20">
        <f t="shared" si="116"/>
        <v>21</v>
      </c>
      <c r="M68" s="21">
        <f t="shared" si="117"/>
        <v>0</v>
      </c>
      <c r="N68" s="20">
        <f t="shared" si="118"/>
        <v>21</v>
      </c>
      <c r="O68" s="20">
        <f t="shared" si="119"/>
        <v>0</v>
      </c>
      <c r="P68" s="17">
        <f t="shared" si="120"/>
        <v>1</v>
      </c>
      <c r="Q68" s="13">
        <v>8</v>
      </c>
      <c r="R68" s="9" cm="1">
        <f t="array" ref="R68">_xlfn._xlws.FILTER($R$1:$GZ$1, $R8:$GZ8=TRUE)</f>
        <v>21</v>
      </c>
    </row>
    <row r="69" spans="1:22" x14ac:dyDescent="0.3">
      <c r="A69" t="s">
        <v>28</v>
      </c>
      <c r="B69" t="s">
        <v>37</v>
      </c>
      <c r="C69" t="s">
        <v>62</v>
      </c>
      <c r="D69" s="3">
        <v>4</v>
      </c>
      <c r="E69" s="3">
        <v>15</v>
      </c>
      <c r="F69" s="3">
        <v>68</v>
      </c>
      <c r="G69" s="3">
        <v>440</v>
      </c>
      <c r="H69" t="str">
        <f t="shared" si="121"/>
        <v>4-15</v>
      </c>
      <c r="I69" t="b">
        <v>1</v>
      </c>
      <c r="K69" s="20">
        <f t="shared" si="115"/>
        <v>22</v>
      </c>
      <c r="L69" s="20">
        <f t="shared" si="116"/>
        <v>155</v>
      </c>
      <c r="M69" s="21">
        <f t="shared" si="117"/>
        <v>133</v>
      </c>
      <c r="N69" s="20">
        <f t="shared" si="118"/>
        <v>72.666666666666671</v>
      </c>
      <c r="O69" s="20">
        <f t="shared" si="119"/>
        <v>71.932839046803466</v>
      </c>
      <c r="P69" s="17">
        <f t="shared" si="120"/>
        <v>3</v>
      </c>
      <c r="Q69" s="13">
        <v>9</v>
      </c>
      <c r="R69" s="9" cm="1">
        <f t="array" ref="R69:T69">_xlfn._xlws.FILTER($R$1:$GZ$1, $R9:$GZ9=TRUE)</f>
        <v>22</v>
      </c>
      <c r="S69">
        <v>41</v>
      </c>
      <c r="T69">
        <v>155</v>
      </c>
    </row>
    <row r="70" spans="1:22" x14ac:dyDescent="0.3">
      <c r="A70" t="s">
        <v>7</v>
      </c>
      <c r="B70" t="s">
        <v>14</v>
      </c>
      <c r="C70" t="s">
        <v>15</v>
      </c>
      <c r="D70" s="3">
        <v>2</v>
      </c>
      <c r="E70" s="3">
        <v>16</v>
      </c>
      <c r="F70" s="3">
        <v>69</v>
      </c>
      <c r="G70" s="3">
        <v>210</v>
      </c>
      <c r="H70" t="str">
        <f t="shared" si="121"/>
        <v>2-16</v>
      </c>
      <c r="I70" t="b">
        <v>1</v>
      </c>
      <c r="K70" s="20">
        <f t="shared" si="115"/>
        <v>48</v>
      </c>
      <c r="L70" s="20">
        <f t="shared" si="116"/>
        <v>132</v>
      </c>
      <c r="M70" s="21">
        <f t="shared" si="117"/>
        <v>84</v>
      </c>
      <c r="N70" s="20">
        <f t="shared" si="118"/>
        <v>90</v>
      </c>
      <c r="O70" s="20">
        <f t="shared" si="119"/>
        <v>59.396969619669989</v>
      </c>
      <c r="P70" s="17">
        <f t="shared" si="120"/>
        <v>2</v>
      </c>
      <c r="Q70" s="13">
        <v>10</v>
      </c>
      <c r="R70" s="9" cm="1">
        <f t="array" ref="R70:S70">_xlfn._xlws.FILTER($R$1:$GZ$1, $R10:$GZ10=TRUE)</f>
        <v>48</v>
      </c>
      <c r="S70">
        <v>132</v>
      </c>
    </row>
    <row r="71" spans="1:22" x14ac:dyDescent="0.3">
      <c r="A71" t="s">
        <v>7</v>
      </c>
      <c r="B71" t="s">
        <v>14</v>
      </c>
      <c r="C71" t="s">
        <v>16</v>
      </c>
      <c r="D71" s="3">
        <v>2</v>
      </c>
      <c r="E71" s="3">
        <v>16</v>
      </c>
      <c r="F71" s="3">
        <v>70</v>
      </c>
      <c r="G71" s="3">
        <v>3620</v>
      </c>
      <c r="H71" t="str">
        <f t="shared" si="121"/>
        <v>2-16</v>
      </c>
      <c r="I71" t="b">
        <v>1</v>
      </c>
      <c r="K71" s="20">
        <f t="shared" si="115"/>
        <v>27</v>
      </c>
      <c r="L71" s="20">
        <f t="shared" si="116"/>
        <v>189</v>
      </c>
      <c r="M71" s="21">
        <f t="shared" si="117"/>
        <v>162</v>
      </c>
      <c r="N71" s="20">
        <f t="shared" si="118"/>
        <v>123</v>
      </c>
      <c r="O71" s="20">
        <f t="shared" si="119"/>
        <v>85.064681272546949</v>
      </c>
      <c r="P71" s="17">
        <f t="shared" si="120"/>
        <v>3</v>
      </c>
      <c r="Q71" s="13">
        <v>11</v>
      </c>
      <c r="R71" s="9" cm="1">
        <f t="array" ref="R71:T71">_xlfn._xlws.FILTER($R$1:$GZ$1, $R11:$GZ11=TRUE)</f>
        <v>27</v>
      </c>
      <c r="S71">
        <v>153</v>
      </c>
      <c r="T71">
        <v>189</v>
      </c>
    </row>
    <row r="72" spans="1:22" x14ac:dyDescent="0.3">
      <c r="A72" t="s">
        <v>7</v>
      </c>
      <c r="B72" t="s">
        <v>14</v>
      </c>
      <c r="C72" t="s">
        <v>17</v>
      </c>
      <c r="D72" s="3">
        <v>2</v>
      </c>
      <c r="E72" s="3">
        <v>16</v>
      </c>
      <c r="F72" s="3">
        <v>71</v>
      </c>
      <c r="G72" s="3">
        <v>800</v>
      </c>
      <c r="H72" t="str">
        <f t="shared" si="121"/>
        <v>2-16</v>
      </c>
      <c r="I72" t="b">
        <v>1</v>
      </c>
      <c r="K72" s="20">
        <f t="shared" si="115"/>
        <v>36</v>
      </c>
      <c r="L72" s="20">
        <f t="shared" si="116"/>
        <v>36</v>
      </c>
      <c r="M72" s="21">
        <f t="shared" si="117"/>
        <v>0</v>
      </c>
      <c r="N72" s="20">
        <f t="shared" si="118"/>
        <v>36</v>
      </c>
      <c r="O72" s="20">
        <f t="shared" si="119"/>
        <v>0</v>
      </c>
      <c r="P72" s="17">
        <f t="shared" si="120"/>
        <v>1</v>
      </c>
      <c r="Q72" s="13">
        <v>12</v>
      </c>
      <c r="R72" s="9" cm="1">
        <f t="array" ref="R72">_xlfn._xlws.FILTER($R$1:$GZ$1, $R12:$GZ12=TRUE)</f>
        <v>36</v>
      </c>
    </row>
    <row r="73" spans="1:22" x14ac:dyDescent="0.3">
      <c r="A73" t="s">
        <v>7</v>
      </c>
      <c r="B73" t="s">
        <v>14</v>
      </c>
      <c r="C73" t="s">
        <v>18</v>
      </c>
      <c r="D73" s="3">
        <v>2</v>
      </c>
      <c r="E73" s="3">
        <v>16</v>
      </c>
      <c r="F73" s="3">
        <v>72</v>
      </c>
      <c r="G73" s="3">
        <v>250</v>
      </c>
      <c r="H73" t="str">
        <f t="shared" si="121"/>
        <v>2-16</v>
      </c>
      <c r="I73" t="b">
        <v>1</v>
      </c>
      <c r="K73" s="20">
        <f t="shared" si="115"/>
        <v>38</v>
      </c>
      <c r="L73" s="20">
        <f t="shared" si="116"/>
        <v>38</v>
      </c>
      <c r="M73" s="21">
        <f t="shared" si="117"/>
        <v>0</v>
      </c>
      <c r="N73" s="20">
        <f t="shared" si="118"/>
        <v>38</v>
      </c>
      <c r="O73" s="20">
        <f t="shared" si="119"/>
        <v>0</v>
      </c>
      <c r="P73" s="17">
        <f t="shared" si="120"/>
        <v>1</v>
      </c>
      <c r="Q73" s="13">
        <v>13</v>
      </c>
      <c r="R73" s="9" cm="1">
        <f t="array" ref="R73">_xlfn._xlws.FILTER($R$1:$GZ$1, $R13:$GZ13=TRUE)</f>
        <v>38</v>
      </c>
    </row>
    <row r="74" spans="1:22" x14ac:dyDescent="0.3">
      <c r="A74" t="s">
        <v>7</v>
      </c>
      <c r="B74" t="s">
        <v>14</v>
      </c>
      <c r="C74" t="s">
        <v>19</v>
      </c>
      <c r="D74" s="3">
        <v>2</v>
      </c>
      <c r="E74" s="3">
        <v>16</v>
      </c>
      <c r="F74" s="3">
        <v>73</v>
      </c>
      <c r="G74" s="3">
        <v>400</v>
      </c>
      <c r="H74" t="str">
        <f t="shared" si="121"/>
        <v>2-16</v>
      </c>
      <c r="I74" t="b">
        <v>1</v>
      </c>
      <c r="K74" s="20">
        <f t="shared" si="115"/>
        <v>85</v>
      </c>
      <c r="L74" s="20">
        <f t="shared" si="116"/>
        <v>85</v>
      </c>
      <c r="M74" s="21">
        <f t="shared" si="117"/>
        <v>0</v>
      </c>
      <c r="N74" s="20">
        <f t="shared" si="118"/>
        <v>85</v>
      </c>
      <c r="O74" s="20">
        <f t="shared" si="119"/>
        <v>0</v>
      </c>
      <c r="P74" s="17">
        <f t="shared" si="120"/>
        <v>1</v>
      </c>
      <c r="Q74" s="13">
        <v>14</v>
      </c>
      <c r="R74" s="9" cm="1">
        <f t="array" ref="R74">_xlfn._xlws.FILTER($R$1:$GZ$1, $R14:$GZ14=TRUE)</f>
        <v>85</v>
      </c>
    </row>
    <row r="75" spans="1:22" x14ac:dyDescent="0.3">
      <c r="A75" t="s">
        <v>745</v>
      </c>
      <c r="B75" t="s">
        <v>746</v>
      </c>
      <c r="C75" t="s">
        <v>747</v>
      </c>
      <c r="D75" s="3">
        <v>36</v>
      </c>
      <c r="E75" s="3">
        <v>17</v>
      </c>
      <c r="F75" s="3">
        <v>161</v>
      </c>
      <c r="G75" s="3">
        <v>20</v>
      </c>
      <c r="H75" t="str">
        <f t="shared" si="121"/>
        <v>36-17</v>
      </c>
      <c r="I75" t="b">
        <v>1</v>
      </c>
      <c r="K75" s="20">
        <f t="shared" si="115"/>
        <v>91</v>
      </c>
      <c r="L75" s="20">
        <f t="shared" si="116"/>
        <v>107</v>
      </c>
      <c r="M75" s="21">
        <f t="shared" si="117"/>
        <v>16</v>
      </c>
      <c r="N75" s="20">
        <f t="shared" si="118"/>
        <v>99</v>
      </c>
      <c r="O75" s="20">
        <f t="shared" si="119"/>
        <v>11.313708498984761</v>
      </c>
      <c r="P75" s="17">
        <f t="shared" si="120"/>
        <v>2</v>
      </c>
      <c r="Q75" s="13">
        <v>15</v>
      </c>
      <c r="R75" s="9" cm="1">
        <f t="array" ref="R75:S75">_xlfn._xlws.FILTER($R$1:$GZ$1, $R15:$GZ15=TRUE)</f>
        <v>91</v>
      </c>
      <c r="S75">
        <v>107</v>
      </c>
    </row>
    <row r="76" spans="1:22" x14ac:dyDescent="0.3">
      <c r="A76" t="s">
        <v>456</v>
      </c>
      <c r="B76" t="s">
        <v>472</v>
      </c>
      <c r="C76" t="s">
        <v>473</v>
      </c>
      <c r="D76" s="3">
        <v>29</v>
      </c>
      <c r="E76" s="3">
        <v>18</v>
      </c>
      <c r="F76" s="3">
        <v>75</v>
      </c>
      <c r="G76" s="3">
        <v>500</v>
      </c>
      <c r="H76" t="str">
        <f t="shared" si="121"/>
        <v>29-18</v>
      </c>
      <c r="I76" t="b">
        <v>1</v>
      </c>
      <c r="K76" s="20">
        <f t="shared" si="115"/>
        <v>32</v>
      </c>
      <c r="L76" s="20">
        <f t="shared" si="116"/>
        <v>176</v>
      </c>
      <c r="M76" s="21">
        <f t="shared" si="117"/>
        <v>144</v>
      </c>
      <c r="N76" s="20">
        <f t="shared" si="118"/>
        <v>110.2</v>
      </c>
      <c r="O76" s="20">
        <f t="shared" si="119"/>
        <v>71.670775076037799</v>
      </c>
      <c r="P76" s="17">
        <f t="shared" si="120"/>
        <v>5</v>
      </c>
      <c r="Q76" s="13">
        <v>16</v>
      </c>
      <c r="R76" s="9" cm="1">
        <f t="array" ref="R76:V76">_xlfn._xlws.FILTER($R$1:$GZ$1, $R16:$GZ16=TRUE)</f>
        <v>32</v>
      </c>
      <c r="S76">
        <v>33</v>
      </c>
      <c r="T76">
        <v>147</v>
      </c>
      <c r="U76">
        <v>163</v>
      </c>
      <c r="V76">
        <v>176</v>
      </c>
    </row>
    <row r="77" spans="1:22" x14ac:dyDescent="0.3">
      <c r="A77" t="s">
        <v>864</v>
      </c>
      <c r="B77" t="s">
        <v>865</v>
      </c>
      <c r="C77" t="s">
        <v>866</v>
      </c>
      <c r="D77" s="3">
        <v>47</v>
      </c>
      <c r="E77" s="3">
        <v>19</v>
      </c>
      <c r="F77" s="3">
        <v>76</v>
      </c>
      <c r="G77" s="3">
        <v>60</v>
      </c>
      <c r="H77" t="str">
        <f t="shared" si="121"/>
        <v>47-19</v>
      </c>
      <c r="I77" t="b">
        <v>1</v>
      </c>
      <c r="K77" s="20">
        <f t="shared" si="115"/>
        <v>25</v>
      </c>
      <c r="L77" s="20">
        <f t="shared" si="116"/>
        <v>185</v>
      </c>
      <c r="M77" s="21">
        <f t="shared" si="117"/>
        <v>160</v>
      </c>
      <c r="N77" s="20">
        <f t="shared" si="118"/>
        <v>105</v>
      </c>
      <c r="O77" s="20">
        <f t="shared" si="119"/>
        <v>113.13708498984761</v>
      </c>
      <c r="P77" s="17">
        <f t="shared" si="120"/>
        <v>2</v>
      </c>
      <c r="Q77" s="13">
        <v>17</v>
      </c>
      <c r="R77" s="9" cm="1">
        <f t="array" ref="R77:S77">_xlfn._xlws.FILTER($R$1:$GZ$1, $R17:$GZ17=TRUE)</f>
        <v>25</v>
      </c>
      <c r="S77">
        <v>185</v>
      </c>
    </row>
    <row r="78" spans="1:22" x14ac:dyDescent="0.3">
      <c r="A78" t="s">
        <v>416</v>
      </c>
      <c r="B78" t="s">
        <v>417</v>
      </c>
      <c r="C78" t="s">
        <v>179</v>
      </c>
      <c r="D78" s="3">
        <v>27</v>
      </c>
      <c r="E78" s="3">
        <v>20</v>
      </c>
      <c r="F78" s="3">
        <v>77</v>
      </c>
      <c r="G78" s="3">
        <v>720</v>
      </c>
      <c r="H78" t="str">
        <f t="shared" si="121"/>
        <v>27-20</v>
      </c>
      <c r="I78" t="b">
        <v>1</v>
      </c>
      <c r="K78" s="20">
        <f t="shared" si="115"/>
        <v>51</v>
      </c>
      <c r="L78" s="20">
        <f t="shared" si="116"/>
        <v>139</v>
      </c>
      <c r="M78" s="21">
        <f t="shared" si="117"/>
        <v>88</v>
      </c>
      <c r="N78" s="20">
        <f t="shared" si="118"/>
        <v>90</v>
      </c>
      <c r="O78" s="20">
        <f t="shared" si="119"/>
        <v>44.844174649557324</v>
      </c>
      <c r="P78" s="17">
        <f t="shared" si="120"/>
        <v>3</v>
      </c>
      <c r="Q78" s="13">
        <v>18</v>
      </c>
      <c r="R78" s="9" cm="1">
        <f t="array" ref="R78:T78">_xlfn._xlws.FILTER($R$1:$GZ$1, $R18:$GZ18=TRUE)</f>
        <v>51</v>
      </c>
      <c r="S78">
        <v>80</v>
      </c>
      <c r="T78">
        <v>139</v>
      </c>
    </row>
    <row r="79" spans="1:22" x14ac:dyDescent="0.3">
      <c r="A79" t="s">
        <v>124</v>
      </c>
      <c r="B79" t="s">
        <v>125</v>
      </c>
      <c r="C79" t="s">
        <v>126</v>
      </c>
      <c r="D79" s="3">
        <v>8</v>
      </c>
      <c r="E79" s="3">
        <v>21</v>
      </c>
      <c r="F79" s="3">
        <v>78</v>
      </c>
      <c r="G79" s="3">
        <v>40</v>
      </c>
      <c r="H79" t="str">
        <f t="shared" si="121"/>
        <v>8-21</v>
      </c>
      <c r="I79" t="b">
        <v>1</v>
      </c>
      <c r="K79" s="20">
        <f t="shared" si="115"/>
        <v>52</v>
      </c>
      <c r="L79" s="20">
        <f t="shared" si="116"/>
        <v>52</v>
      </c>
      <c r="M79" s="21">
        <f t="shared" si="117"/>
        <v>0</v>
      </c>
      <c r="N79" s="20">
        <f t="shared" si="118"/>
        <v>52</v>
      </c>
      <c r="O79" s="20">
        <f t="shared" si="119"/>
        <v>0</v>
      </c>
      <c r="P79" s="17">
        <f t="shared" si="120"/>
        <v>1</v>
      </c>
      <c r="Q79" s="13">
        <v>19</v>
      </c>
      <c r="R79" s="9" cm="1">
        <f t="array" ref="R79">_xlfn._xlws.FILTER($R$1:$GZ$1, $R19:$GZ19=TRUE)</f>
        <v>52</v>
      </c>
    </row>
    <row r="80" spans="1:22" x14ac:dyDescent="0.3">
      <c r="A80" t="s">
        <v>127</v>
      </c>
      <c r="B80" t="s">
        <v>128</v>
      </c>
      <c r="C80" t="s">
        <v>129</v>
      </c>
      <c r="D80" s="3">
        <v>9</v>
      </c>
      <c r="E80" s="3">
        <v>22</v>
      </c>
      <c r="F80" s="3">
        <v>79</v>
      </c>
      <c r="G80" s="3">
        <v>1570</v>
      </c>
      <c r="H80" t="str">
        <f t="shared" si="121"/>
        <v>9-22</v>
      </c>
      <c r="I80" t="b">
        <v>1</v>
      </c>
      <c r="K80" s="20">
        <f t="shared" si="115"/>
        <v>60</v>
      </c>
      <c r="L80" s="20">
        <f t="shared" si="116"/>
        <v>60</v>
      </c>
      <c r="M80" s="21">
        <f t="shared" si="117"/>
        <v>0</v>
      </c>
      <c r="N80" s="20">
        <f t="shared" si="118"/>
        <v>60</v>
      </c>
      <c r="O80" s="20">
        <f t="shared" si="119"/>
        <v>0</v>
      </c>
      <c r="P80" s="17">
        <f t="shared" si="120"/>
        <v>1</v>
      </c>
      <c r="Q80" s="13">
        <v>20</v>
      </c>
      <c r="R80" s="9" cm="1">
        <f t="array" ref="R80">_xlfn._xlws.FILTER($R$1:$GZ$1, $R20:$GZ20=TRUE)</f>
        <v>60</v>
      </c>
    </row>
    <row r="81" spans="1:40" x14ac:dyDescent="0.3">
      <c r="A81" t="s">
        <v>593</v>
      </c>
      <c r="B81" t="s">
        <v>597</v>
      </c>
      <c r="C81" t="s">
        <v>386</v>
      </c>
      <c r="D81" s="3">
        <v>31</v>
      </c>
      <c r="E81" s="3">
        <v>23</v>
      </c>
      <c r="F81" s="3">
        <v>80</v>
      </c>
      <c r="G81" s="3">
        <v>290</v>
      </c>
      <c r="H81" t="str">
        <f t="shared" si="121"/>
        <v>31-23</v>
      </c>
      <c r="I81" t="b">
        <v>1</v>
      </c>
      <c r="K81" s="20">
        <f t="shared" si="115"/>
        <v>173</v>
      </c>
      <c r="L81" s="20">
        <f t="shared" si="116"/>
        <v>173</v>
      </c>
      <c r="M81" s="21">
        <f t="shared" si="117"/>
        <v>0</v>
      </c>
      <c r="N81" s="20">
        <f t="shared" si="118"/>
        <v>173</v>
      </c>
      <c r="O81" s="20">
        <f t="shared" si="119"/>
        <v>0</v>
      </c>
      <c r="P81" s="17">
        <f t="shared" si="120"/>
        <v>1</v>
      </c>
      <c r="Q81" s="13">
        <v>21</v>
      </c>
      <c r="R81" s="9" cm="1">
        <f t="array" ref="R81">_xlfn._xlws.FILTER($R$1:$GZ$1, $R21:$GZ21=TRUE)</f>
        <v>173</v>
      </c>
    </row>
    <row r="82" spans="1:40" x14ac:dyDescent="0.3">
      <c r="A82" t="s">
        <v>593</v>
      </c>
      <c r="B82" t="s">
        <v>597</v>
      </c>
      <c r="C82" t="s">
        <v>598</v>
      </c>
      <c r="D82" s="3">
        <v>31</v>
      </c>
      <c r="E82" s="3">
        <v>23</v>
      </c>
      <c r="F82" s="3">
        <v>81</v>
      </c>
      <c r="G82" s="3">
        <v>230</v>
      </c>
      <c r="H82" t="str">
        <f t="shared" si="121"/>
        <v>31-23</v>
      </c>
      <c r="I82" t="b">
        <v>1</v>
      </c>
      <c r="K82" s="20">
        <f t="shared" si="115"/>
        <v>4</v>
      </c>
      <c r="L82" s="20">
        <f t="shared" si="116"/>
        <v>187</v>
      </c>
      <c r="M82" s="21">
        <f t="shared" si="117"/>
        <v>183</v>
      </c>
      <c r="N82" s="20">
        <f t="shared" si="118"/>
        <v>87.5</v>
      </c>
      <c r="O82" s="20">
        <f t="shared" si="119"/>
        <v>61.886185857588607</v>
      </c>
      <c r="P82" s="17">
        <f t="shared" si="120"/>
        <v>6</v>
      </c>
      <c r="Q82" s="13">
        <v>22</v>
      </c>
      <c r="R82" s="9" cm="1">
        <f t="array" ref="R82:W82">_xlfn._xlws.FILTER($R$1:$GZ$1, $R22:$GZ22=TRUE)</f>
        <v>4</v>
      </c>
      <c r="S82">
        <v>43</v>
      </c>
      <c r="T82">
        <v>94</v>
      </c>
      <c r="U82">
        <v>96</v>
      </c>
      <c r="V82">
        <v>101</v>
      </c>
      <c r="W82">
        <v>187</v>
      </c>
    </row>
    <row r="83" spans="1:40" x14ac:dyDescent="0.3">
      <c r="A83" t="s">
        <v>745</v>
      </c>
      <c r="B83" t="s">
        <v>748</v>
      </c>
      <c r="C83" t="s">
        <v>749</v>
      </c>
      <c r="D83" s="3">
        <v>36</v>
      </c>
      <c r="E83" s="3">
        <v>24</v>
      </c>
      <c r="F83" s="3">
        <v>82</v>
      </c>
      <c r="G83" s="3">
        <v>80</v>
      </c>
      <c r="H83" t="str">
        <f t="shared" si="121"/>
        <v>36-24</v>
      </c>
      <c r="I83" t="b">
        <v>1</v>
      </c>
      <c r="K83" s="20">
        <f t="shared" si="115"/>
        <v>162</v>
      </c>
      <c r="L83" s="20">
        <f t="shared" si="116"/>
        <v>162</v>
      </c>
      <c r="M83" s="21">
        <f t="shared" si="117"/>
        <v>0</v>
      </c>
      <c r="N83" s="20">
        <f t="shared" si="118"/>
        <v>162</v>
      </c>
      <c r="O83" s="20">
        <f t="shared" si="119"/>
        <v>0</v>
      </c>
      <c r="P83" s="17">
        <f t="shared" si="120"/>
        <v>1</v>
      </c>
      <c r="Q83" s="13">
        <v>23</v>
      </c>
      <c r="R83" s="9" cm="1">
        <f t="array" ref="R83">_xlfn._xlws.FILTER($R$1:$GZ$1, $R23:$GZ23=TRUE)</f>
        <v>162</v>
      </c>
    </row>
    <row r="84" spans="1:40" x14ac:dyDescent="0.3">
      <c r="A84" t="s">
        <v>745</v>
      </c>
      <c r="B84" t="s">
        <v>748</v>
      </c>
      <c r="C84" t="s">
        <v>658</v>
      </c>
      <c r="D84" s="3">
        <v>36</v>
      </c>
      <c r="E84" s="3">
        <v>24</v>
      </c>
      <c r="F84" s="3">
        <v>83</v>
      </c>
      <c r="G84" s="3">
        <v>1020</v>
      </c>
      <c r="H84" t="str">
        <f t="shared" si="121"/>
        <v>36-24</v>
      </c>
      <c r="I84" t="b">
        <v>1</v>
      </c>
      <c r="K84" s="20">
        <f t="shared" si="115"/>
        <v>68</v>
      </c>
      <c r="L84" s="20">
        <f t="shared" si="116"/>
        <v>191</v>
      </c>
      <c r="M84" s="21">
        <f t="shared" si="117"/>
        <v>123</v>
      </c>
      <c r="N84" s="20">
        <f t="shared" si="118"/>
        <v>129.5</v>
      </c>
      <c r="O84" s="20">
        <f t="shared" si="119"/>
        <v>86.974134085945352</v>
      </c>
      <c r="P84" s="17">
        <f t="shared" si="120"/>
        <v>2</v>
      </c>
      <c r="Q84" s="13">
        <v>24</v>
      </c>
      <c r="R84" s="9" cm="1">
        <f t="array" ref="R84:S84">_xlfn._xlws.FILTER($R$1:$GZ$1, $R24:$GZ24=TRUE)</f>
        <v>68</v>
      </c>
      <c r="S84">
        <v>191</v>
      </c>
    </row>
    <row r="85" spans="1:40" x14ac:dyDescent="0.3">
      <c r="A85" t="s">
        <v>745</v>
      </c>
      <c r="B85" t="s">
        <v>748</v>
      </c>
      <c r="C85" t="s">
        <v>750</v>
      </c>
      <c r="D85" s="3">
        <v>36</v>
      </c>
      <c r="E85" s="3">
        <v>24</v>
      </c>
      <c r="F85" s="3">
        <v>84</v>
      </c>
      <c r="G85" s="3">
        <v>80</v>
      </c>
      <c r="H85" t="str">
        <f t="shared" si="121"/>
        <v>36-24</v>
      </c>
      <c r="I85" t="b">
        <v>1</v>
      </c>
      <c r="K85" s="20">
        <f t="shared" si="115"/>
        <v>102</v>
      </c>
      <c r="L85" s="20">
        <f t="shared" si="116"/>
        <v>128</v>
      </c>
      <c r="M85" s="21">
        <f t="shared" si="117"/>
        <v>26</v>
      </c>
      <c r="N85" s="20">
        <f t="shared" si="118"/>
        <v>115</v>
      </c>
      <c r="O85" s="20">
        <f t="shared" si="119"/>
        <v>18.384776310850235</v>
      </c>
      <c r="P85" s="17">
        <f t="shared" si="120"/>
        <v>2</v>
      </c>
      <c r="Q85" s="13">
        <v>25</v>
      </c>
      <c r="R85" s="9" cm="1">
        <f t="array" ref="R85:S85">_xlfn._xlws.FILTER($R$1:$GZ$1, $R25:$GZ25=TRUE)</f>
        <v>102</v>
      </c>
      <c r="S85">
        <v>128</v>
      </c>
    </row>
    <row r="86" spans="1:40" x14ac:dyDescent="0.3">
      <c r="A86" t="s">
        <v>745</v>
      </c>
      <c r="B86" t="s">
        <v>748</v>
      </c>
      <c r="C86" t="s">
        <v>100</v>
      </c>
      <c r="D86" s="3">
        <v>36</v>
      </c>
      <c r="E86" s="3">
        <v>24</v>
      </c>
      <c r="F86" s="3">
        <v>85</v>
      </c>
      <c r="G86" s="3">
        <v>280</v>
      </c>
      <c r="H86" t="str">
        <f t="shared" si="121"/>
        <v>36-24</v>
      </c>
      <c r="I86" t="b">
        <v>1</v>
      </c>
      <c r="K86" s="20">
        <f t="shared" si="115"/>
        <v>10</v>
      </c>
      <c r="L86" s="20">
        <f t="shared" si="116"/>
        <v>149</v>
      </c>
      <c r="M86" s="21">
        <f t="shared" si="117"/>
        <v>139</v>
      </c>
      <c r="N86" s="20">
        <f t="shared" si="118"/>
        <v>109.71428571428571</v>
      </c>
      <c r="O86" s="20">
        <f t="shared" si="119"/>
        <v>46.013455588969776</v>
      </c>
      <c r="P86" s="17">
        <f t="shared" si="120"/>
        <v>7</v>
      </c>
      <c r="Q86" s="13">
        <v>26</v>
      </c>
      <c r="R86" s="9" cm="1">
        <f t="array" ref="R86:X86">_xlfn._xlws.FILTER($R$1:$GZ$1, $R26:$GZ26=TRUE)</f>
        <v>10</v>
      </c>
      <c r="S86">
        <v>108</v>
      </c>
      <c r="T86">
        <v>115</v>
      </c>
      <c r="U86">
        <v>123</v>
      </c>
      <c r="V86">
        <v>126</v>
      </c>
      <c r="W86">
        <v>137</v>
      </c>
      <c r="X86">
        <v>149</v>
      </c>
    </row>
    <row r="87" spans="1:40" x14ac:dyDescent="0.3">
      <c r="A87" t="s">
        <v>745</v>
      </c>
      <c r="B87" t="s">
        <v>748</v>
      </c>
      <c r="C87" t="s">
        <v>490</v>
      </c>
      <c r="D87" s="3">
        <v>36</v>
      </c>
      <c r="E87" s="3">
        <v>24</v>
      </c>
      <c r="F87" s="3">
        <v>86</v>
      </c>
      <c r="G87" s="3">
        <v>400</v>
      </c>
      <c r="H87" t="str">
        <f t="shared" si="121"/>
        <v>36-24</v>
      </c>
      <c r="I87" t="b">
        <v>1</v>
      </c>
      <c r="K87" s="20">
        <f t="shared" si="115"/>
        <v>20</v>
      </c>
      <c r="L87" s="20">
        <f t="shared" si="116"/>
        <v>105</v>
      </c>
      <c r="M87" s="21">
        <f t="shared" si="117"/>
        <v>85</v>
      </c>
      <c r="N87" s="20">
        <f t="shared" si="118"/>
        <v>60.571428571428569</v>
      </c>
      <c r="O87" s="20">
        <f t="shared" si="119"/>
        <v>30.718382893945567</v>
      </c>
      <c r="P87" s="17">
        <f t="shared" si="120"/>
        <v>7</v>
      </c>
      <c r="Q87" s="13">
        <v>27</v>
      </c>
      <c r="R87" s="9" cm="1">
        <f t="array" ref="R87:X87">_xlfn._xlws.FILTER($R$1:$GZ$1, $R27:$GZ27=TRUE)</f>
        <v>20</v>
      </c>
      <c r="S87">
        <v>35</v>
      </c>
      <c r="T87">
        <v>49</v>
      </c>
      <c r="U87">
        <v>50</v>
      </c>
      <c r="V87">
        <v>73</v>
      </c>
      <c r="W87">
        <v>92</v>
      </c>
      <c r="X87">
        <v>105</v>
      </c>
    </row>
    <row r="88" spans="1:40" x14ac:dyDescent="0.3">
      <c r="A88" t="s">
        <v>745</v>
      </c>
      <c r="B88" t="s">
        <v>748</v>
      </c>
      <c r="C88" t="s">
        <v>751</v>
      </c>
      <c r="D88" s="3">
        <v>36</v>
      </c>
      <c r="E88" s="3">
        <v>24</v>
      </c>
      <c r="F88" s="3">
        <v>87</v>
      </c>
      <c r="G88" s="3">
        <v>120</v>
      </c>
      <c r="H88" t="str">
        <f t="shared" si="121"/>
        <v>36-24</v>
      </c>
      <c r="I88" t="b">
        <v>1</v>
      </c>
      <c r="K88" s="20">
        <f t="shared" si="115"/>
        <v>61</v>
      </c>
      <c r="L88" s="20">
        <f t="shared" si="116"/>
        <v>61</v>
      </c>
      <c r="M88" s="21">
        <f t="shared" si="117"/>
        <v>0</v>
      </c>
      <c r="N88" s="20">
        <f t="shared" si="118"/>
        <v>61</v>
      </c>
      <c r="O88" s="20">
        <f t="shared" si="119"/>
        <v>0</v>
      </c>
      <c r="P88" s="17">
        <f t="shared" si="120"/>
        <v>1</v>
      </c>
      <c r="Q88" s="13">
        <v>28</v>
      </c>
      <c r="R88" s="9" cm="1">
        <f t="array" ref="R88">_xlfn._xlws.FILTER($R$1:$GZ$1, $R28:$GZ28=TRUE)</f>
        <v>61</v>
      </c>
    </row>
    <row r="89" spans="1:40" x14ac:dyDescent="0.3">
      <c r="A89" t="s">
        <v>745</v>
      </c>
      <c r="B89" t="s">
        <v>748</v>
      </c>
      <c r="C89" t="s">
        <v>752</v>
      </c>
      <c r="D89" s="3">
        <v>36</v>
      </c>
      <c r="E89" s="3">
        <v>24</v>
      </c>
      <c r="F89" s="3">
        <v>88</v>
      </c>
      <c r="G89" s="3">
        <v>90</v>
      </c>
      <c r="H89" t="str">
        <f t="shared" si="121"/>
        <v>36-24</v>
      </c>
      <c r="I89" t="b">
        <v>1</v>
      </c>
      <c r="K89" s="20">
        <f t="shared" si="115"/>
        <v>2</v>
      </c>
      <c r="L89" s="20">
        <f t="shared" si="116"/>
        <v>196</v>
      </c>
      <c r="M89" s="21">
        <f t="shared" si="117"/>
        <v>194</v>
      </c>
      <c r="N89" s="20">
        <f t="shared" si="118"/>
        <v>90.695652173913047</v>
      </c>
      <c r="O89" s="20">
        <f t="shared" si="119"/>
        <v>59.407249926869341</v>
      </c>
      <c r="P89" s="17">
        <f t="shared" si="120"/>
        <v>23</v>
      </c>
      <c r="Q89" s="13">
        <v>29</v>
      </c>
      <c r="R89" s="9" cm="1">
        <f t="array" ref="R89:AN89">_xlfn._xlws.FILTER($R$1:$GZ$1, $R29:$GZ29=TRUE)</f>
        <v>2</v>
      </c>
      <c r="S89">
        <v>11</v>
      </c>
      <c r="T89">
        <v>13</v>
      </c>
      <c r="U89">
        <v>18</v>
      </c>
      <c r="V89">
        <v>31</v>
      </c>
      <c r="W89">
        <v>37</v>
      </c>
      <c r="X89">
        <v>47</v>
      </c>
      <c r="Y89">
        <v>55</v>
      </c>
      <c r="Z89">
        <v>58</v>
      </c>
      <c r="AA89">
        <v>63</v>
      </c>
      <c r="AB89">
        <v>89</v>
      </c>
      <c r="AC89">
        <v>90</v>
      </c>
      <c r="AD89">
        <v>97</v>
      </c>
      <c r="AE89">
        <v>106</v>
      </c>
      <c r="AF89">
        <v>114</v>
      </c>
      <c r="AG89">
        <v>119</v>
      </c>
      <c r="AH89">
        <v>133</v>
      </c>
      <c r="AI89">
        <v>134</v>
      </c>
      <c r="AJ89">
        <v>159</v>
      </c>
      <c r="AK89">
        <v>167</v>
      </c>
      <c r="AL89">
        <v>168</v>
      </c>
      <c r="AM89">
        <v>179</v>
      </c>
      <c r="AN89">
        <v>196</v>
      </c>
    </row>
    <row r="90" spans="1:40" x14ac:dyDescent="0.3">
      <c r="A90" t="s">
        <v>745</v>
      </c>
      <c r="B90" t="s">
        <v>748</v>
      </c>
      <c r="C90" t="s">
        <v>753</v>
      </c>
      <c r="D90" s="3">
        <v>36</v>
      </c>
      <c r="E90" s="3">
        <v>24</v>
      </c>
      <c r="F90" s="3">
        <v>89</v>
      </c>
      <c r="G90" s="3">
        <v>850</v>
      </c>
      <c r="H90" t="str">
        <f t="shared" si="121"/>
        <v>36-24</v>
      </c>
      <c r="I90" t="b">
        <v>1</v>
      </c>
      <c r="K90" s="20">
        <f t="shared" si="115"/>
        <v>1</v>
      </c>
      <c r="L90" s="20">
        <f t="shared" si="116"/>
        <v>174</v>
      </c>
      <c r="M90" s="21">
        <f t="shared" si="117"/>
        <v>173</v>
      </c>
      <c r="N90" s="20">
        <f t="shared" si="118"/>
        <v>100.94736842105263</v>
      </c>
      <c r="O90" s="20">
        <f t="shared" si="119"/>
        <v>58.792926335865459</v>
      </c>
      <c r="P90" s="17">
        <f t="shared" si="120"/>
        <v>19</v>
      </c>
      <c r="Q90" s="13">
        <v>30</v>
      </c>
      <c r="R90" s="9" cm="1">
        <f t="array" ref="R90:AJ90">_xlfn._xlws.FILTER($R$1:$GZ$1, $R30:$GZ30=TRUE)</f>
        <v>1</v>
      </c>
      <c r="S90">
        <v>3</v>
      </c>
      <c r="T90">
        <v>8</v>
      </c>
      <c r="U90">
        <v>40</v>
      </c>
      <c r="V90">
        <v>46</v>
      </c>
      <c r="W90">
        <v>59</v>
      </c>
      <c r="X90">
        <v>69</v>
      </c>
      <c r="Y90">
        <v>99</v>
      </c>
      <c r="Z90">
        <v>117</v>
      </c>
      <c r="AA90">
        <v>125</v>
      </c>
      <c r="AB90">
        <v>131</v>
      </c>
      <c r="AC90">
        <v>135</v>
      </c>
      <c r="AD90">
        <v>142</v>
      </c>
      <c r="AE90">
        <v>144</v>
      </c>
      <c r="AF90">
        <v>145</v>
      </c>
      <c r="AG90">
        <v>146</v>
      </c>
      <c r="AH90">
        <v>165</v>
      </c>
      <c r="AI90">
        <v>169</v>
      </c>
      <c r="AJ90">
        <v>174</v>
      </c>
    </row>
    <row r="91" spans="1:40" x14ac:dyDescent="0.3">
      <c r="A91" t="s">
        <v>745</v>
      </c>
      <c r="B91" t="s">
        <v>748</v>
      </c>
      <c r="C91" t="s">
        <v>754</v>
      </c>
      <c r="D91" s="3">
        <v>36</v>
      </c>
      <c r="E91" s="3">
        <v>24</v>
      </c>
      <c r="F91" s="3">
        <v>90</v>
      </c>
      <c r="G91" s="3">
        <v>1190</v>
      </c>
      <c r="H91" t="str">
        <f t="shared" si="121"/>
        <v>36-24</v>
      </c>
      <c r="I91" t="b">
        <v>1</v>
      </c>
      <c r="K91" s="20">
        <f t="shared" si="115"/>
        <v>6</v>
      </c>
      <c r="L91" s="20">
        <f t="shared" si="116"/>
        <v>193</v>
      </c>
      <c r="M91" s="21">
        <f t="shared" si="117"/>
        <v>187</v>
      </c>
      <c r="N91" s="20">
        <f t="shared" si="118"/>
        <v>108.80952380952381</v>
      </c>
      <c r="O91" s="20">
        <f t="shared" si="119"/>
        <v>58.504375090773387</v>
      </c>
      <c r="P91" s="17">
        <f t="shared" si="120"/>
        <v>21</v>
      </c>
      <c r="Q91" s="13">
        <v>31</v>
      </c>
      <c r="R91" s="9" cm="1">
        <f t="array" ref="R91:AL91">_xlfn._xlws.FILTER($R$1:$GZ$1, $R31:$GZ31=TRUE)</f>
        <v>6</v>
      </c>
      <c r="S91">
        <v>9</v>
      </c>
      <c r="T91">
        <v>23</v>
      </c>
      <c r="U91">
        <v>42</v>
      </c>
      <c r="V91">
        <v>54</v>
      </c>
      <c r="W91">
        <v>61</v>
      </c>
      <c r="X91">
        <v>78</v>
      </c>
      <c r="Y91">
        <v>98</v>
      </c>
      <c r="Z91">
        <v>109</v>
      </c>
      <c r="AA91">
        <v>112</v>
      </c>
      <c r="AB91">
        <v>121</v>
      </c>
      <c r="AC91">
        <v>122</v>
      </c>
      <c r="AD91">
        <v>127</v>
      </c>
      <c r="AE91">
        <v>136</v>
      </c>
      <c r="AF91">
        <v>148</v>
      </c>
      <c r="AG91">
        <v>151</v>
      </c>
      <c r="AH91">
        <v>157</v>
      </c>
      <c r="AI91">
        <v>158</v>
      </c>
      <c r="AJ91">
        <v>188</v>
      </c>
      <c r="AK91">
        <v>192</v>
      </c>
      <c r="AL91">
        <v>193</v>
      </c>
    </row>
    <row r="92" spans="1:40" x14ac:dyDescent="0.3">
      <c r="A92" t="s">
        <v>239</v>
      </c>
      <c r="B92" t="s">
        <v>240</v>
      </c>
      <c r="C92" t="s">
        <v>89</v>
      </c>
      <c r="D92" s="3">
        <v>17</v>
      </c>
      <c r="E92" s="3">
        <v>25</v>
      </c>
      <c r="F92" s="3">
        <v>91</v>
      </c>
      <c r="G92" s="3">
        <v>1480</v>
      </c>
      <c r="H92" t="str">
        <f t="shared" si="121"/>
        <v>17-25</v>
      </c>
      <c r="I92" t="b">
        <v>1</v>
      </c>
      <c r="K92" s="20">
        <f t="shared" si="115"/>
        <v>180</v>
      </c>
      <c r="L92" s="20">
        <f t="shared" si="116"/>
        <v>180</v>
      </c>
      <c r="M92" s="21">
        <f t="shared" si="117"/>
        <v>0</v>
      </c>
      <c r="N92" s="20">
        <f t="shared" si="118"/>
        <v>180</v>
      </c>
      <c r="O92" s="20">
        <f t="shared" si="119"/>
        <v>0</v>
      </c>
      <c r="P92" s="17">
        <f t="shared" si="120"/>
        <v>1</v>
      </c>
      <c r="Q92" s="13">
        <v>32</v>
      </c>
      <c r="R92" s="9" cm="1">
        <f t="array" ref="R92">_xlfn._xlws.FILTER($R$1:$GZ$1, $R32:$GZ32=TRUE)</f>
        <v>180</v>
      </c>
    </row>
    <row r="93" spans="1:40" x14ac:dyDescent="0.3">
      <c r="A93" t="s">
        <v>239</v>
      </c>
      <c r="B93" t="s">
        <v>240</v>
      </c>
      <c r="C93" t="s">
        <v>241</v>
      </c>
      <c r="D93" s="3">
        <v>17</v>
      </c>
      <c r="E93" s="3">
        <v>25</v>
      </c>
      <c r="F93" s="3">
        <v>92</v>
      </c>
      <c r="G93" s="3">
        <v>60</v>
      </c>
      <c r="H93" t="str">
        <f t="shared" si="121"/>
        <v>17-25</v>
      </c>
      <c r="I93" t="b">
        <v>1</v>
      </c>
      <c r="K93" s="20">
        <f t="shared" si="115"/>
        <v>28</v>
      </c>
      <c r="L93" s="20">
        <f t="shared" si="116"/>
        <v>28</v>
      </c>
      <c r="M93" s="21">
        <f t="shared" si="117"/>
        <v>0</v>
      </c>
      <c r="N93" s="20">
        <f t="shared" si="118"/>
        <v>28</v>
      </c>
      <c r="O93" s="20">
        <f t="shared" si="119"/>
        <v>0</v>
      </c>
      <c r="P93" s="17">
        <f t="shared" si="120"/>
        <v>1</v>
      </c>
      <c r="Q93" s="13">
        <v>33</v>
      </c>
      <c r="R93" s="9" cm="1">
        <f t="array" ref="R93">_xlfn._xlws.FILTER($R$1:$GZ$1, $R33:$GZ33=TRUE)</f>
        <v>28</v>
      </c>
    </row>
    <row r="94" spans="1:40" x14ac:dyDescent="0.3">
      <c r="A94" t="s">
        <v>239</v>
      </c>
      <c r="B94" t="s">
        <v>240</v>
      </c>
      <c r="C94" t="s">
        <v>242</v>
      </c>
      <c r="D94" s="3">
        <v>17</v>
      </c>
      <c r="E94" s="3">
        <v>25</v>
      </c>
      <c r="F94" s="3">
        <v>93</v>
      </c>
      <c r="G94" s="3">
        <v>230</v>
      </c>
      <c r="H94" t="str">
        <f t="shared" si="121"/>
        <v>17-25</v>
      </c>
      <c r="I94" t="b">
        <v>1</v>
      </c>
      <c r="K94" s="20">
        <f t="shared" si="115"/>
        <v>120</v>
      </c>
      <c r="L94" s="20">
        <f t="shared" si="116"/>
        <v>120</v>
      </c>
      <c r="M94" s="21">
        <f t="shared" si="117"/>
        <v>0</v>
      </c>
      <c r="N94" s="20">
        <f t="shared" si="118"/>
        <v>120</v>
      </c>
      <c r="O94" s="20">
        <f t="shared" si="119"/>
        <v>0</v>
      </c>
      <c r="P94" s="17">
        <f t="shared" si="120"/>
        <v>1</v>
      </c>
      <c r="Q94" s="13">
        <v>34</v>
      </c>
      <c r="R94" s="9" cm="1">
        <f t="array" ref="R94">_xlfn._xlws.FILTER($R$1:$GZ$1, $R34:$GZ34=TRUE)</f>
        <v>120</v>
      </c>
    </row>
    <row r="95" spans="1:40" x14ac:dyDescent="0.3">
      <c r="A95" t="s">
        <v>239</v>
      </c>
      <c r="B95" t="s">
        <v>240</v>
      </c>
      <c r="C95" t="s">
        <v>204</v>
      </c>
      <c r="D95" s="3">
        <v>17</v>
      </c>
      <c r="E95" s="3">
        <v>25</v>
      </c>
      <c r="F95" s="3">
        <v>94</v>
      </c>
      <c r="G95" s="3">
        <v>180</v>
      </c>
      <c r="H95" t="str">
        <f t="shared" si="121"/>
        <v>17-25</v>
      </c>
      <c r="I95" t="b">
        <v>1</v>
      </c>
      <c r="K95" s="20">
        <f t="shared" si="115"/>
        <v>29</v>
      </c>
      <c r="L95" s="20">
        <f t="shared" si="116"/>
        <v>175</v>
      </c>
      <c r="M95" s="21">
        <f t="shared" si="117"/>
        <v>146</v>
      </c>
      <c r="N95" s="20">
        <f t="shared" si="118"/>
        <v>78</v>
      </c>
      <c r="O95" s="20">
        <f t="shared" si="119"/>
        <v>56.554398591091037</v>
      </c>
      <c r="P95" s="17">
        <f t="shared" si="120"/>
        <v>6</v>
      </c>
      <c r="Q95" s="13">
        <v>35</v>
      </c>
      <c r="R95" s="9" cm="1">
        <f t="array" ref="R95:W95">_xlfn._xlws.FILTER($R$1:$GZ$1, $R35:$GZ35=TRUE)</f>
        <v>29</v>
      </c>
      <c r="S95">
        <v>34</v>
      </c>
      <c r="T95">
        <v>39</v>
      </c>
      <c r="U95">
        <v>88</v>
      </c>
      <c r="V95">
        <v>103</v>
      </c>
      <c r="W95">
        <v>175</v>
      </c>
    </row>
    <row r="96" spans="1:40" x14ac:dyDescent="0.3">
      <c r="A96" t="s">
        <v>239</v>
      </c>
      <c r="B96" t="s">
        <v>240</v>
      </c>
      <c r="C96" t="s">
        <v>243</v>
      </c>
      <c r="D96" s="3">
        <v>17</v>
      </c>
      <c r="E96" s="3">
        <v>25</v>
      </c>
      <c r="F96" s="3">
        <v>95</v>
      </c>
      <c r="G96" s="3">
        <v>80</v>
      </c>
      <c r="H96" t="str">
        <f t="shared" si="121"/>
        <v>17-25</v>
      </c>
      <c r="I96" t="b">
        <v>1</v>
      </c>
      <c r="K96" s="20">
        <f t="shared" si="115"/>
        <v>17</v>
      </c>
      <c r="L96" s="20">
        <f t="shared" si="116"/>
        <v>79</v>
      </c>
      <c r="M96" s="21">
        <f t="shared" si="117"/>
        <v>62</v>
      </c>
      <c r="N96" s="20">
        <f t="shared" si="118"/>
        <v>41.8</v>
      </c>
      <c r="O96" s="20">
        <f t="shared" si="119"/>
        <v>24.139179770655005</v>
      </c>
      <c r="P96" s="17">
        <f t="shared" si="120"/>
        <v>5</v>
      </c>
      <c r="Q96" s="13">
        <v>36</v>
      </c>
      <c r="R96" s="9" cm="1">
        <f t="array" ref="R96:V96">_xlfn._xlws.FILTER($R$1:$GZ$1, $R36:$GZ36=TRUE)</f>
        <v>17</v>
      </c>
      <c r="S96">
        <v>24</v>
      </c>
      <c r="T96">
        <v>44</v>
      </c>
      <c r="U96">
        <v>45</v>
      </c>
      <c r="V96">
        <v>79</v>
      </c>
    </row>
    <row r="97" spans="1:29" x14ac:dyDescent="0.3">
      <c r="A97" t="s">
        <v>239</v>
      </c>
      <c r="B97" t="s">
        <v>240</v>
      </c>
      <c r="C97" t="s">
        <v>244</v>
      </c>
      <c r="D97" s="3">
        <v>17</v>
      </c>
      <c r="E97" s="3">
        <v>25</v>
      </c>
      <c r="F97" s="3">
        <v>96</v>
      </c>
      <c r="G97" s="3">
        <v>90</v>
      </c>
      <c r="H97" t="str">
        <f t="shared" si="121"/>
        <v>17-25</v>
      </c>
      <c r="I97" t="b">
        <v>1</v>
      </c>
      <c r="K97" s="20">
        <f t="shared" si="115"/>
        <v>194</v>
      </c>
      <c r="L97" s="20">
        <f t="shared" si="116"/>
        <v>194</v>
      </c>
      <c r="M97" s="21">
        <f t="shared" si="117"/>
        <v>0</v>
      </c>
      <c r="N97" s="20">
        <f t="shared" si="118"/>
        <v>194</v>
      </c>
      <c r="O97" s="20">
        <f t="shared" si="119"/>
        <v>0</v>
      </c>
      <c r="P97" s="17">
        <f t="shared" si="120"/>
        <v>1</v>
      </c>
      <c r="Q97" s="13">
        <v>37</v>
      </c>
      <c r="R97" s="9" cm="1">
        <f t="array" ref="R97">_xlfn._xlws.FILTER($R$1:$GZ$1, $R37:$GZ37=TRUE)</f>
        <v>194</v>
      </c>
    </row>
    <row r="98" spans="1:29" x14ac:dyDescent="0.3">
      <c r="A98" t="s">
        <v>239</v>
      </c>
      <c r="B98" t="s">
        <v>240</v>
      </c>
      <c r="C98" t="s">
        <v>60</v>
      </c>
      <c r="D98" s="3">
        <v>17</v>
      </c>
      <c r="E98" s="3">
        <v>25</v>
      </c>
      <c r="F98" s="3">
        <v>97</v>
      </c>
      <c r="G98" s="3">
        <v>290</v>
      </c>
      <c r="H98" t="str">
        <f t="shared" si="121"/>
        <v>17-25</v>
      </c>
      <c r="I98" t="b">
        <v>1</v>
      </c>
      <c r="K98" s="20">
        <f t="shared" si="115"/>
        <v>75</v>
      </c>
      <c r="L98" s="20">
        <f t="shared" si="116"/>
        <v>156</v>
      </c>
      <c r="M98" s="21">
        <f t="shared" si="117"/>
        <v>81</v>
      </c>
      <c r="N98" s="20">
        <f t="shared" si="118"/>
        <v>111.25</v>
      </c>
      <c r="O98" s="20">
        <f t="shared" si="119"/>
        <v>41.93149174546501</v>
      </c>
      <c r="P98" s="17">
        <f t="shared" si="120"/>
        <v>4</v>
      </c>
      <c r="Q98" s="13">
        <v>38</v>
      </c>
      <c r="R98" s="9" cm="1">
        <f t="array" ref="R98:U98">_xlfn._xlws.FILTER($R$1:$GZ$1, $R38:$GZ38=TRUE)</f>
        <v>75</v>
      </c>
      <c r="S98">
        <v>76</v>
      </c>
      <c r="T98">
        <v>138</v>
      </c>
      <c r="U98">
        <v>156</v>
      </c>
    </row>
    <row r="99" spans="1:29" x14ac:dyDescent="0.3">
      <c r="A99" t="s">
        <v>875</v>
      </c>
      <c r="B99" t="s">
        <v>876</v>
      </c>
      <c r="C99" t="s">
        <v>877</v>
      </c>
      <c r="D99" s="3">
        <v>50</v>
      </c>
      <c r="E99" s="3">
        <v>26</v>
      </c>
      <c r="F99" s="3">
        <v>98</v>
      </c>
      <c r="G99" s="3">
        <v>70</v>
      </c>
      <c r="H99" t="str">
        <f t="shared" si="121"/>
        <v>50-26</v>
      </c>
      <c r="I99" t="b">
        <v>1</v>
      </c>
      <c r="K99" s="20">
        <f t="shared" si="115"/>
        <v>124</v>
      </c>
      <c r="L99" s="20">
        <f t="shared" si="116"/>
        <v>143</v>
      </c>
      <c r="M99" s="21">
        <f t="shared" si="117"/>
        <v>19</v>
      </c>
      <c r="N99" s="20">
        <f t="shared" si="118"/>
        <v>133.5</v>
      </c>
      <c r="O99" s="20">
        <f t="shared" si="119"/>
        <v>13.435028842544403</v>
      </c>
      <c r="P99" s="17">
        <f t="shared" si="120"/>
        <v>2</v>
      </c>
      <c r="Q99" s="13">
        <v>39</v>
      </c>
      <c r="R99" s="9" cm="1">
        <f t="array" ref="R99:S99">_xlfn._xlws.FILTER($R$1:$GZ$1, $R39:$GZ39=TRUE)</f>
        <v>124</v>
      </c>
      <c r="S99">
        <v>143</v>
      </c>
    </row>
    <row r="100" spans="1:29" x14ac:dyDescent="0.3">
      <c r="A100" t="s">
        <v>875</v>
      </c>
      <c r="B100" t="s">
        <v>876</v>
      </c>
      <c r="C100" t="s">
        <v>60</v>
      </c>
      <c r="D100" s="3">
        <v>50</v>
      </c>
      <c r="E100" s="3">
        <v>26</v>
      </c>
      <c r="F100" s="3">
        <v>99</v>
      </c>
      <c r="G100" s="3">
        <v>70</v>
      </c>
      <c r="H100" t="str">
        <f t="shared" si="121"/>
        <v>50-26</v>
      </c>
      <c r="I100" t="b">
        <v>1</v>
      </c>
      <c r="K100" s="20">
        <f t="shared" si="115"/>
        <v>118</v>
      </c>
      <c r="L100" s="20">
        <f t="shared" si="116"/>
        <v>118</v>
      </c>
      <c r="M100" s="21">
        <f t="shared" si="117"/>
        <v>0</v>
      </c>
      <c r="N100" s="20">
        <f t="shared" si="118"/>
        <v>118</v>
      </c>
      <c r="O100" s="20">
        <f t="shared" si="119"/>
        <v>0</v>
      </c>
      <c r="P100" s="17">
        <f t="shared" si="120"/>
        <v>1</v>
      </c>
      <c r="Q100" s="13">
        <v>40</v>
      </c>
      <c r="R100" s="9" cm="1">
        <f t="array" ref="R100">_xlfn._xlws.FILTER($R$1:$GZ$1, $R40:$GZ40=TRUE)</f>
        <v>118</v>
      </c>
    </row>
    <row r="101" spans="1:29" x14ac:dyDescent="0.3">
      <c r="A101" t="s">
        <v>144</v>
      </c>
      <c r="B101" t="s">
        <v>145</v>
      </c>
      <c r="C101" t="s">
        <v>146</v>
      </c>
      <c r="D101" s="3">
        <v>11</v>
      </c>
      <c r="E101" s="3">
        <v>27</v>
      </c>
      <c r="F101" s="3">
        <v>100</v>
      </c>
      <c r="G101" s="3">
        <v>20</v>
      </c>
      <c r="H101" t="str">
        <f t="shared" si="121"/>
        <v>11-27</v>
      </c>
      <c r="I101" t="b">
        <v>1</v>
      </c>
      <c r="K101" s="20">
        <f t="shared" si="115"/>
        <v>82</v>
      </c>
      <c r="L101" s="20">
        <f t="shared" si="116"/>
        <v>82</v>
      </c>
      <c r="M101" s="21">
        <f t="shared" si="117"/>
        <v>0</v>
      </c>
      <c r="N101" s="20">
        <f t="shared" si="118"/>
        <v>82</v>
      </c>
      <c r="O101" s="20">
        <f t="shared" si="119"/>
        <v>0</v>
      </c>
      <c r="P101" s="17">
        <f t="shared" si="120"/>
        <v>1</v>
      </c>
      <c r="Q101" s="13">
        <v>41</v>
      </c>
      <c r="R101" s="9" cm="1">
        <f t="array" ref="R101">_xlfn._xlws.FILTER($R$1:$GZ$1, $R41:$GZ41=TRUE)</f>
        <v>82</v>
      </c>
    </row>
    <row r="102" spans="1:29" x14ac:dyDescent="0.3">
      <c r="A102" t="s">
        <v>144</v>
      </c>
      <c r="B102" t="s">
        <v>145</v>
      </c>
      <c r="C102" t="s">
        <v>147</v>
      </c>
      <c r="D102" s="3">
        <v>11</v>
      </c>
      <c r="E102" s="3">
        <v>27</v>
      </c>
      <c r="F102" s="3">
        <v>101</v>
      </c>
      <c r="G102" s="3">
        <v>2380</v>
      </c>
      <c r="H102" t="str">
        <f t="shared" si="121"/>
        <v>11-27</v>
      </c>
      <c r="I102" t="b">
        <v>1</v>
      </c>
      <c r="K102" s="20">
        <f t="shared" si="115"/>
        <v>140</v>
      </c>
      <c r="L102" s="20">
        <f t="shared" si="116"/>
        <v>140</v>
      </c>
      <c r="M102" s="21">
        <f t="shared" si="117"/>
        <v>0</v>
      </c>
      <c r="N102" s="20">
        <f t="shared" si="118"/>
        <v>140</v>
      </c>
      <c r="O102" s="20">
        <f t="shared" si="119"/>
        <v>0</v>
      </c>
      <c r="P102" s="17">
        <f t="shared" si="120"/>
        <v>1</v>
      </c>
      <c r="Q102" s="13">
        <v>42</v>
      </c>
      <c r="R102" s="9" cm="1">
        <f t="array" ref="R102">_xlfn._xlws.FILTER($R$1:$GZ$1, $R42:$GZ42=TRUE)</f>
        <v>140</v>
      </c>
    </row>
    <row r="103" spans="1:29" x14ac:dyDescent="0.3">
      <c r="A103" t="s">
        <v>712</v>
      </c>
      <c r="B103" t="s">
        <v>713</v>
      </c>
      <c r="C103" t="s">
        <v>429</v>
      </c>
      <c r="D103" s="3">
        <v>33</v>
      </c>
      <c r="E103" s="3">
        <v>28</v>
      </c>
      <c r="F103" s="3">
        <v>102</v>
      </c>
      <c r="G103" s="3">
        <v>230</v>
      </c>
      <c r="H103" t="str">
        <f t="shared" si="121"/>
        <v>33-28</v>
      </c>
      <c r="I103" t="b">
        <v>1</v>
      </c>
      <c r="K103" s="20">
        <f t="shared" si="115"/>
        <v>150</v>
      </c>
      <c r="L103" s="20">
        <f t="shared" si="116"/>
        <v>150</v>
      </c>
      <c r="M103" s="21">
        <f t="shared" si="117"/>
        <v>0</v>
      </c>
      <c r="N103" s="20">
        <f t="shared" si="118"/>
        <v>150</v>
      </c>
      <c r="O103" s="20">
        <f t="shared" si="119"/>
        <v>0</v>
      </c>
      <c r="P103" s="17">
        <f t="shared" si="120"/>
        <v>1</v>
      </c>
      <c r="Q103" s="13">
        <v>43</v>
      </c>
      <c r="R103" s="9" cm="1">
        <f t="array" ref="R103">_xlfn._xlws.FILTER($R$1:$GZ$1, $R43:$GZ43=TRUE)</f>
        <v>150</v>
      </c>
    </row>
    <row r="104" spans="1:29" x14ac:dyDescent="0.3">
      <c r="A104" t="s">
        <v>712</v>
      </c>
      <c r="B104" t="s">
        <v>713</v>
      </c>
      <c r="C104" t="s">
        <v>714</v>
      </c>
      <c r="D104" s="3">
        <v>33</v>
      </c>
      <c r="E104" s="3">
        <v>28</v>
      </c>
      <c r="F104" s="3">
        <v>103</v>
      </c>
      <c r="G104" s="3">
        <v>240</v>
      </c>
      <c r="H104" t="str">
        <f t="shared" si="121"/>
        <v>33-28</v>
      </c>
      <c r="I104" t="b">
        <v>1</v>
      </c>
      <c r="K104" s="20">
        <f t="shared" si="115"/>
        <v>86</v>
      </c>
      <c r="L104" s="20">
        <f t="shared" si="116"/>
        <v>86</v>
      </c>
      <c r="M104" s="21">
        <f t="shared" si="117"/>
        <v>0</v>
      </c>
      <c r="N104" s="20">
        <f t="shared" si="118"/>
        <v>86</v>
      </c>
      <c r="O104" s="20">
        <f t="shared" si="119"/>
        <v>0</v>
      </c>
      <c r="P104" s="17">
        <f t="shared" si="120"/>
        <v>1</v>
      </c>
      <c r="Q104" s="13">
        <v>44</v>
      </c>
      <c r="R104" s="9" cm="1">
        <f t="array" ref="R104">_xlfn._xlws.FILTER($R$1:$GZ$1, $R44:$GZ44=TRUE)</f>
        <v>86</v>
      </c>
    </row>
    <row r="105" spans="1:29" x14ac:dyDescent="0.3">
      <c r="A105" t="s">
        <v>712</v>
      </c>
      <c r="B105" t="s">
        <v>713</v>
      </c>
      <c r="C105" t="s">
        <v>432</v>
      </c>
      <c r="D105" s="3">
        <v>33</v>
      </c>
      <c r="E105" s="3">
        <v>28</v>
      </c>
      <c r="F105" s="3">
        <v>104</v>
      </c>
      <c r="G105" s="3">
        <v>40</v>
      </c>
      <c r="H105" t="str">
        <f t="shared" si="121"/>
        <v>33-28</v>
      </c>
      <c r="I105" t="b">
        <v>1</v>
      </c>
      <c r="K105" s="20">
        <f t="shared" si="115"/>
        <v>154</v>
      </c>
      <c r="L105" s="20">
        <f t="shared" si="116"/>
        <v>154</v>
      </c>
      <c r="M105" s="21">
        <f t="shared" si="117"/>
        <v>0</v>
      </c>
      <c r="N105" s="20">
        <f t="shared" si="118"/>
        <v>154</v>
      </c>
      <c r="O105" s="20">
        <f t="shared" si="119"/>
        <v>0</v>
      </c>
      <c r="P105" s="17">
        <f t="shared" si="120"/>
        <v>1</v>
      </c>
      <c r="Q105" s="13">
        <v>45</v>
      </c>
      <c r="R105" s="9" cm="1">
        <f t="array" ref="R105">_xlfn._xlws.FILTER($R$1:$GZ$1, $R45:$GZ45=TRUE)</f>
        <v>154</v>
      </c>
    </row>
    <row r="106" spans="1:29" x14ac:dyDescent="0.3">
      <c r="A106" t="s">
        <v>712</v>
      </c>
      <c r="B106" t="s">
        <v>713</v>
      </c>
      <c r="C106" t="s">
        <v>715</v>
      </c>
      <c r="D106" s="3">
        <v>33</v>
      </c>
      <c r="E106" s="3">
        <v>28</v>
      </c>
      <c r="F106" s="3">
        <v>105</v>
      </c>
      <c r="G106" s="3">
        <v>60</v>
      </c>
      <c r="H106" t="str">
        <f t="shared" si="121"/>
        <v>33-28</v>
      </c>
      <c r="I106" t="b">
        <v>1</v>
      </c>
      <c r="K106" s="20">
        <f t="shared" si="115"/>
        <v>170</v>
      </c>
      <c r="L106" s="20">
        <f t="shared" si="116"/>
        <v>170</v>
      </c>
      <c r="M106" s="21">
        <f t="shared" si="117"/>
        <v>0</v>
      </c>
      <c r="N106" s="20">
        <f t="shared" si="118"/>
        <v>170</v>
      </c>
      <c r="O106" s="20">
        <f t="shared" si="119"/>
        <v>0</v>
      </c>
      <c r="P106" s="17">
        <f t="shared" si="120"/>
        <v>1</v>
      </c>
      <c r="Q106" s="13">
        <v>46</v>
      </c>
      <c r="R106" s="9" cm="1">
        <f t="array" ref="R106">_xlfn._xlws.FILTER($R$1:$GZ$1, $R46:$GZ46=TRUE)</f>
        <v>170</v>
      </c>
    </row>
    <row r="107" spans="1:29" x14ac:dyDescent="0.3">
      <c r="A107" t="s">
        <v>712</v>
      </c>
      <c r="B107" t="s">
        <v>713</v>
      </c>
      <c r="C107" t="s">
        <v>716</v>
      </c>
      <c r="D107" s="3">
        <v>33</v>
      </c>
      <c r="E107" s="3">
        <v>28</v>
      </c>
      <c r="F107" s="3">
        <v>106</v>
      </c>
      <c r="G107" s="3">
        <v>110</v>
      </c>
      <c r="H107" t="str">
        <f t="shared" si="121"/>
        <v>33-28</v>
      </c>
      <c r="I107" t="b">
        <v>1</v>
      </c>
      <c r="K107" s="20">
        <f t="shared" si="115"/>
        <v>19</v>
      </c>
      <c r="L107" s="20">
        <f t="shared" si="116"/>
        <v>77</v>
      </c>
      <c r="M107" s="21">
        <f t="shared" si="117"/>
        <v>58</v>
      </c>
      <c r="N107" s="20">
        <f t="shared" si="118"/>
        <v>56.666666666666664</v>
      </c>
      <c r="O107" s="20">
        <f t="shared" si="119"/>
        <v>32.654759734735961</v>
      </c>
      <c r="P107" s="17">
        <f t="shared" si="120"/>
        <v>3</v>
      </c>
      <c r="Q107" s="13">
        <v>47</v>
      </c>
      <c r="R107" s="9" cm="1">
        <f t="array" ref="R107:T107">_xlfn._xlws.FILTER($R$1:$GZ$1, $R47:$GZ47=TRUE)</f>
        <v>19</v>
      </c>
      <c r="S107">
        <v>74</v>
      </c>
      <c r="T107">
        <v>77</v>
      </c>
    </row>
    <row r="108" spans="1:29" x14ac:dyDescent="0.3">
      <c r="A108" t="s">
        <v>712</v>
      </c>
      <c r="B108" t="s">
        <v>713</v>
      </c>
      <c r="C108" t="s">
        <v>717</v>
      </c>
      <c r="D108" s="3">
        <v>33</v>
      </c>
      <c r="E108" s="3">
        <v>28</v>
      </c>
      <c r="F108" s="3">
        <v>107</v>
      </c>
      <c r="G108" s="3">
        <v>440</v>
      </c>
      <c r="H108" t="str">
        <f t="shared" si="121"/>
        <v>33-28</v>
      </c>
      <c r="I108" t="b">
        <v>1</v>
      </c>
      <c r="K108" s="20">
        <f t="shared" si="115"/>
        <v>129</v>
      </c>
      <c r="L108" s="20">
        <f t="shared" si="116"/>
        <v>129</v>
      </c>
      <c r="M108" s="21">
        <f t="shared" si="117"/>
        <v>0</v>
      </c>
      <c r="N108" s="20">
        <f t="shared" si="118"/>
        <v>129</v>
      </c>
      <c r="O108" s="20">
        <f t="shared" si="119"/>
        <v>0</v>
      </c>
      <c r="P108" s="17">
        <f t="shared" si="120"/>
        <v>1</v>
      </c>
      <c r="Q108" s="13">
        <v>48</v>
      </c>
      <c r="R108" s="9" cm="1">
        <f t="array" ref="R108">_xlfn._xlws.FILTER($R$1:$GZ$1, $R48:$GZ48=TRUE)</f>
        <v>129</v>
      </c>
    </row>
    <row r="109" spans="1:29" x14ac:dyDescent="0.3">
      <c r="A109" t="s">
        <v>712</v>
      </c>
      <c r="B109" t="s">
        <v>713</v>
      </c>
      <c r="C109" t="s">
        <v>718</v>
      </c>
      <c r="D109" s="3">
        <v>33</v>
      </c>
      <c r="E109" s="3">
        <v>28</v>
      </c>
      <c r="F109" s="3">
        <v>108</v>
      </c>
      <c r="G109" s="3">
        <v>110</v>
      </c>
      <c r="H109" t="str">
        <f t="shared" si="121"/>
        <v>33-28</v>
      </c>
      <c r="I109" t="b">
        <v>1</v>
      </c>
      <c r="K109" s="20">
        <f t="shared" si="115"/>
        <v>181</v>
      </c>
      <c r="L109" s="20">
        <f t="shared" si="116"/>
        <v>181</v>
      </c>
      <c r="M109" s="21">
        <f t="shared" si="117"/>
        <v>0</v>
      </c>
      <c r="N109" s="20">
        <f t="shared" si="118"/>
        <v>181</v>
      </c>
      <c r="O109" s="20">
        <f t="shared" si="119"/>
        <v>0</v>
      </c>
      <c r="P109" s="17">
        <f t="shared" si="120"/>
        <v>1</v>
      </c>
      <c r="Q109" s="13">
        <v>49</v>
      </c>
      <c r="R109" s="9" cm="1">
        <f t="array" ref="R109">_xlfn._xlws.FILTER($R$1:$GZ$1, $R49:$GZ49=TRUE)</f>
        <v>181</v>
      </c>
    </row>
    <row r="110" spans="1:29" x14ac:dyDescent="0.3">
      <c r="A110" t="s">
        <v>712</v>
      </c>
      <c r="B110" t="s">
        <v>713</v>
      </c>
      <c r="C110" t="s">
        <v>719</v>
      </c>
      <c r="D110" s="3">
        <v>33</v>
      </c>
      <c r="E110" s="3">
        <v>28</v>
      </c>
      <c r="F110" s="3">
        <v>109</v>
      </c>
      <c r="G110" s="3">
        <v>40</v>
      </c>
      <c r="H110" t="str">
        <f t="shared" si="121"/>
        <v>33-28</v>
      </c>
      <c r="I110" t="b">
        <v>1</v>
      </c>
      <c r="K110" s="20">
        <f t="shared" si="115"/>
        <v>26</v>
      </c>
      <c r="L110" s="20">
        <f t="shared" si="116"/>
        <v>190</v>
      </c>
      <c r="M110" s="21">
        <f t="shared" si="117"/>
        <v>164</v>
      </c>
      <c r="N110" s="20">
        <f t="shared" si="118"/>
        <v>110.58333333333333</v>
      </c>
      <c r="O110" s="20">
        <f t="shared" si="119"/>
        <v>51.211607940766584</v>
      </c>
      <c r="P110" s="17">
        <f t="shared" si="120"/>
        <v>12</v>
      </c>
      <c r="Q110" s="13">
        <v>50</v>
      </c>
      <c r="R110" s="9" cm="1">
        <f t="array" ref="R110:AC110">_xlfn._xlws.FILTER($R$1:$GZ$1, $R50:$GZ50=TRUE)</f>
        <v>26</v>
      </c>
      <c r="S110">
        <v>66</v>
      </c>
      <c r="T110">
        <v>67</v>
      </c>
      <c r="U110">
        <v>71</v>
      </c>
      <c r="V110">
        <v>81</v>
      </c>
      <c r="W110">
        <v>104</v>
      </c>
      <c r="X110">
        <v>113</v>
      </c>
      <c r="Y110">
        <v>116</v>
      </c>
      <c r="Z110">
        <v>152</v>
      </c>
      <c r="AA110">
        <v>164</v>
      </c>
      <c r="AB110">
        <v>177</v>
      </c>
      <c r="AC110">
        <v>190</v>
      </c>
    </row>
    <row r="111" spans="1:29" x14ac:dyDescent="0.3">
      <c r="A111" t="s">
        <v>712</v>
      </c>
      <c r="B111" t="s">
        <v>713</v>
      </c>
      <c r="C111" t="s">
        <v>720</v>
      </c>
      <c r="D111" s="3">
        <v>33</v>
      </c>
      <c r="E111" s="3">
        <v>28</v>
      </c>
      <c r="F111" s="3">
        <v>110</v>
      </c>
      <c r="G111" s="3">
        <v>150</v>
      </c>
      <c r="H111" t="str">
        <f t="shared" si="121"/>
        <v>33-28</v>
      </c>
      <c r="I111" t="b">
        <v>1</v>
      </c>
      <c r="K111" s="20">
        <f t="shared" si="115"/>
        <v>171</v>
      </c>
      <c r="L111" s="20">
        <f t="shared" si="116"/>
        <v>172</v>
      </c>
      <c r="M111" s="21">
        <f t="shared" si="117"/>
        <v>1</v>
      </c>
      <c r="N111" s="20">
        <f t="shared" si="118"/>
        <v>171.5</v>
      </c>
      <c r="O111" s="20">
        <f t="shared" si="119"/>
        <v>0.70710678118654757</v>
      </c>
      <c r="P111" s="17">
        <f t="shared" si="120"/>
        <v>2</v>
      </c>
      <c r="Q111" s="13">
        <v>51</v>
      </c>
      <c r="R111" s="9" cm="1">
        <f t="array" ref="R111:S111">_xlfn._xlws.FILTER($R$1:$GZ$1, $R51:$GZ51=TRUE)</f>
        <v>171</v>
      </c>
      <c r="S111">
        <v>172</v>
      </c>
    </row>
    <row r="112" spans="1:29" x14ac:dyDescent="0.3">
      <c r="A112" t="s">
        <v>712</v>
      </c>
      <c r="B112" t="s">
        <v>713</v>
      </c>
      <c r="C112" t="s">
        <v>60</v>
      </c>
      <c r="D112" s="3">
        <v>33</v>
      </c>
      <c r="E112" s="3">
        <v>28</v>
      </c>
      <c r="F112" s="3">
        <v>111</v>
      </c>
      <c r="G112" s="3">
        <v>290</v>
      </c>
      <c r="H112" t="str">
        <f t="shared" si="121"/>
        <v>33-28</v>
      </c>
      <c r="I112" t="b">
        <v>1</v>
      </c>
      <c r="K112" s="20">
        <f t="shared" si="115"/>
        <v>93</v>
      </c>
      <c r="L112" s="20">
        <f t="shared" si="116"/>
        <v>93</v>
      </c>
      <c r="M112" s="21">
        <f t="shared" si="117"/>
        <v>0</v>
      </c>
      <c r="N112" s="20">
        <f t="shared" si="118"/>
        <v>93</v>
      </c>
      <c r="O112" s="20">
        <f t="shared" si="119"/>
        <v>0</v>
      </c>
      <c r="P112" s="17">
        <f t="shared" si="120"/>
        <v>1</v>
      </c>
      <c r="Q112" s="13">
        <v>52</v>
      </c>
      <c r="R112" s="9" cm="1">
        <f t="array" ref="R112">_xlfn._xlws.FILTER($R$1:$GZ$1, $R52:$GZ52=TRUE)</f>
        <v>93</v>
      </c>
    </row>
    <row r="113" spans="1:20" x14ac:dyDescent="0.3">
      <c r="A113" t="s">
        <v>712</v>
      </c>
      <c r="B113" t="s">
        <v>713</v>
      </c>
      <c r="C113" t="s">
        <v>721</v>
      </c>
      <c r="D113" s="3">
        <v>33</v>
      </c>
      <c r="E113" s="3">
        <v>28</v>
      </c>
      <c r="F113" s="3">
        <v>112</v>
      </c>
      <c r="G113" s="3">
        <v>120</v>
      </c>
      <c r="H113" t="str">
        <f t="shared" si="121"/>
        <v>33-28</v>
      </c>
      <c r="I113" t="b">
        <v>1</v>
      </c>
      <c r="K113" s="20">
        <f t="shared" si="115"/>
        <v>160</v>
      </c>
      <c r="L113" s="20">
        <f t="shared" si="116"/>
        <v>160</v>
      </c>
      <c r="M113" s="21">
        <f t="shared" si="117"/>
        <v>0</v>
      </c>
      <c r="N113" s="20">
        <f t="shared" si="118"/>
        <v>160</v>
      </c>
      <c r="O113" s="20">
        <f t="shared" si="119"/>
        <v>0</v>
      </c>
      <c r="P113" s="17">
        <f t="shared" si="120"/>
        <v>1</v>
      </c>
      <c r="Q113" s="13">
        <v>53</v>
      </c>
      <c r="R113" s="9" cm="1">
        <f t="array" ref="R113">_xlfn._xlws.FILTER($R$1:$GZ$1, $R53:$GZ53=TRUE)</f>
        <v>160</v>
      </c>
    </row>
    <row r="114" spans="1:20" x14ac:dyDescent="0.3">
      <c r="A114" t="s">
        <v>725</v>
      </c>
      <c r="B114" t="s">
        <v>726</v>
      </c>
      <c r="C114" t="s">
        <v>727</v>
      </c>
      <c r="D114" s="3">
        <v>35</v>
      </c>
      <c r="E114" s="3">
        <v>29</v>
      </c>
      <c r="F114" s="3">
        <v>113</v>
      </c>
      <c r="G114" s="3">
        <v>630</v>
      </c>
      <c r="H114" t="str">
        <f t="shared" si="121"/>
        <v>35-29</v>
      </c>
      <c r="I114" t="b">
        <v>1</v>
      </c>
      <c r="K114" s="20">
        <f t="shared" si="115"/>
        <v>183</v>
      </c>
      <c r="L114" s="20">
        <f t="shared" si="116"/>
        <v>183</v>
      </c>
      <c r="M114" s="21">
        <f t="shared" si="117"/>
        <v>0</v>
      </c>
      <c r="N114" s="20">
        <f t="shared" si="118"/>
        <v>183</v>
      </c>
      <c r="O114" s="20">
        <f t="shared" si="119"/>
        <v>0</v>
      </c>
      <c r="P114" s="17">
        <f t="shared" si="120"/>
        <v>1</v>
      </c>
      <c r="Q114" s="13">
        <v>54</v>
      </c>
      <c r="R114" s="9" cm="1">
        <f t="array" ref="R114">_xlfn._xlws.FILTER($R$1:$GZ$1, $R54:$GZ54=TRUE)</f>
        <v>183</v>
      </c>
    </row>
    <row r="115" spans="1:20" x14ac:dyDescent="0.3">
      <c r="A115" t="s">
        <v>456</v>
      </c>
      <c r="B115" t="s">
        <v>474</v>
      </c>
      <c r="C115" t="s">
        <v>475</v>
      </c>
      <c r="D115" s="3">
        <v>29</v>
      </c>
      <c r="E115" s="3">
        <v>31</v>
      </c>
      <c r="F115" s="3">
        <v>115</v>
      </c>
      <c r="G115" s="3">
        <v>50</v>
      </c>
      <c r="H115" t="str">
        <f t="shared" si="121"/>
        <v>29-31</v>
      </c>
      <c r="I115" t="b">
        <v>1</v>
      </c>
      <c r="K115" s="20">
        <f t="shared" si="115"/>
        <v>186</v>
      </c>
      <c r="L115" s="20">
        <f t="shared" si="116"/>
        <v>186</v>
      </c>
      <c r="M115" s="21">
        <f t="shared" si="117"/>
        <v>0</v>
      </c>
      <c r="N115" s="20">
        <f t="shared" si="118"/>
        <v>186</v>
      </c>
      <c r="O115" s="20">
        <f t="shared" si="119"/>
        <v>0</v>
      </c>
      <c r="P115" s="17">
        <f t="shared" si="120"/>
        <v>1</v>
      </c>
      <c r="Q115" s="13">
        <v>55</v>
      </c>
      <c r="R115" s="9" cm="1">
        <f t="array" ref="R115">_xlfn._xlws.FILTER($R$1:$GZ$1, $R55:$GZ55=TRUE)</f>
        <v>186</v>
      </c>
    </row>
    <row r="116" spans="1:20" x14ac:dyDescent="0.3">
      <c r="A116" t="s">
        <v>456</v>
      </c>
      <c r="B116" t="s">
        <v>474</v>
      </c>
      <c r="C116" t="s">
        <v>234</v>
      </c>
      <c r="D116" s="3">
        <v>29</v>
      </c>
      <c r="E116" s="3">
        <v>31</v>
      </c>
      <c r="F116" s="3">
        <v>116</v>
      </c>
      <c r="G116" s="3">
        <v>60</v>
      </c>
      <c r="H116" t="str">
        <f t="shared" si="121"/>
        <v>29-31</v>
      </c>
      <c r="I116" t="b">
        <v>1</v>
      </c>
      <c r="K116" s="20">
        <f t="shared" si="115"/>
        <v>12</v>
      </c>
      <c r="L116" s="20">
        <f t="shared" si="116"/>
        <v>84</v>
      </c>
      <c r="M116" s="21">
        <f t="shared" si="117"/>
        <v>72</v>
      </c>
      <c r="N116" s="20">
        <f t="shared" si="118"/>
        <v>48</v>
      </c>
      <c r="O116" s="20">
        <f t="shared" si="119"/>
        <v>50.911688245431421</v>
      </c>
      <c r="P116" s="17">
        <f t="shared" si="120"/>
        <v>2</v>
      </c>
      <c r="Q116" s="13">
        <v>56</v>
      </c>
      <c r="R116" s="9" cm="1">
        <f t="array" ref="R116:S116">_xlfn._xlws.FILTER($R$1:$GZ$1, $R56:$GZ56=TRUE)</f>
        <v>12</v>
      </c>
      <c r="S116">
        <v>84</v>
      </c>
    </row>
    <row r="117" spans="1:20" x14ac:dyDescent="0.3">
      <c r="A117" t="s">
        <v>456</v>
      </c>
      <c r="B117" t="s">
        <v>474</v>
      </c>
      <c r="C117" t="s">
        <v>476</v>
      </c>
      <c r="D117" s="3">
        <v>29</v>
      </c>
      <c r="E117" s="3">
        <v>31</v>
      </c>
      <c r="F117" s="3">
        <v>117</v>
      </c>
      <c r="G117" s="3">
        <v>280</v>
      </c>
      <c r="H117" t="str">
        <f t="shared" si="121"/>
        <v>29-31</v>
      </c>
      <c r="I117" t="b">
        <v>1</v>
      </c>
      <c r="K117" s="20">
        <f t="shared" si="115"/>
        <v>95</v>
      </c>
      <c r="L117" s="20">
        <f t="shared" si="116"/>
        <v>111</v>
      </c>
      <c r="M117" s="21">
        <f t="shared" si="117"/>
        <v>16</v>
      </c>
      <c r="N117" s="20">
        <f t="shared" si="118"/>
        <v>103</v>
      </c>
      <c r="O117" s="20">
        <f t="shared" si="119"/>
        <v>11.313708498984761</v>
      </c>
      <c r="P117" s="17">
        <f t="shared" si="120"/>
        <v>2</v>
      </c>
      <c r="Q117" s="13">
        <v>57</v>
      </c>
      <c r="R117" s="9" cm="1">
        <f t="array" ref="R117:S117">_xlfn._xlws.FILTER($R$1:$GZ$1, $R57:$GZ57=TRUE)</f>
        <v>95</v>
      </c>
      <c r="S117">
        <v>111</v>
      </c>
    </row>
    <row r="118" spans="1:20" x14ac:dyDescent="0.3">
      <c r="A118" t="s">
        <v>456</v>
      </c>
      <c r="B118" t="s">
        <v>474</v>
      </c>
      <c r="C118" t="s">
        <v>477</v>
      </c>
      <c r="D118" s="3">
        <v>29</v>
      </c>
      <c r="E118" s="3">
        <v>31</v>
      </c>
      <c r="F118" s="3">
        <v>118</v>
      </c>
      <c r="G118" s="3">
        <v>60</v>
      </c>
      <c r="H118" t="str">
        <f t="shared" si="121"/>
        <v>29-31</v>
      </c>
      <c r="I118" t="b">
        <v>1</v>
      </c>
      <c r="K118" s="20">
        <f t="shared" si="115"/>
        <v>83</v>
      </c>
      <c r="L118" s="20">
        <f t="shared" si="116"/>
        <v>184</v>
      </c>
      <c r="M118" s="21">
        <f t="shared" si="117"/>
        <v>101</v>
      </c>
      <c r="N118" s="20">
        <f t="shared" si="118"/>
        <v>133.5</v>
      </c>
      <c r="O118" s="20">
        <f t="shared" si="119"/>
        <v>71.417784899841294</v>
      </c>
      <c r="P118" s="17">
        <f t="shared" si="120"/>
        <v>2</v>
      </c>
      <c r="Q118" s="13">
        <v>58</v>
      </c>
      <c r="R118" s="9" cm="1">
        <f t="array" ref="R118:S118">_xlfn._xlws.FILTER($R$1:$GZ$1, $R58:$GZ58=TRUE)</f>
        <v>83</v>
      </c>
      <c r="S118">
        <v>184</v>
      </c>
    </row>
    <row r="119" spans="1:20" x14ac:dyDescent="0.3">
      <c r="A119" t="s">
        <v>456</v>
      </c>
      <c r="B119" t="s">
        <v>474</v>
      </c>
      <c r="C119" t="s">
        <v>478</v>
      </c>
      <c r="D119" s="3">
        <v>29</v>
      </c>
      <c r="E119" s="3">
        <v>31</v>
      </c>
      <c r="F119" s="3">
        <v>119</v>
      </c>
      <c r="G119" s="3">
        <v>50</v>
      </c>
      <c r="H119" t="str">
        <f t="shared" si="121"/>
        <v>29-31</v>
      </c>
      <c r="I119" t="b">
        <v>1</v>
      </c>
      <c r="K119" s="20">
        <f t="shared" si="115"/>
        <v>72</v>
      </c>
      <c r="L119" s="20">
        <f t="shared" si="116"/>
        <v>195</v>
      </c>
      <c r="M119" s="21">
        <f t="shared" si="117"/>
        <v>123</v>
      </c>
      <c r="N119" s="20">
        <f t="shared" si="118"/>
        <v>142.66666666666666</v>
      </c>
      <c r="O119" s="20">
        <f t="shared" si="119"/>
        <v>63.516402081142253</v>
      </c>
      <c r="P119" s="17">
        <f t="shared" si="120"/>
        <v>3</v>
      </c>
      <c r="Q119" s="13">
        <v>59</v>
      </c>
      <c r="R119" s="9" cm="1">
        <f t="array" ref="R119:T119">_xlfn._xlws.FILTER($R$1:$GZ$1, $R59:$GZ59=TRUE)</f>
        <v>72</v>
      </c>
      <c r="S119">
        <v>161</v>
      </c>
      <c r="T119">
        <v>195</v>
      </c>
    </row>
    <row r="120" spans="1:20" x14ac:dyDescent="0.3">
      <c r="A120" t="s">
        <v>456</v>
      </c>
      <c r="B120" t="s">
        <v>474</v>
      </c>
      <c r="C120" t="s">
        <v>479</v>
      </c>
      <c r="D120" s="3">
        <v>29</v>
      </c>
      <c r="E120" s="3">
        <v>31</v>
      </c>
      <c r="F120" s="3">
        <v>120</v>
      </c>
      <c r="G120" s="3">
        <v>30</v>
      </c>
      <c r="H120" t="str">
        <f t="shared" si="121"/>
        <v>29-31</v>
      </c>
      <c r="I120" t="b">
        <v>1</v>
      </c>
      <c r="K120" s="20">
        <f t="shared" si="115"/>
        <v>87</v>
      </c>
      <c r="L120" s="20">
        <f t="shared" si="116"/>
        <v>87</v>
      </c>
      <c r="M120" s="21">
        <f t="shared" si="117"/>
        <v>0</v>
      </c>
      <c r="N120" s="20">
        <f t="shared" si="118"/>
        <v>87</v>
      </c>
      <c r="O120" s="20">
        <f t="shared" si="119"/>
        <v>0</v>
      </c>
      <c r="P120" s="17">
        <f t="shared" si="120"/>
        <v>1</v>
      </c>
      <c r="Q120" s="13">
        <v>60</v>
      </c>
      <c r="R120" s="9" cm="1">
        <f t="array" ref="R120">_xlfn._xlws.FILTER($R$1:$GZ$1, $R60:$GZ60=TRUE)</f>
        <v>87</v>
      </c>
    </row>
    <row r="121" spans="1:20" x14ac:dyDescent="0.3">
      <c r="A121" t="s">
        <v>456</v>
      </c>
      <c r="B121" t="s">
        <v>474</v>
      </c>
      <c r="C121" t="s">
        <v>480</v>
      </c>
      <c r="D121" s="3">
        <v>29</v>
      </c>
      <c r="E121" s="3">
        <v>31</v>
      </c>
      <c r="F121" s="3">
        <v>121</v>
      </c>
      <c r="G121" s="3">
        <v>70</v>
      </c>
      <c r="H121" t="str">
        <f t="shared" si="121"/>
        <v>29-31</v>
      </c>
      <c r="I121" t="b">
        <v>1</v>
      </c>
    </row>
    <row r="122" spans="1:20" x14ac:dyDescent="0.3">
      <c r="A122" t="s">
        <v>222</v>
      </c>
      <c r="B122" t="s">
        <v>223</v>
      </c>
      <c r="C122" t="s">
        <v>224</v>
      </c>
      <c r="D122" s="3">
        <v>16</v>
      </c>
      <c r="E122" s="3">
        <v>32</v>
      </c>
      <c r="F122" s="3">
        <v>122</v>
      </c>
      <c r="G122" s="3">
        <v>30</v>
      </c>
      <c r="H122" t="str">
        <f t="shared" si="121"/>
        <v>16-32</v>
      </c>
      <c r="I122" t="b">
        <v>1</v>
      </c>
    </row>
    <row r="123" spans="1:20" x14ac:dyDescent="0.3">
      <c r="A123" t="s">
        <v>222</v>
      </c>
      <c r="B123" t="s">
        <v>223</v>
      </c>
      <c r="C123" t="s">
        <v>225</v>
      </c>
      <c r="D123" s="3">
        <v>16</v>
      </c>
      <c r="E123" s="3">
        <v>32</v>
      </c>
      <c r="F123" s="3">
        <v>123</v>
      </c>
      <c r="G123" s="3">
        <v>5020</v>
      </c>
      <c r="H123" t="str">
        <f t="shared" si="121"/>
        <v>16-32</v>
      </c>
      <c r="I123" t="b">
        <v>1</v>
      </c>
    </row>
    <row r="124" spans="1:20" x14ac:dyDescent="0.3">
      <c r="A124" t="s">
        <v>222</v>
      </c>
      <c r="B124" t="s">
        <v>223</v>
      </c>
      <c r="C124" t="s">
        <v>226</v>
      </c>
      <c r="D124" s="3">
        <v>16</v>
      </c>
      <c r="E124" s="3">
        <v>32</v>
      </c>
      <c r="F124" s="3">
        <v>124</v>
      </c>
      <c r="G124" s="3">
        <v>80</v>
      </c>
      <c r="H124" t="str">
        <f t="shared" si="121"/>
        <v>16-32</v>
      </c>
      <c r="I124" t="b">
        <v>1</v>
      </c>
    </row>
    <row r="125" spans="1:20" x14ac:dyDescent="0.3">
      <c r="A125" t="s">
        <v>222</v>
      </c>
      <c r="B125" t="s">
        <v>227</v>
      </c>
      <c r="C125" t="s">
        <v>228</v>
      </c>
      <c r="D125" s="3">
        <v>16</v>
      </c>
      <c r="E125" s="3">
        <v>33</v>
      </c>
      <c r="F125" s="3">
        <v>125</v>
      </c>
      <c r="G125" s="3">
        <v>330</v>
      </c>
      <c r="H125" t="str">
        <f t="shared" si="121"/>
        <v>16-33</v>
      </c>
      <c r="I125" t="b">
        <v>1</v>
      </c>
    </row>
    <row r="126" spans="1:20" x14ac:dyDescent="0.3">
      <c r="A126" t="s">
        <v>725</v>
      </c>
      <c r="B126" t="s">
        <v>728</v>
      </c>
      <c r="C126" t="s">
        <v>326</v>
      </c>
      <c r="D126" s="3">
        <v>35</v>
      </c>
      <c r="E126" s="3">
        <v>34</v>
      </c>
      <c r="F126" s="3">
        <v>126</v>
      </c>
      <c r="G126" s="3">
        <v>130</v>
      </c>
      <c r="H126" t="str">
        <f t="shared" si="121"/>
        <v>35-34</v>
      </c>
      <c r="I126" t="b">
        <v>1</v>
      </c>
    </row>
    <row r="127" spans="1:20" x14ac:dyDescent="0.3">
      <c r="A127" t="s">
        <v>725</v>
      </c>
      <c r="B127" t="s">
        <v>728</v>
      </c>
      <c r="C127" t="s">
        <v>21</v>
      </c>
      <c r="D127" s="3">
        <v>35</v>
      </c>
      <c r="E127" s="3">
        <v>34</v>
      </c>
      <c r="F127" s="3">
        <v>127</v>
      </c>
      <c r="G127" s="3">
        <v>5600</v>
      </c>
      <c r="H127" t="str">
        <f t="shared" si="121"/>
        <v>35-34</v>
      </c>
      <c r="I127" t="b">
        <v>1</v>
      </c>
    </row>
    <row r="128" spans="1:20" x14ac:dyDescent="0.3">
      <c r="A128" t="s">
        <v>725</v>
      </c>
      <c r="B128" t="s">
        <v>728</v>
      </c>
      <c r="C128" t="s">
        <v>290</v>
      </c>
      <c r="D128" s="3">
        <v>35</v>
      </c>
      <c r="E128" s="3">
        <v>34</v>
      </c>
      <c r="F128" s="3">
        <v>128</v>
      </c>
      <c r="G128" s="3">
        <v>150</v>
      </c>
      <c r="H128" t="str">
        <f t="shared" si="121"/>
        <v>35-34</v>
      </c>
      <c r="I128" t="b">
        <v>1</v>
      </c>
    </row>
    <row r="129" spans="1:9" x14ac:dyDescent="0.3">
      <c r="A129" t="s">
        <v>416</v>
      </c>
      <c r="B129" t="s">
        <v>418</v>
      </c>
      <c r="C129" t="s">
        <v>419</v>
      </c>
      <c r="D129" s="3">
        <v>27</v>
      </c>
      <c r="E129" s="3">
        <v>35</v>
      </c>
      <c r="F129" s="3">
        <v>129</v>
      </c>
      <c r="G129" s="3">
        <v>480</v>
      </c>
      <c r="H129" t="str">
        <f t="shared" si="121"/>
        <v>27-35</v>
      </c>
      <c r="I129" t="b">
        <v>1</v>
      </c>
    </row>
    <row r="130" spans="1:9" x14ac:dyDescent="0.3">
      <c r="A130" t="s">
        <v>416</v>
      </c>
      <c r="B130" t="s">
        <v>418</v>
      </c>
      <c r="C130" t="s">
        <v>420</v>
      </c>
      <c r="D130" s="3">
        <v>27</v>
      </c>
      <c r="E130" s="3">
        <v>35</v>
      </c>
      <c r="F130" s="3">
        <v>130</v>
      </c>
      <c r="G130" s="3">
        <v>750</v>
      </c>
      <c r="H130" t="str">
        <f t="shared" si="121"/>
        <v>27-35</v>
      </c>
      <c r="I130" t="b">
        <v>1</v>
      </c>
    </row>
    <row r="131" spans="1:9" x14ac:dyDescent="0.3">
      <c r="A131" t="s">
        <v>152</v>
      </c>
      <c r="B131" t="s">
        <v>153</v>
      </c>
      <c r="C131" t="s">
        <v>154</v>
      </c>
      <c r="D131" s="3">
        <v>12</v>
      </c>
      <c r="E131" s="3">
        <v>36</v>
      </c>
      <c r="F131" s="3">
        <v>131</v>
      </c>
      <c r="G131" s="3">
        <v>200</v>
      </c>
      <c r="H131" t="str">
        <f t="shared" ref="H131:H194" si="122">_xlfn.CONCAT(D131,"-",E131)</f>
        <v>12-36</v>
      </c>
      <c r="I131" t="b">
        <v>1</v>
      </c>
    </row>
    <row r="132" spans="1:9" x14ac:dyDescent="0.3">
      <c r="A132" t="s">
        <v>152</v>
      </c>
      <c r="B132" t="s">
        <v>153</v>
      </c>
      <c r="C132" t="s">
        <v>155</v>
      </c>
      <c r="D132" s="3">
        <v>12</v>
      </c>
      <c r="E132" s="3">
        <v>36</v>
      </c>
      <c r="F132" s="3">
        <v>132</v>
      </c>
      <c r="G132" s="3">
        <v>40</v>
      </c>
      <c r="H132" t="str">
        <f t="shared" si="122"/>
        <v>12-36</v>
      </c>
      <c r="I132" t="b">
        <v>1</v>
      </c>
    </row>
    <row r="133" spans="1:9" x14ac:dyDescent="0.3">
      <c r="A133" t="s">
        <v>152</v>
      </c>
      <c r="B133" t="s">
        <v>153</v>
      </c>
      <c r="C133" t="s">
        <v>156</v>
      </c>
      <c r="D133" s="3">
        <v>12</v>
      </c>
      <c r="E133" s="3">
        <v>36</v>
      </c>
      <c r="F133" s="3">
        <v>133</v>
      </c>
      <c r="G133" s="3">
        <v>1570</v>
      </c>
      <c r="H133" t="str">
        <f t="shared" si="122"/>
        <v>12-36</v>
      </c>
      <c r="I133" t="b">
        <v>1</v>
      </c>
    </row>
    <row r="134" spans="1:9" x14ac:dyDescent="0.3">
      <c r="A134" t="s">
        <v>152</v>
      </c>
      <c r="B134" t="s">
        <v>153</v>
      </c>
      <c r="C134" t="s">
        <v>60</v>
      </c>
      <c r="D134" s="3">
        <v>12</v>
      </c>
      <c r="E134" s="3">
        <v>36</v>
      </c>
      <c r="F134" s="3">
        <v>134</v>
      </c>
      <c r="G134" s="3">
        <v>40</v>
      </c>
      <c r="H134" t="str">
        <f t="shared" si="122"/>
        <v>12-36</v>
      </c>
      <c r="I134" t="b">
        <v>1</v>
      </c>
    </row>
    <row r="135" spans="1:9" x14ac:dyDescent="0.3">
      <c r="A135" t="s">
        <v>152</v>
      </c>
      <c r="B135" t="s">
        <v>153</v>
      </c>
      <c r="C135" t="s">
        <v>157</v>
      </c>
      <c r="D135" s="3">
        <v>12</v>
      </c>
      <c r="E135" s="3">
        <v>36</v>
      </c>
      <c r="F135" s="3">
        <v>135</v>
      </c>
      <c r="G135" s="3">
        <v>740</v>
      </c>
      <c r="H135" t="str">
        <f t="shared" si="122"/>
        <v>12-36</v>
      </c>
      <c r="I135" t="b">
        <v>1</v>
      </c>
    </row>
    <row r="136" spans="1:9" x14ac:dyDescent="0.3">
      <c r="A136" t="s">
        <v>456</v>
      </c>
      <c r="B136" t="s">
        <v>481</v>
      </c>
      <c r="C136" t="s">
        <v>482</v>
      </c>
      <c r="D136" s="3">
        <v>29</v>
      </c>
      <c r="E136" s="3">
        <v>37</v>
      </c>
      <c r="F136" s="3">
        <v>136</v>
      </c>
      <c r="G136" s="3">
        <v>70</v>
      </c>
      <c r="H136" t="str">
        <f t="shared" si="122"/>
        <v>29-37</v>
      </c>
      <c r="I136" t="b">
        <v>1</v>
      </c>
    </row>
    <row r="137" spans="1:9" x14ac:dyDescent="0.3">
      <c r="A137" t="s">
        <v>158</v>
      </c>
      <c r="B137" t="s">
        <v>159</v>
      </c>
      <c r="C137" t="s">
        <v>137</v>
      </c>
      <c r="D137" s="3">
        <v>13</v>
      </c>
      <c r="E137" s="3">
        <v>38</v>
      </c>
      <c r="F137" s="3">
        <v>137</v>
      </c>
      <c r="G137" s="3">
        <v>60</v>
      </c>
      <c r="H137" t="str">
        <f t="shared" si="122"/>
        <v>13-38</v>
      </c>
      <c r="I137" t="b">
        <v>1</v>
      </c>
    </row>
    <row r="138" spans="1:9" x14ac:dyDescent="0.3">
      <c r="A138" t="s">
        <v>158</v>
      </c>
      <c r="B138" t="s">
        <v>159</v>
      </c>
      <c r="C138" t="s">
        <v>160</v>
      </c>
      <c r="D138" s="3">
        <v>13</v>
      </c>
      <c r="E138" s="3">
        <v>38</v>
      </c>
      <c r="F138" s="3">
        <v>138</v>
      </c>
      <c r="G138" s="3">
        <v>40</v>
      </c>
      <c r="H138" t="str">
        <f t="shared" si="122"/>
        <v>13-38</v>
      </c>
      <c r="I138" t="b">
        <v>1</v>
      </c>
    </row>
    <row r="139" spans="1:9" x14ac:dyDescent="0.3">
      <c r="A139" t="s">
        <v>158</v>
      </c>
      <c r="B139" t="s">
        <v>159</v>
      </c>
      <c r="C139" t="s">
        <v>161</v>
      </c>
      <c r="D139" s="3">
        <v>13</v>
      </c>
      <c r="E139" s="3">
        <v>38</v>
      </c>
      <c r="F139" s="3">
        <v>139</v>
      </c>
      <c r="G139" s="3">
        <v>40</v>
      </c>
      <c r="H139" t="str">
        <f t="shared" si="122"/>
        <v>13-38</v>
      </c>
      <c r="I139" t="b">
        <v>1</v>
      </c>
    </row>
    <row r="140" spans="1:9" x14ac:dyDescent="0.3">
      <c r="A140" t="s">
        <v>158</v>
      </c>
      <c r="B140" t="s">
        <v>159</v>
      </c>
      <c r="C140" t="s">
        <v>162</v>
      </c>
      <c r="D140" s="3">
        <v>13</v>
      </c>
      <c r="E140" s="3">
        <v>38</v>
      </c>
      <c r="F140" s="3">
        <v>140</v>
      </c>
      <c r="G140" s="3">
        <v>80</v>
      </c>
      <c r="H140" t="str">
        <f t="shared" si="122"/>
        <v>13-38</v>
      </c>
      <c r="I140" t="b">
        <v>1</v>
      </c>
    </row>
    <row r="141" spans="1:9" x14ac:dyDescent="0.3">
      <c r="A141" t="s">
        <v>158</v>
      </c>
      <c r="B141" t="s">
        <v>159</v>
      </c>
      <c r="C141" t="s">
        <v>163</v>
      </c>
      <c r="D141" s="3">
        <v>13</v>
      </c>
      <c r="E141" s="3">
        <v>38</v>
      </c>
      <c r="F141" s="3">
        <v>141</v>
      </c>
      <c r="G141" s="3">
        <v>30</v>
      </c>
      <c r="H141" t="str">
        <f t="shared" si="122"/>
        <v>13-38</v>
      </c>
      <c r="I141" t="b">
        <v>1</v>
      </c>
    </row>
    <row r="142" spans="1:9" x14ac:dyDescent="0.3">
      <c r="A142" t="s">
        <v>158</v>
      </c>
      <c r="B142" t="s">
        <v>159</v>
      </c>
      <c r="C142" t="s">
        <v>164</v>
      </c>
      <c r="D142" s="3">
        <v>13</v>
      </c>
      <c r="E142" s="3">
        <v>38</v>
      </c>
      <c r="F142" s="3">
        <v>142</v>
      </c>
      <c r="G142" s="3">
        <v>30</v>
      </c>
      <c r="H142" t="str">
        <f t="shared" si="122"/>
        <v>13-38</v>
      </c>
      <c r="I142" t="b">
        <v>1</v>
      </c>
    </row>
    <row r="143" spans="1:9" x14ac:dyDescent="0.3">
      <c r="A143" t="s">
        <v>158</v>
      </c>
      <c r="B143" t="s">
        <v>159</v>
      </c>
      <c r="C143" t="s">
        <v>165</v>
      </c>
      <c r="D143" s="3">
        <v>13</v>
      </c>
      <c r="E143" s="3">
        <v>38</v>
      </c>
      <c r="F143" s="3">
        <v>143</v>
      </c>
      <c r="G143" s="3">
        <v>70</v>
      </c>
      <c r="H143" t="str">
        <f t="shared" si="122"/>
        <v>13-38</v>
      </c>
      <c r="I143" t="b">
        <v>1</v>
      </c>
    </row>
    <row r="144" spans="1:9" x14ac:dyDescent="0.3">
      <c r="A144" t="s">
        <v>158</v>
      </c>
      <c r="B144" t="s">
        <v>159</v>
      </c>
      <c r="C144" t="s">
        <v>166</v>
      </c>
      <c r="D144" s="3">
        <v>13</v>
      </c>
      <c r="E144" s="3">
        <v>38</v>
      </c>
      <c r="F144" s="3">
        <v>144</v>
      </c>
      <c r="G144" s="3">
        <v>210</v>
      </c>
      <c r="H144" t="str">
        <f t="shared" si="122"/>
        <v>13-38</v>
      </c>
      <c r="I144" t="b">
        <v>1</v>
      </c>
    </row>
    <row r="145" spans="1:9" x14ac:dyDescent="0.3">
      <c r="A145" t="s">
        <v>158</v>
      </c>
      <c r="B145" t="s">
        <v>159</v>
      </c>
      <c r="C145" t="s">
        <v>60</v>
      </c>
      <c r="D145" s="3">
        <v>13</v>
      </c>
      <c r="E145" s="3">
        <v>38</v>
      </c>
      <c r="F145" s="3">
        <v>145</v>
      </c>
      <c r="G145" s="3">
        <v>90</v>
      </c>
      <c r="H145" t="str">
        <f t="shared" si="122"/>
        <v>13-38</v>
      </c>
      <c r="I145" t="b">
        <v>1</v>
      </c>
    </row>
    <row r="146" spans="1:9" x14ac:dyDescent="0.3">
      <c r="A146" t="s">
        <v>158</v>
      </c>
      <c r="B146" t="s">
        <v>159</v>
      </c>
      <c r="C146" t="s">
        <v>167</v>
      </c>
      <c r="D146" s="3">
        <v>13</v>
      </c>
      <c r="E146" s="3">
        <v>38</v>
      </c>
      <c r="F146" s="3">
        <v>146</v>
      </c>
      <c r="G146" s="3">
        <v>140</v>
      </c>
      <c r="H146" t="str">
        <f t="shared" si="122"/>
        <v>13-38</v>
      </c>
      <c r="I146" t="b">
        <v>1</v>
      </c>
    </row>
    <row r="147" spans="1:9" x14ac:dyDescent="0.3">
      <c r="A147" t="s">
        <v>725</v>
      </c>
      <c r="B147" t="s">
        <v>729</v>
      </c>
      <c r="C147" t="s">
        <v>73</v>
      </c>
      <c r="D147" s="3">
        <v>35</v>
      </c>
      <c r="E147" s="3">
        <v>39</v>
      </c>
      <c r="F147" s="3">
        <v>147</v>
      </c>
      <c r="G147" s="3">
        <v>300</v>
      </c>
      <c r="H147" t="str">
        <f t="shared" si="122"/>
        <v>35-39</v>
      </c>
      <c r="I147" t="b">
        <v>1</v>
      </c>
    </row>
    <row r="148" spans="1:9" x14ac:dyDescent="0.3">
      <c r="A148" t="s">
        <v>725</v>
      </c>
      <c r="B148" t="s">
        <v>729</v>
      </c>
      <c r="C148" t="s">
        <v>730</v>
      </c>
      <c r="D148" s="3">
        <v>35</v>
      </c>
      <c r="E148" s="3">
        <v>39</v>
      </c>
      <c r="F148" s="3">
        <v>148</v>
      </c>
      <c r="G148" s="3">
        <v>2110</v>
      </c>
      <c r="H148" t="str">
        <f t="shared" si="122"/>
        <v>35-39</v>
      </c>
      <c r="I148" t="b">
        <v>1</v>
      </c>
    </row>
    <row r="149" spans="1:9" x14ac:dyDescent="0.3">
      <c r="A149" t="s">
        <v>725</v>
      </c>
      <c r="B149" t="s">
        <v>729</v>
      </c>
      <c r="C149" t="s">
        <v>731</v>
      </c>
      <c r="D149" s="3">
        <v>35</v>
      </c>
      <c r="E149" s="3">
        <v>39</v>
      </c>
      <c r="F149" s="3">
        <v>149</v>
      </c>
      <c r="G149" s="3">
        <v>60</v>
      </c>
      <c r="H149" t="str">
        <f t="shared" si="122"/>
        <v>35-39</v>
      </c>
      <c r="I149" t="b">
        <v>1</v>
      </c>
    </row>
    <row r="150" spans="1:9" x14ac:dyDescent="0.3">
      <c r="A150" t="s">
        <v>725</v>
      </c>
      <c r="B150" t="s">
        <v>729</v>
      </c>
      <c r="C150" t="s">
        <v>732</v>
      </c>
      <c r="D150" s="3">
        <v>35</v>
      </c>
      <c r="E150" s="3">
        <v>39</v>
      </c>
      <c r="F150" s="3">
        <v>150</v>
      </c>
      <c r="G150" s="3">
        <v>80</v>
      </c>
      <c r="H150" t="str">
        <f t="shared" si="122"/>
        <v>35-39</v>
      </c>
      <c r="I150" t="b">
        <v>1</v>
      </c>
    </row>
    <row r="151" spans="1:9" x14ac:dyDescent="0.3">
      <c r="A151" t="s">
        <v>725</v>
      </c>
      <c r="B151" t="s">
        <v>729</v>
      </c>
      <c r="C151" t="s">
        <v>733</v>
      </c>
      <c r="D151" s="3">
        <v>35</v>
      </c>
      <c r="E151" s="3">
        <v>39</v>
      </c>
      <c r="F151" s="3">
        <v>151</v>
      </c>
      <c r="G151" s="3">
        <v>70</v>
      </c>
      <c r="H151" t="str">
        <f t="shared" si="122"/>
        <v>35-39</v>
      </c>
      <c r="I151" t="b">
        <v>1</v>
      </c>
    </row>
    <row r="152" spans="1:9" x14ac:dyDescent="0.3">
      <c r="A152" t="s">
        <v>725</v>
      </c>
      <c r="B152" t="s">
        <v>729</v>
      </c>
      <c r="C152" t="s">
        <v>619</v>
      </c>
      <c r="D152" s="3">
        <v>35</v>
      </c>
      <c r="E152" s="3">
        <v>39</v>
      </c>
      <c r="F152" s="3">
        <v>152</v>
      </c>
      <c r="G152" s="3">
        <v>5380</v>
      </c>
      <c r="H152" t="str">
        <f t="shared" si="122"/>
        <v>35-39</v>
      </c>
      <c r="I152" t="b">
        <v>1</v>
      </c>
    </row>
    <row r="153" spans="1:9" x14ac:dyDescent="0.3">
      <c r="A153" t="s">
        <v>725</v>
      </c>
      <c r="B153" t="s">
        <v>729</v>
      </c>
      <c r="C153" t="s">
        <v>60</v>
      </c>
      <c r="D153" s="3">
        <v>35</v>
      </c>
      <c r="E153" s="3">
        <v>39</v>
      </c>
      <c r="F153" s="3">
        <v>153</v>
      </c>
      <c r="G153" s="3">
        <v>50</v>
      </c>
      <c r="H153" t="str">
        <f t="shared" si="122"/>
        <v>35-39</v>
      </c>
      <c r="I153" t="b">
        <v>1</v>
      </c>
    </row>
    <row r="154" spans="1:9" x14ac:dyDescent="0.3">
      <c r="A154" t="s">
        <v>725</v>
      </c>
      <c r="B154" t="s">
        <v>729</v>
      </c>
      <c r="C154" t="s">
        <v>734</v>
      </c>
      <c r="D154" s="3">
        <v>35</v>
      </c>
      <c r="E154" s="3">
        <v>39</v>
      </c>
      <c r="F154" s="3">
        <v>154</v>
      </c>
      <c r="G154" s="3">
        <v>60</v>
      </c>
      <c r="H154" t="str">
        <f t="shared" si="122"/>
        <v>35-39</v>
      </c>
      <c r="I154" t="b">
        <v>1</v>
      </c>
    </row>
    <row r="155" spans="1:9" x14ac:dyDescent="0.3">
      <c r="A155" t="s">
        <v>536</v>
      </c>
      <c r="B155" t="s">
        <v>547</v>
      </c>
      <c r="C155" t="s">
        <v>548</v>
      </c>
      <c r="D155" s="3">
        <v>30</v>
      </c>
      <c r="E155" s="3">
        <v>40</v>
      </c>
      <c r="F155" s="3">
        <v>155</v>
      </c>
      <c r="G155" s="3">
        <v>780</v>
      </c>
      <c r="H155" t="str">
        <f t="shared" si="122"/>
        <v>30-40</v>
      </c>
      <c r="I155" t="b">
        <v>1</v>
      </c>
    </row>
    <row r="156" spans="1:9" x14ac:dyDescent="0.3">
      <c r="A156" t="s">
        <v>127</v>
      </c>
      <c r="B156" t="s">
        <v>130</v>
      </c>
      <c r="C156" t="s">
        <v>131</v>
      </c>
      <c r="D156" s="3">
        <v>9</v>
      </c>
      <c r="E156" s="3">
        <v>41</v>
      </c>
      <c r="F156" s="3">
        <v>156</v>
      </c>
      <c r="G156" s="3">
        <v>3660</v>
      </c>
      <c r="H156" t="str">
        <f t="shared" si="122"/>
        <v>9-41</v>
      </c>
      <c r="I156" t="b">
        <v>1</v>
      </c>
    </row>
    <row r="157" spans="1:9" x14ac:dyDescent="0.3">
      <c r="A157" t="s">
        <v>593</v>
      </c>
      <c r="B157" t="s">
        <v>599</v>
      </c>
      <c r="C157" t="s">
        <v>600</v>
      </c>
      <c r="D157" s="3">
        <v>31</v>
      </c>
      <c r="E157" s="3">
        <v>42</v>
      </c>
      <c r="F157" s="3">
        <v>157</v>
      </c>
      <c r="G157" s="3">
        <v>680</v>
      </c>
      <c r="H157" t="str">
        <f t="shared" si="122"/>
        <v>31-42</v>
      </c>
      <c r="I157" t="b">
        <v>1</v>
      </c>
    </row>
    <row r="158" spans="1:9" x14ac:dyDescent="0.3">
      <c r="A158" t="s">
        <v>331</v>
      </c>
      <c r="B158" t="s">
        <v>334</v>
      </c>
      <c r="C158" t="s">
        <v>60</v>
      </c>
      <c r="D158" s="3">
        <v>22</v>
      </c>
      <c r="E158" s="3">
        <v>43</v>
      </c>
      <c r="F158" s="3">
        <v>158</v>
      </c>
      <c r="G158" s="3">
        <v>90</v>
      </c>
      <c r="H158" t="str">
        <f t="shared" si="122"/>
        <v>22-43</v>
      </c>
      <c r="I158" t="b">
        <v>1</v>
      </c>
    </row>
    <row r="159" spans="1:9" x14ac:dyDescent="0.3">
      <c r="A159" t="s">
        <v>331</v>
      </c>
      <c r="B159" t="s">
        <v>334</v>
      </c>
      <c r="C159" t="s">
        <v>335</v>
      </c>
      <c r="D159" s="3">
        <v>22</v>
      </c>
      <c r="E159" s="3">
        <v>43</v>
      </c>
      <c r="F159" s="3">
        <v>159</v>
      </c>
      <c r="G159" s="3">
        <v>100</v>
      </c>
      <c r="H159" t="str">
        <f t="shared" si="122"/>
        <v>22-43</v>
      </c>
      <c r="I159" t="b">
        <v>1</v>
      </c>
    </row>
    <row r="160" spans="1:9" x14ac:dyDescent="0.3">
      <c r="A160" t="s">
        <v>745</v>
      </c>
      <c r="B160" t="s">
        <v>755</v>
      </c>
      <c r="C160" t="s">
        <v>21</v>
      </c>
      <c r="D160" s="3">
        <v>36</v>
      </c>
      <c r="E160" s="3">
        <v>44</v>
      </c>
      <c r="F160" s="3">
        <v>160</v>
      </c>
      <c r="G160" s="3">
        <v>570</v>
      </c>
      <c r="H160" t="str">
        <f t="shared" si="122"/>
        <v>36-44</v>
      </c>
      <c r="I160" t="b">
        <v>1</v>
      </c>
    </row>
    <row r="161" spans="1:9" x14ac:dyDescent="0.3">
      <c r="A161" t="s">
        <v>745</v>
      </c>
      <c r="B161" t="s">
        <v>756</v>
      </c>
      <c r="C161" t="s">
        <v>386</v>
      </c>
      <c r="D161" s="3">
        <v>36</v>
      </c>
      <c r="E161" s="3">
        <v>45</v>
      </c>
      <c r="F161" s="3">
        <v>162</v>
      </c>
      <c r="G161" s="3">
        <v>1500</v>
      </c>
      <c r="H161" t="str">
        <f t="shared" si="122"/>
        <v>36-45</v>
      </c>
      <c r="I161" t="b">
        <v>1</v>
      </c>
    </row>
    <row r="162" spans="1:9" x14ac:dyDescent="0.3">
      <c r="A162" t="s">
        <v>745</v>
      </c>
      <c r="B162" t="s">
        <v>756</v>
      </c>
      <c r="C162" t="s">
        <v>184</v>
      </c>
      <c r="D162" s="3">
        <v>36</v>
      </c>
      <c r="E162" s="3">
        <v>45</v>
      </c>
      <c r="F162" s="3">
        <v>285</v>
      </c>
      <c r="G162" s="3">
        <v>90</v>
      </c>
      <c r="H162" t="str">
        <f t="shared" si="122"/>
        <v>36-45</v>
      </c>
      <c r="I162" t="b">
        <v>1</v>
      </c>
    </row>
    <row r="163" spans="1:9" x14ac:dyDescent="0.3">
      <c r="A163" t="s">
        <v>536</v>
      </c>
      <c r="B163" t="s">
        <v>549</v>
      </c>
      <c r="C163" t="s">
        <v>126</v>
      </c>
      <c r="D163" s="3">
        <v>30</v>
      </c>
      <c r="E163" s="3">
        <v>46</v>
      </c>
      <c r="F163" s="3">
        <v>163</v>
      </c>
      <c r="G163" s="3">
        <v>1010</v>
      </c>
      <c r="H163" t="str">
        <f t="shared" si="122"/>
        <v>30-46</v>
      </c>
      <c r="I163" t="b">
        <v>1</v>
      </c>
    </row>
    <row r="164" spans="1:9" x14ac:dyDescent="0.3">
      <c r="A164" t="s">
        <v>536</v>
      </c>
      <c r="B164" t="s">
        <v>549</v>
      </c>
      <c r="C164" t="s">
        <v>550</v>
      </c>
      <c r="D164" s="3">
        <v>30</v>
      </c>
      <c r="E164" s="3">
        <v>46</v>
      </c>
      <c r="F164" s="3">
        <v>164</v>
      </c>
      <c r="G164" s="3">
        <v>120</v>
      </c>
      <c r="H164" t="str">
        <f t="shared" si="122"/>
        <v>30-46</v>
      </c>
      <c r="I164" t="b">
        <v>1</v>
      </c>
    </row>
    <row r="165" spans="1:9" x14ac:dyDescent="0.3">
      <c r="A165" t="s">
        <v>456</v>
      </c>
      <c r="B165" t="s">
        <v>483</v>
      </c>
      <c r="C165" t="s">
        <v>484</v>
      </c>
      <c r="D165" s="3">
        <v>29</v>
      </c>
      <c r="E165" s="3">
        <v>47</v>
      </c>
      <c r="F165" s="3">
        <v>165</v>
      </c>
      <c r="G165" s="3">
        <v>500</v>
      </c>
      <c r="H165" t="str">
        <f t="shared" si="122"/>
        <v>29-47</v>
      </c>
      <c r="I165" t="b">
        <v>1</v>
      </c>
    </row>
    <row r="166" spans="1:9" x14ac:dyDescent="0.3">
      <c r="A166" t="s">
        <v>456</v>
      </c>
      <c r="B166" t="s">
        <v>483</v>
      </c>
      <c r="C166" t="s">
        <v>485</v>
      </c>
      <c r="D166" s="3">
        <v>29</v>
      </c>
      <c r="E166" s="3">
        <v>47</v>
      </c>
      <c r="F166" s="3">
        <v>166</v>
      </c>
      <c r="G166" s="3">
        <v>40</v>
      </c>
      <c r="H166" t="str">
        <f t="shared" si="122"/>
        <v>29-47</v>
      </c>
      <c r="I166" t="b">
        <v>1</v>
      </c>
    </row>
    <row r="167" spans="1:9" x14ac:dyDescent="0.3">
      <c r="A167" t="s">
        <v>456</v>
      </c>
      <c r="B167" t="s">
        <v>483</v>
      </c>
      <c r="C167" t="s">
        <v>486</v>
      </c>
      <c r="D167" s="3">
        <v>29</v>
      </c>
      <c r="E167" s="3">
        <v>47</v>
      </c>
      <c r="F167" s="3">
        <v>167</v>
      </c>
      <c r="G167" s="3">
        <v>70</v>
      </c>
      <c r="H167" t="str">
        <f t="shared" si="122"/>
        <v>29-47</v>
      </c>
      <c r="I167" t="b">
        <v>1</v>
      </c>
    </row>
    <row r="168" spans="1:9" x14ac:dyDescent="0.3">
      <c r="A168" t="s">
        <v>456</v>
      </c>
      <c r="B168" t="s">
        <v>483</v>
      </c>
      <c r="C168" t="s">
        <v>487</v>
      </c>
      <c r="D168" s="3">
        <v>29</v>
      </c>
      <c r="E168" s="3">
        <v>47</v>
      </c>
      <c r="F168" s="3">
        <v>168</v>
      </c>
      <c r="G168" s="3">
        <v>100</v>
      </c>
      <c r="H168" t="str">
        <f t="shared" si="122"/>
        <v>29-47</v>
      </c>
      <c r="I168" t="b">
        <v>1</v>
      </c>
    </row>
    <row r="169" spans="1:9" x14ac:dyDescent="0.3">
      <c r="A169" t="s">
        <v>456</v>
      </c>
      <c r="B169" t="s">
        <v>483</v>
      </c>
      <c r="C169" t="s">
        <v>488</v>
      </c>
      <c r="D169" s="3">
        <v>29</v>
      </c>
      <c r="E169" s="3">
        <v>47</v>
      </c>
      <c r="F169" s="3">
        <v>169</v>
      </c>
      <c r="G169" s="3">
        <v>350</v>
      </c>
      <c r="H169" t="str">
        <f t="shared" si="122"/>
        <v>29-47</v>
      </c>
      <c r="I169" t="b">
        <v>1</v>
      </c>
    </row>
    <row r="170" spans="1:9" x14ac:dyDescent="0.3">
      <c r="A170" t="s">
        <v>456</v>
      </c>
      <c r="B170" t="s">
        <v>483</v>
      </c>
      <c r="C170" t="s">
        <v>329</v>
      </c>
      <c r="D170" s="3">
        <v>29</v>
      </c>
      <c r="E170" s="3">
        <v>47</v>
      </c>
      <c r="F170" s="3">
        <v>170</v>
      </c>
      <c r="G170" s="3">
        <v>130</v>
      </c>
      <c r="H170" t="str">
        <f t="shared" si="122"/>
        <v>29-47</v>
      </c>
      <c r="I170" t="b">
        <v>1</v>
      </c>
    </row>
    <row r="171" spans="1:9" x14ac:dyDescent="0.3">
      <c r="A171" t="s">
        <v>134</v>
      </c>
      <c r="B171" t="s">
        <v>135</v>
      </c>
      <c r="C171" t="s">
        <v>136</v>
      </c>
      <c r="D171" s="3">
        <v>10</v>
      </c>
      <c r="E171" s="3">
        <v>48</v>
      </c>
      <c r="F171" s="3">
        <v>171</v>
      </c>
      <c r="G171" s="3">
        <v>11320</v>
      </c>
      <c r="H171" t="str">
        <f t="shared" si="122"/>
        <v>10-48</v>
      </c>
      <c r="I171" t="b">
        <v>1</v>
      </c>
    </row>
    <row r="172" spans="1:9" x14ac:dyDescent="0.3">
      <c r="A172" t="s">
        <v>134</v>
      </c>
      <c r="B172" t="s">
        <v>135</v>
      </c>
      <c r="C172" t="s">
        <v>137</v>
      </c>
      <c r="D172" s="3">
        <v>10</v>
      </c>
      <c r="E172" s="3">
        <v>48</v>
      </c>
      <c r="F172" s="3">
        <v>172</v>
      </c>
      <c r="G172" s="3">
        <v>150</v>
      </c>
      <c r="H172" t="str">
        <f t="shared" si="122"/>
        <v>10-48</v>
      </c>
      <c r="I172" t="b">
        <v>1</v>
      </c>
    </row>
    <row r="173" spans="1:9" x14ac:dyDescent="0.3">
      <c r="A173" t="s">
        <v>134</v>
      </c>
      <c r="B173" t="s">
        <v>135</v>
      </c>
      <c r="C173" t="s">
        <v>138</v>
      </c>
      <c r="D173" s="3">
        <v>10</v>
      </c>
      <c r="E173" s="3">
        <v>48</v>
      </c>
      <c r="F173" s="3">
        <v>173</v>
      </c>
      <c r="G173" s="3">
        <v>280</v>
      </c>
      <c r="H173" t="str">
        <f t="shared" si="122"/>
        <v>10-48</v>
      </c>
      <c r="I173" t="b">
        <v>1</v>
      </c>
    </row>
    <row r="174" spans="1:9" x14ac:dyDescent="0.3">
      <c r="A174" t="s">
        <v>134</v>
      </c>
      <c r="B174" t="s">
        <v>135</v>
      </c>
      <c r="C174" t="s">
        <v>139</v>
      </c>
      <c r="D174" s="3">
        <v>10</v>
      </c>
      <c r="E174" s="3">
        <v>48</v>
      </c>
      <c r="F174" s="3">
        <v>174</v>
      </c>
      <c r="G174" s="3">
        <v>1410</v>
      </c>
      <c r="H174" t="str">
        <f t="shared" si="122"/>
        <v>10-48</v>
      </c>
      <c r="I174" t="b">
        <v>1</v>
      </c>
    </row>
    <row r="175" spans="1:9" x14ac:dyDescent="0.3">
      <c r="A175" t="s">
        <v>134</v>
      </c>
      <c r="B175" t="s">
        <v>135</v>
      </c>
      <c r="C175" t="s">
        <v>140</v>
      </c>
      <c r="D175" s="3">
        <v>10</v>
      </c>
      <c r="E175" s="3">
        <v>48</v>
      </c>
      <c r="F175" s="3">
        <v>175</v>
      </c>
      <c r="G175" s="3">
        <v>450</v>
      </c>
      <c r="H175" t="str">
        <f t="shared" si="122"/>
        <v>10-48</v>
      </c>
      <c r="I175" t="b">
        <v>1</v>
      </c>
    </row>
    <row r="176" spans="1:9" x14ac:dyDescent="0.3">
      <c r="A176" t="s">
        <v>134</v>
      </c>
      <c r="B176" t="s">
        <v>135</v>
      </c>
      <c r="C176" t="s">
        <v>141</v>
      </c>
      <c r="D176" s="3">
        <v>10</v>
      </c>
      <c r="E176" s="3">
        <v>48</v>
      </c>
      <c r="F176" s="3">
        <v>176</v>
      </c>
      <c r="G176" s="3">
        <v>1340</v>
      </c>
      <c r="H176" t="str">
        <f t="shared" si="122"/>
        <v>10-48</v>
      </c>
      <c r="I176" t="b">
        <v>1</v>
      </c>
    </row>
    <row r="177" spans="1:9" x14ac:dyDescent="0.3">
      <c r="A177" t="s">
        <v>416</v>
      </c>
      <c r="B177" t="s">
        <v>421</v>
      </c>
      <c r="C177" t="s">
        <v>21</v>
      </c>
      <c r="D177" s="3">
        <v>27</v>
      </c>
      <c r="E177" s="3">
        <v>49</v>
      </c>
      <c r="F177" s="3">
        <v>177</v>
      </c>
      <c r="G177" s="3">
        <v>130</v>
      </c>
      <c r="H177" t="str">
        <f t="shared" si="122"/>
        <v>27-49</v>
      </c>
      <c r="I177" t="b">
        <v>1</v>
      </c>
    </row>
    <row r="178" spans="1:9" x14ac:dyDescent="0.3">
      <c r="A178" t="s">
        <v>416</v>
      </c>
      <c r="B178" t="s">
        <v>421</v>
      </c>
      <c r="C178" t="s">
        <v>422</v>
      </c>
      <c r="D178" s="3">
        <v>27</v>
      </c>
      <c r="E178" s="3">
        <v>49</v>
      </c>
      <c r="F178" s="3">
        <v>178</v>
      </c>
      <c r="G178" s="3">
        <v>110</v>
      </c>
      <c r="H178" t="str">
        <f t="shared" si="122"/>
        <v>27-49</v>
      </c>
      <c r="I178" t="b">
        <v>1</v>
      </c>
    </row>
    <row r="179" spans="1:9" x14ac:dyDescent="0.3">
      <c r="A179" t="s">
        <v>416</v>
      </c>
      <c r="B179" t="s">
        <v>421</v>
      </c>
      <c r="C179" t="s">
        <v>423</v>
      </c>
      <c r="D179" s="3">
        <v>27</v>
      </c>
      <c r="E179" s="3">
        <v>49</v>
      </c>
      <c r="F179" s="3">
        <v>179</v>
      </c>
      <c r="G179" s="3">
        <v>60</v>
      </c>
      <c r="H179" t="str">
        <f t="shared" si="122"/>
        <v>27-49</v>
      </c>
      <c r="I179" t="b">
        <v>1</v>
      </c>
    </row>
    <row r="180" spans="1:9" x14ac:dyDescent="0.3">
      <c r="A180" t="s">
        <v>416</v>
      </c>
      <c r="B180" t="s">
        <v>424</v>
      </c>
      <c r="C180" t="s">
        <v>398</v>
      </c>
      <c r="D180" s="3">
        <v>27</v>
      </c>
      <c r="E180" s="3">
        <v>50</v>
      </c>
      <c r="F180" s="3">
        <v>180</v>
      </c>
      <c r="G180" s="3">
        <v>50</v>
      </c>
      <c r="H180" t="str">
        <f t="shared" si="122"/>
        <v>27-50</v>
      </c>
      <c r="I180" t="b">
        <v>1</v>
      </c>
    </row>
    <row r="181" spans="1:9" x14ac:dyDescent="0.3">
      <c r="A181" t="s">
        <v>416</v>
      </c>
      <c r="B181" t="s">
        <v>424</v>
      </c>
      <c r="C181" t="s">
        <v>21</v>
      </c>
      <c r="D181" s="3">
        <v>27</v>
      </c>
      <c r="E181" s="3">
        <v>50</v>
      </c>
      <c r="F181" s="3">
        <v>181</v>
      </c>
      <c r="G181" s="3">
        <v>220</v>
      </c>
      <c r="H181" t="str">
        <f t="shared" si="122"/>
        <v>27-50</v>
      </c>
      <c r="I181" t="b">
        <v>1</v>
      </c>
    </row>
    <row r="182" spans="1:9" x14ac:dyDescent="0.3">
      <c r="A182" t="s">
        <v>416</v>
      </c>
      <c r="B182" t="s">
        <v>424</v>
      </c>
      <c r="C182" t="s">
        <v>425</v>
      </c>
      <c r="D182" s="3">
        <v>27</v>
      </c>
      <c r="E182" s="3">
        <v>50</v>
      </c>
      <c r="F182" s="3">
        <v>182</v>
      </c>
      <c r="G182" s="3">
        <v>20</v>
      </c>
      <c r="H182" t="str">
        <f t="shared" si="122"/>
        <v>27-50</v>
      </c>
      <c r="I182" t="b">
        <v>1</v>
      </c>
    </row>
    <row r="183" spans="1:9" x14ac:dyDescent="0.3">
      <c r="A183" t="s">
        <v>416</v>
      </c>
      <c r="B183" t="s">
        <v>424</v>
      </c>
      <c r="C183" t="s">
        <v>426</v>
      </c>
      <c r="D183" s="3">
        <v>27</v>
      </c>
      <c r="E183" s="3">
        <v>50</v>
      </c>
      <c r="F183" s="3">
        <v>183</v>
      </c>
      <c r="G183" s="3">
        <v>120</v>
      </c>
      <c r="H183" t="str">
        <f t="shared" si="122"/>
        <v>27-50</v>
      </c>
      <c r="I183" t="b">
        <v>1</v>
      </c>
    </row>
    <row r="184" spans="1:9" x14ac:dyDescent="0.3">
      <c r="A184" t="s">
        <v>308</v>
      </c>
      <c r="B184" t="s">
        <v>309</v>
      </c>
      <c r="C184" t="s">
        <v>310</v>
      </c>
      <c r="D184" s="3">
        <v>18</v>
      </c>
      <c r="E184" s="3">
        <v>51</v>
      </c>
      <c r="F184" s="3">
        <v>184</v>
      </c>
      <c r="G184" s="3">
        <v>270</v>
      </c>
      <c r="H184" t="str">
        <f t="shared" si="122"/>
        <v>18-51</v>
      </c>
      <c r="I184" t="b">
        <v>1</v>
      </c>
    </row>
    <row r="185" spans="1:9" x14ac:dyDescent="0.3">
      <c r="A185" t="s">
        <v>315</v>
      </c>
      <c r="B185" t="s">
        <v>316</v>
      </c>
      <c r="C185" t="s">
        <v>143</v>
      </c>
      <c r="D185" s="3">
        <v>19</v>
      </c>
      <c r="E185" s="3">
        <v>52</v>
      </c>
      <c r="F185" s="3">
        <v>185</v>
      </c>
      <c r="G185" s="3">
        <v>320</v>
      </c>
      <c r="H185" t="str">
        <f t="shared" si="122"/>
        <v>19-52</v>
      </c>
      <c r="I185" t="b">
        <v>1</v>
      </c>
    </row>
    <row r="186" spans="1:9" x14ac:dyDescent="0.3">
      <c r="A186" t="s">
        <v>75</v>
      </c>
      <c r="B186" t="s">
        <v>76</v>
      </c>
      <c r="C186" t="s">
        <v>77</v>
      </c>
      <c r="D186" s="3">
        <v>7</v>
      </c>
      <c r="E186" s="3">
        <v>53</v>
      </c>
      <c r="F186" s="3">
        <v>186</v>
      </c>
      <c r="G186" s="3">
        <v>1730</v>
      </c>
      <c r="H186" t="str">
        <f t="shared" si="122"/>
        <v>7-53</v>
      </c>
      <c r="I186" t="b">
        <v>1</v>
      </c>
    </row>
    <row r="187" spans="1:9" x14ac:dyDescent="0.3">
      <c r="A187" t="s">
        <v>593</v>
      </c>
      <c r="B187" t="s">
        <v>601</v>
      </c>
      <c r="C187" t="s">
        <v>602</v>
      </c>
      <c r="D187" s="3">
        <v>31</v>
      </c>
      <c r="E187" s="3">
        <v>54</v>
      </c>
      <c r="F187" s="3">
        <v>187</v>
      </c>
      <c r="G187" s="3">
        <v>90</v>
      </c>
      <c r="H187" t="str">
        <f t="shared" si="122"/>
        <v>31-54</v>
      </c>
      <c r="I187" t="b">
        <v>1</v>
      </c>
    </row>
    <row r="188" spans="1:9" x14ac:dyDescent="0.3">
      <c r="A188" t="s">
        <v>593</v>
      </c>
      <c r="B188" t="s">
        <v>601</v>
      </c>
      <c r="C188" t="s">
        <v>603</v>
      </c>
      <c r="D188" s="3">
        <v>31</v>
      </c>
      <c r="E188" s="3">
        <v>54</v>
      </c>
      <c r="F188" s="3">
        <v>188</v>
      </c>
      <c r="G188" s="3">
        <v>60</v>
      </c>
      <c r="H188" t="str">
        <f t="shared" si="122"/>
        <v>31-54</v>
      </c>
      <c r="I188" t="b">
        <v>1</v>
      </c>
    </row>
    <row r="189" spans="1:9" x14ac:dyDescent="0.3">
      <c r="A189" t="s">
        <v>593</v>
      </c>
      <c r="B189" t="s">
        <v>601</v>
      </c>
      <c r="C189" t="s">
        <v>604</v>
      </c>
      <c r="D189" s="3">
        <v>31</v>
      </c>
      <c r="E189" s="3">
        <v>54</v>
      </c>
      <c r="F189" s="3">
        <v>189</v>
      </c>
      <c r="G189" s="3">
        <v>60</v>
      </c>
      <c r="H189" t="str">
        <f t="shared" si="122"/>
        <v>31-54</v>
      </c>
      <c r="I189" t="b">
        <v>1</v>
      </c>
    </row>
    <row r="190" spans="1:9" x14ac:dyDescent="0.3">
      <c r="A190" t="s">
        <v>593</v>
      </c>
      <c r="B190" t="s">
        <v>601</v>
      </c>
      <c r="C190" t="s">
        <v>605</v>
      </c>
      <c r="D190" s="3">
        <v>31</v>
      </c>
      <c r="E190" s="3">
        <v>54</v>
      </c>
      <c r="F190" s="3">
        <v>190</v>
      </c>
      <c r="G190" s="3">
        <v>30</v>
      </c>
      <c r="H190" t="str">
        <f t="shared" si="122"/>
        <v>31-54</v>
      </c>
      <c r="I190" t="b">
        <v>1</v>
      </c>
    </row>
    <row r="191" spans="1:9" x14ac:dyDescent="0.3">
      <c r="A191" t="s">
        <v>593</v>
      </c>
      <c r="B191" t="s">
        <v>601</v>
      </c>
      <c r="C191" t="s">
        <v>201</v>
      </c>
      <c r="D191" s="3">
        <v>31</v>
      </c>
      <c r="E191" s="3">
        <v>54</v>
      </c>
      <c r="F191" s="3">
        <v>191</v>
      </c>
      <c r="G191" s="3">
        <v>30</v>
      </c>
      <c r="H191" t="str">
        <f t="shared" si="122"/>
        <v>31-54</v>
      </c>
      <c r="I191" t="b">
        <v>1</v>
      </c>
    </row>
    <row r="192" spans="1:9" x14ac:dyDescent="0.3">
      <c r="A192" t="s">
        <v>593</v>
      </c>
      <c r="B192" t="s">
        <v>601</v>
      </c>
      <c r="C192" t="s">
        <v>606</v>
      </c>
      <c r="D192" s="3">
        <v>31</v>
      </c>
      <c r="E192" s="3">
        <v>54</v>
      </c>
      <c r="F192" s="3">
        <v>192</v>
      </c>
      <c r="G192" s="3">
        <v>70</v>
      </c>
      <c r="H192" t="str">
        <f t="shared" si="122"/>
        <v>31-54</v>
      </c>
      <c r="I192" t="b">
        <v>1</v>
      </c>
    </row>
    <row r="193" spans="1:9" x14ac:dyDescent="0.3">
      <c r="A193" t="s">
        <v>593</v>
      </c>
      <c r="B193" t="s">
        <v>601</v>
      </c>
      <c r="C193" t="s">
        <v>607</v>
      </c>
      <c r="D193" s="3">
        <v>31</v>
      </c>
      <c r="E193" s="3">
        <v>54</v>
      </c>
      <c r="F193" s="3">
        <v>193</v>
      </c>
      <c r="G193" s="3">
        <v>40</v>
      </c>
      <c r="H193" t="str">
        <f t="shared" si="122"/>
        <v>31-54</v>
      </c>
      <c r="I193" t="b">
        <v>1</v>
      </c>
    </row>
    <row r="194" spans="1:9" x14ac:dyDescent="0.3">
      <c r="A194" t="s">
        <v>593</v>
      </c>
      <c r="B194" t="s">
        <v>601</v>
      </c>
      <c r="C194" t="s">
        <v>608</v>
      </c>
      <c r="D194" s="3">
        <v>31</v>
      </c>
      <c r="E194" s="3">
        <v>54</v>
      </c>
      <c r="F194" s="3">
        <v>194</v>
      </c>
      <c r="G194" s="3">
        <v>140</v>
      </c>
      <c r="H194" t="str">
        <f t="shared" si="122"/>
        <v>31-54</v>
      </c>
      <c r="I194" t="b">
        <v>1</v>
      </c>
    </row>
    <row r="195" spans="1:9" x14ac:dyDescent="0.3">
      <c r="A195" t="s">
        <v>593</v>
      </c>
      <c r="B195" t="s">
        <v>601</v>
      </c>
      <c r="C195" t="s">
        <v>609</v>
      </c>
      <c r="D195" s="3">
        <v>31</v>
      </c>
      <c r="E195" s="3">
        <v>54</v>
      </c>
      <c r="F195" s="3">
        <v>195</v>
      </c>
      <c r="G195" s="3">
        <v>80</v>
      </c>
      <c r="H195" t="str">
        <f t="shared" ref="H195:H258" si="123">_xlfn.CONCAT(D195,"-",E195)</f>
        <v>31-54</v>
      </c>
      <c r="I195" t="b">
        <v>1</v>
      </c>
    </row>
    <row r="196" spans="1:9" x14ac:dyDescent="0.3">
      <c r="A196" t="s">
        <v>593</v>
      </c>
      <c r="B196" t="s">
        <v>601</v>
      </c>
      <c r="C196" t="s">
        <v>610</v>
      </c>
      <c r="D196" s="3">
        <v>31</v>
      </c>
      <c r="E196" s="3">
        <v>54</v>
      </c>
      <c r="F196" s="3">
        <v>196</v>
      </c>
      <c r="G196" s="3">
        <v>100</v>
      </c>
      <c r="H196" t="str">
        <f t="shared" si="123"/>
        <v>31-54</v>
      </c>
      <c r="I196" t="b">
        <v>1</v>
      </c>
    </row>
    <row r="197" spans="1:9" x14ac:dyDescent="0.3">
      <c r="A197" t="s">
        <v>593</v>
      </c>
      <c r="B197" t="s">
        <v>601</v>
      </c>
      <c r="C197" t="s">
        <v>611</v>
      </c>
      <c r="D197" s="3">
        <v>31</v>
      </c>
      <c r="E197" s="3">
        <v>54</v>
      </c>
      <c r="F197" s="3">
        <v>197</v>
      </c>
      <c r="G197" s="3">
        <v>170</v>
      </c>
      <c r="H197" t="str">
        <f t="shared" si="123"/>
        <v>31-54</v>
      </c>
      <c r="I197" t="b">
        <v>1</v>
      </c>
    </row>
    <row r="198" spans="1:9" x14ac:dyDescent="0.3">
      <c r="A198" t="s">
        <v>593</v>
      </c>
      <c r="B198" t="s">
        <v>601</v>
      </c>
      <c r="C198" t="s">
        <v>60</v>
      </c>
      <c r="D198" s="3">
        <v>31</v>
      </c>
      <c r="E198" s="3">
        <v>54</v>
      </c>
      <c r="F198" s="3">
        <v>198</v>
      </c>
      <c r="G198" s="3">
        <v>190</v>
      </c>
      <c r="H198" t="str">
        <f t="shared" si="123"/>
        <v>31-54</v>
      </c>
      <c r="I198" t="b">
        <v>1</v>
      </c>
    </row>
    <row r="199" spans="1:9" x14ac:dyDescent="0.3">
      <c r="A199" t="s">
        <v>593</v>
      </c>
      <c r="B199" t="s">
        <v>601</v>
      </c>
      <c r="C199" t="s">
        <v>612</v>
      </c>
      <c r="D199" s="3">
        <v>31</v>
      </c>
      <c r="E199" s="3">
        <v>54</v>
      </c>
      <c r="F199" s="3">
        <v>199</v>
      </c>
      <c r="G199" s="3">
        <v>50</v>
      </c>
      <c r="H199" t="str">
        <f t="shared" si="123"/>
        <v>31-54</v>
      </c>
      <c r="I199" t="b">
        <v>1</v>
      </c>
    </row>
    <row r="200" spans="1:9" x14ac:dyDescent="0.3">
      <c r="A200" t="s">
        <v>593</v>
      </c>
      <c r="B200" t="s">
        <v>601</v>
      </c>
      <c r="C200" t="s">
        <v>613</v>
      </c>
      <c r="D200" s="3">
        <v>31</v>
      </c>
      <c r="E200" s="3">
        <v>54</v>
      </c>
      <c r="F200" s="3">
        <v>200</v>
      </c>
      <c r="G200" s="3">
        <v>70</v>
      </c>
      <c r="H200" t="str">
        <f t="shared" si="123"/>
        <v>31-54</v>
      </c>
      <c r="I200" t="b">
        <v>1</v>
      </c>
    </row>
    <row r="201" spans="1:9" x14ac:dyDescent="0.3">
      <c r="A201" t="s">
        <v>593</v>
      </c>
      <c r="B201" t="s">
        <v>601</v>
      </c>
      <c r="C201" t="s">
        <v>614</v>
      </c>
      <c r="D201" s="3">
        <v>31</v>
      </c>
      <c r="E201" s="3">
        <v>54</v>
      </c>
      <c r="F201" s="3">
        <v>201</v>
      </c>
      <c r="G201" s="3">
        <v>50</v>
      </c>
      <c r="H201" t="str">
        <f t="shared" si="123"/>
        <v>31-54</v>
      </c>
      <c r="I201" t="b">
        <v>1</v>
      </c>
    </row>
    <row r="202" spans="1:9" x14ac:dyDescent="0.3">
      <c r="A202" t="s">
        <v>593</v>
      </c>
      <c r="B202" t="s">
        <v>601</v>
      </c>
      <c r="C202" t="s">
        <v>615</v>
      </c>
      <c r="D202" s="3">
        <v>31</v>
      </c>
      <c r="E202" s="3">
        <v>54</v>
      </c>
      <c r="F202" s="3">
        <v>202</v>
      </c>
      <c r="G202" s="3">
        <v>150</v>
      </c>
      <c r="H202" t="str">
        <f t="shared" si="123"/>
        <v>31-54</v>
      </c>
      <c r="I202" t="b">
        <v>1</v>
      </c>
    </row>
    <row r="203" spans="1:9" x14ac:dyDescent="0.3">
      <c r="A203" t="s">
        <v>456</v>
      </c>
      <c r="B203" t="s">
        <v>489</v>
      </c>
      <c r="C203" t="s">
        <v>490</v>
      </c>
      <c r="D203" s="3">
        <v>29</v>
      </c>
      <c r="E203" s="3">
        <v>55</v>
      </c>
      <c r="F203" s="3">
        <v>203</v>
      </c>
      <c r="G203" s="3">
        <v>3200</v>
      </c>
      <c r="H203" t="str">
        <f t="shared" si="123"/>
        <v>29-55</v>
      </c>
      <c r="I203" t="b">
        <v>1</v>
      </c>
    </row>
    <row r="204" spans="1:9" x14ac:dyDescent="0.3">
      <c r="A204" t="s">
        <v>456</v>
      </c>
      <c r="B204" t="s">
        <v>489</v>
      </c>
      <c r="C204" t="s">
        <v>491</v>
      </c>
      <c r="D204" s="3">
        <v>29</v>
      </c>
      <c r="E204" s="3">
        <v>55</v>
      </c>
      <c r="F204" s="3">
        <v>204</v>
      </c>
      <c r="G204" s="3">
        <v>160</v>
      </c>
      <c r="H204" t="str">
        <f t="shared" si="123"/>
        <v>29-55</v>
      </c>
      <c r="I204" t="b">
        <v>1</v>
      </c>
    </row>
    <row r="205" spans="1:9" x14ac:dyDescent="0.3">
      <c r="A205" t="s">
        <v>23</v>
      </c>
      <c r="B205" t="s">
        <v>24</v>
      </c>
      <c r="C205" t="s">
        <v>25</v>
      </c>
      <c r="D205" s="3">
        <v>3</v>
      </c>
      <c r="E205" s="3">
        <v>56</v>
      </c>
      <c r="F205" s="3">
        <v>205</v>
      </c>
      <c r="G205" s="3">
        <v>100</v>
      </c>
      <c r="H205" t="str">
        <f t="shared" si="123"/>
        <v>3-56</v>
      </c>
      <c r="I205" t="b">
        <v>1</v>
      </c>
    </row>
    <row r="206" spans="1:9" x14ac:dyDescent="0.3">
      <c r="A206" t="s">
        <v>67</v>
      </c>
      <c r="B206" t="s">
        <v>68</v>
      </c>
      <c r="C206" t="s">
        <v>69</v>
      </c>
      <c r="D206" s="3">
        <v>5</v>
      </c>
      <c r="E206" s="3">
        <v>57</v>
      </c>
      <c r="F206" s="3">
        <v>206</v>
      </c>
      <c r="G206" s="3">
        <v>350</v>
      </c>
      <c r="H206" t="str">
        <f t="shared" si="123"/>
        <v>5-57</v>
      </c>
      <c r="I206" t="b">
        <v>1</v>
      </c>
    </row>
    <row r="207" spans="1:9" x14ac:dyDescent="0.3">
      <c r="A207" t="s">
        <v>456</v>
      </c>
      <c r="B207" t="s">
        <v>492</v>
      </c>
      <c r="C207" t="s">
        <v>60</v>
      </c>
      <c r="D207" s="3">
        <v>29</v>
      </c>
      <c r="E207" s="3">
        <v>58</v>
      </c>
      <c r="F207" s="3">
        <v>207</v>
      </c>
      <c r="G207" s="3">
        <v>60</v>
      </c>
      <c r="H207" t="str">
        <f t="shared" si="123"/>
        <v>29-58</v>
      </c>
      <c r="I207" t="b">
        <v>1</v>
      </c>
    </row>
    <row r="208" spans="1:9" x14ac:dyDescent="0.3">
      <c r="A208" t="s">
        <v>456</v>
      </c>
      <c r="B208" t="s">
        <v>492</v>
      </c>
      <c r="C208" t="s">
        <v>493</v>
      </c>
      <c r="D208" s="3">
        <v>29</v>
      </c>
      <c r="E208" s="3">
        <v>58</v>
      </c>
      <c r="F208" s="3">
        <v>208</v>
      </c>
      <c r="G208" s="3">
        <v>40</v>
      </c>
      <c r="H208" t="str">
        <f t="shared" si="123"/>
        <v>29-58</v>
      </c>
      <c r="I208" t="b">
        <v>1</v>
      </c>
    </row>
    <row r="209" spans="1:9" x14ac:dyDescent="0.3">
      <c r="A209" t="s">
        <v>456</v>
      </c>
      <c r="B209" t="s">
        <v>492</v>
      </c>
      <c r="C209" t="s">
        <v>494</v>
      </c>
      <c r="D209" s="3">
        <v>29</v>
      </c>
      <c r="E209" s="3">
        <v>58</v>
      </c>
      <c r="F209" s="3">
        <v>209</v>
      </c>
      <c r="G209" s="3">
        <v>70</v>
      </c>
      <c r="H209" t="str">
        <f t="shared" si="123"/>
        <v>29-58</v>
      </c>
      <c r="I209" t="b">
        <v>1</v>
      </c>
    </row>
    <row r="210" spans="1:9" x14ac:dyDescent="0.3">
      <c r="A210" t="s">
        <v>536</v>
      </c>
      <c r="B210" t="s">
        <v>551</v>
      </c>
      <c r="C210" t="s">
        <v>552</v>
      </c>
      <c r="D210" s="3">
        <v>30</v>
      </c>
      <c r="E210" s="3">
        <v>59</v>
      </c>
      <c r="F210" s="3">
        <v>210</v>
      </c>
      <c r="G210" s="3">
        <v>110</v>
      </c>
      <c r="H210" t="str">
        <f t="shared" si="123"/>
        <v>30-59</v>
      </c>
      <c r="I210" t="b">
        <v>1</v>
      </c>
    </row>
    <row r="211" spans="1:9" x14ac:dyDescent="0.3">
      <c r="A211" t="s">
        <v>536</v>
      </c>
      <c r="B211" t="s">
        <v>551</v>
      </c>
      <c r="C211" t="s">
        <v>179</v>
      </c>
      <c r="D211" s="3">
        <v>30</v>
      </c>
      <c r="E211" s="3">
        <v>59</v>
      </c>
      <c r="F211" s="3">
        <v>211</v>
      </c>
      <c r="G211" s="3">
        <v>260</v>
      </c>
      <c r="H211" t="str">
        <f t="shared" si="123"/>
        <v>30-59</v>
      </c>
      <c r="I211" t="b">
        <v>1</v>
      </c>
    </row>
    <row r="212" spans="1:9" x14ac:dyDescent="0.3">
      <c r="A212" t="s">
        <v>317</v>
      </c>
      <c r="B212" t="s">
        <v>318</v>
      </c>
      <c r="C212" t="s">
        <v>319</v>
      </c>
      <c r="D212" s="3">
        <v>20</v>
      </c>
      <c r="E212" s="3">
        <v>60</v>
      </c>
      <c r="F212" s="3">
        <v>212</v>
      </c>
      <c r="G212" s="3">
        <v>70</v>
      </c>
      <c r="H212" t="str">
        <f t="shared" si="123"/>
        <v>20-60</v>
      </c>
      <c r="I212" t="b">
        <v>1</v>
      </c>
    </row>
    <row r="213" spans="1:9" x14ac:dyDescent="0.3">
      <c r="A213" t="s">
        <v>317</v>
      </c>
      <c r="B213" t="s">
        <v>318</v>
      </c>
      <c r="C213" t="s">
        <v>320</v>
      </c>
      <c r="D213" s="3">
        <v>20</v>
      </c>
      <c r="E213" s="3">
        <v>60</v>
      </c>
      <c r="F213" s="3">
        <v>213</v>
      </c>
      <c r="G213" s="3">
        <v>130</v>
      </c>
      <c r="H213" t="str">
        <f t="shared" si="123"/>
        <v>20-60</v>
      </c>
      <c r="I213" t="b">
        <v>1</v>
      </c>
    </row>
    <row r="214" spans="1:9" x14ac:dyDescent="0.3">
      <c r="A214" t="s">
        <v>317</v>
      </c>
      <c r="B214" t="s">
        <v>318</v>
      </c>
      <c r="C214" t="s">
        <v>60</v>
      </c>
      <c r="D214" s="3">
        <v>20</v>
      </c>
      <c r="E214" s="3">
        <v>60</v>
      </c>
      <c r="F214" s="3">
        <v>214</v>
      </c>
      <c r="G214" s="3">
        <v>60</v>
      </c>
      <c r="H214" t="str">
        <f t="shared" si="123"/>
        <v>20-60</v>
      </c>
      <c r="I214" t="b">
        <v>1</v>
      </c>
    </row>
    <row r="215" spans="1:9" x14ac:dyDescent="0.3">
      <c r="A215" t="s">
        <v>616</v>
      </c>
      <c r="B215" t="s">
        <v>617</v>
      </c>
      <c r="C215" t="s">
        <v>618</v>
      </c>
      <c r="D215" s="3">
        <v>28</v>
      </c>
      <c r="E215" s="3">
        <v>61</v>
      </c>
      <c r="F215" s="3">
        <v>215</v>
      </c>
      <c r="G215" s="3">
        <v>20</v>
      </c>
      <c r="H215" t="str">
        <f t="shared" si="123"/>
        <v>28-61</v>
      </c>
      <c r="I215" t="b">
        <v>1</v>
      </c>
    </row>
    <row r="216" spans="1:9" x14ac:dyDescent="0.3">
      <c r="A216" t="s">
        <v>593</v>
      </c>
      <c r="B216" t="s">
        <v>617</v>
      </c>
      <c r="C216" t="s">
        <v>246</v>
      </c>
      <c r="D216" s="3">
        <v>31</v>
      </c>
      <c r="E216" s="3">
        <v>61</v>
      </c>
      <c r="F216" s="3">
        <v>216</v>
      </c>
      <c r="G216" s="3">
        <v>90</v>
      </c>
      <c r="H216" t="str">
        <f t="shared" si="123"/>
        <v>31-61</v>
      </c>
      <c r="I216" t="b">
        <v>1</v>
      </c>
    </row>
    <row r="217" spans="1:9" x14ac:dyDescent="0.3">
      <c r="A217" t="s">
        <v>593</v>
      </c>
      <c r="B217" t="s">
        <v>617</v>
      </c>
      <c r="C217" t="s">
        <v>619</v>
      </c>
      <c r="D217" s="3">
        <v>31</v>
      </c>
      <c r="E217" s="3">
        <v>61</v>
      </c>
      <c r="F217" s="3">
        <v>217</v>
      </c>
      <c r="G217" s="3">
        <v>610</v>
      </c>
      <c r="H217" t="str">
        <f t="shared" si="123"/>
        <v>31-61</v>
      </c>
      <c r="I217" t="b">
        <v>1</v>
      </c>
    </row>
    <row r="218" spans="1:9" x14ac:dyDescent="0.3">
      <c r="A218" t="s">
        <v>593</v>
      </c>
      <c r="B218" t="s">
        <v>617</v>
      </c>
      <c r="C218" t="s">
        <v>373</v>
      </c>
      <c r="D218" s="3">
        <v>31</v>
      </c>
      <c r="E218" s="3">
        <v>61</v>
      </c>
      <c r="F218" s="3">
        <v>218</v>
      </c>
      <c r="G218" s="3">
        <v>30</v>
      </c>
      <c r="H218" t="str">
        <f t="shared" si="123"/>
        <v>31-61</v>
      </c>
      <c r="I218" t="b">
        <v>1</v>
      </c>
    </row>
    <row r="219" spans="1:9" x14ac:dyDescent="0.3">
      <c r="A219" t="s">
        <v>456</v>
      </c>
      <c r="B219" t="s">
        <v>495</v>
      </c>
      <c r="C219" t="s">
        <v>21</v>
      </c>
      <c r="D219" s="3">
        <v>29</v>
      </c>
      <c r="E219" s="3">
        <v>63</v>
      </c>
      <c r="F219" s="3">
        <v>219</v>
      </c>
      <c r="G219" s="3">
        <v>740</v>
      </c>
      <c r="H219" t="str">
        <f t="shared" si="123"/>
        <v>29-63</v>
      </c>
      <c r="I219" t="b">
        <v>1</v>
      </c>
    </row>
    <row r="220" spans="1:9" x14ac:dyDescent="0.3">
      <c r="A220" t="s">
        <v>23</v>
      </c>
      <c r="B220" t="s">
        <v>26</v>
      </c>
      <c r="C220" t="s">
        <v>27</v>
      </c>
      <c r="D220" s="3">
        <v>3</v>
      </c>
      <c r="E220" s="3">
        <v>64</v>
      </c>
      <c r="F220" s="3">
        <v>220</v>
      </c>
      <c r="G220" s="3">
        <v>60</v>
      </c>
      <c r="H220" t="str">
        <f t="shared" si="123"/>
        <v>3-64</v>
      </c>
      <c r="I220" t="b">
        <v>1</v>
      </c>
    </row>
    <row r="221" spans="1:9" x14ac:dyDescent="0.3">
      <c r="A221" t="s">
        <v>28</v>
      </c>
      <c r="B221" t="s">
        <v>63</v>
      </c>
      <c r="C221" t="s">
        <v>64</v>
      </c>
      <c r="D221" s="3">
        <v>4</v>
      </c>
      <c r="E221" s="3">
        <v>65</v>
      </c>
      <c r="F221" s="3">
        <v>221</v>
      </c>
      <c r="G221" s="3">
        <v>540</v>
      </c>
      <c r="H221" t="str">
        <f t="shared" si="123"/>
        <v>4-65</v>
      </c>
      <c r="I221" t="b">
        <v>1</v>
      </c>
    </row>
    <row r="222" spans="1:9" x14ac:dyDescent="0.3">
      <c r="A222" t="s">
        <v>28</v>
      </c>
      <c r="B222" t="s">
        <v>63</v>
      </c>
      <c r="C222" t="s">
        <v>65</v>
      </c>
      <c r="D222" s="3">
        <v>4</v>
      </c>
      <c r="E222" s="3">
        <v>65</v>
      </c>
      <c r="F222" s="3">
        <v>222</v>
      </c>
      <c r="G222" s="3">
        <v>120</v>
      </c>
      <c r="H222" t="str">
        <f t="shared" si="123"/>
        <v>4-65</v>
      </c>
      <c r="I222" t="b">
        <v>1</v>
      </c>
    </row>
    <row r="223" spans="1:9" x14ac:dyDescent="0.3">
      <c r="A223" t="s">
        <v>28</v>
      </c>
      <c r="B223" t="s">
        <v>63</v>
      </c>
      <c r="C223" t="s">
        <v>66</v>
      </c>
      <c r="D223" s="3">
        <v>4</v>
      </c>
      <c r="E223" s="3">
        <v>65</v>
      </c>
      <c r="F223" s="3">
        <v>223</v>
      </c>
      <c r="G223" s="3">
        <v>60</v>
      </c>
      <c r="H223" t="str">
        <f t="shared" si="123"/>
        <v>4-65</v>
      </c>
      <c r="I223" t="b">
        <v>1</v>
      </c>
    </row>
    <row r="224" spans="1:9" x14ac:dyDescent="0.3">
      <c r="A224" t="s">
        <v>875</v>
      </c>
      <c r="B224" t="s">
        <v>878</v>
      </c>
      <c r="C224" t="s">
        <v>27</v>
      </c>
      <c r="D224" s="3">
        <v>50</v>
      </c>
      <c r="E224" s="3">
        <v>66</v>
      </c>
      <c r="F224" s="3">
        <v>224</v>
      </c>
      <c r="G224" s="3">
        <v>30</v>
      </c>
      <c r="H224" t="str">
        <f t="shared" si="123"/>
        <v>50-66</v>
      </c>
      <c r="I224" t="b">
        <v>1</v>
      </c>
    </row>
    <row r="225" spans="1:9" x14ac:dyDescent="0.3">
      <c r="A225" t="s">
        <v>875</v>
      </c>
      <c r="B225" t="s">
        <v>878</v>
      </c>
      <c r="C225" t="s">
        <v>60</v>
      </c>
      <c r="D225" s="3">
        <v>50</v>
      </c>
      <c r="E225" s="3">
        <v>66</v>
      </c>
      <c r="F225" s="3">
        <v>225</v>
      </c>
      <c r="G225" s="3">
        <v>170</v>
      </c>
      <c r="H225" t="str">
        <f t="shared" si="123"/>
        <v>50-66</v>
      </c>
      <c r="I225" t="b">
        <v>1</v>
      </c>
    </row>
    <row r="226" spans="1:9" x14ac:dyDescent="0.3">
      <c r="A226" t="s">
        <v>875</v>
      </c>
      <c r="B226" t="s">
        <v>879</v>
      </c>
      <c r="C226" t="s">
        <v>880</v>
      </c>
      <c r="D226" s="3">
        <v>50</v>
      </c>
      <c r="E226" s="3">
        <v>67</v>
      </c>
      <c r="F226" s="3">
        <v>226</v>
      </c>
      <c r="G226" s="3">
        <v>100</v>
      </c>
      <c r="H226" t="str">
        <f t="shared" si="123"/>
        <v>50-67</v>
      </c>
      <c r="I226" t="b">
        <v>1</v>
      </c>
    </row>
    <row r="227" spans="1:9" x14ac:dyDescent="0.3">
      <c r="A227" t="s">
        <v>347</v>
      </c>
      <c r="B227" t="s">
        <v>348</v>
      </c>
      <c r="C227" t="s">
        <v>349</v>
      </c>
      <c r="D227" s="3">
        <v>24</v>
      </c>
      <c r="E227" s="3">
        <v>68</v>
      </c>
      <c r="F227" s="3">
        <v>227</v>
      </c>
      <c r="G227" s="3">
        <v>60</v>
      </c>
      <c r="H227" t="str">
        <f t="shared" si="123"/>
        <v>24-68</v>
      </c>
      <c r="I227" t="b">
        <v>1</v>
      </c>
    </row>
    <row r="228" spans="1:9" x14ac:dyDescent="0.3">
      <c r="A228" t="s">
        <v>536</v>
      </c>
      <c r="B228" t="s">
        <v>553</v>
      </c>
      <c r="C228" t="s">
        <v>554</v>
      </c>
      <c r="D228" s="3">
        <v>30</v>
      </c>
      <c r="E228" s="3">
        <v>69</v>
      </c>
      <c r="F228" s="3">
        <v>228</v>
      </c>
      <c r="G228" s="3">
        <v>100</v>
      </c>
      <c r="H228" t="str">
        <f t="shared" si="123"/>
        <v>30-69</v>
      </c>
      <c r="I228" t="b">
        <v>1</v>
      </c>
    </row>
    <row r="229" spans="1:9" x14ac:dyDescent="0.3">
      <c r="A229" t="s">
        <v>536</v>
      </c>
      <c r="B229" t="s">
        <v>553</v>
      </c>
      <c r="C229" t="s">
        <v>555</v>
      </c>
      <c r="D229" s="3">
        <v>30</v>
      </c>
      <c r="E229" s="3">
        <v>69</v>
      </c>
      <c r="F229" s="3">
        <v>230</v>
      </c>
      <c r="G229" s="3">
        <v>270</v>
      </c>
      <c r="H229" t="str">
        <f t="shared" si="123"/>
        <v>30-69</v>
      </c>
      <c r="I229" t="b">
        <v>1</v>
      </c>
    </row>
    <row r="230" spans="1:9" x14ac:dyDescent="0.3">
      <c r="A230" t="s">
        <v>536</v>
      </c>
      <c r="B230" t="s">
        <v>553</v>
      </c>
      <c r="C230" t="s">
        <v>556</v>
      </c>
      <c r="D230" s="3">
        <v>30</v>
      </c>
      <c r="E230" s="3">
        <v>69</v>
      </c>
      <c r="F230" s="3">
        <v>231</v>
      </c>
      <c r="G230" s="3">
        <v>1150</v>
      </c>
      <c r="H230" t="str">
        <f t="shared" si="123"/>
        <v>30-69</v>
      </c>
      <c r="I230" t="b">
        <v>1</v>
      </c>
    </row>
    <row r="231" spans="1:9" x14ac:dyDescent="0.3">
      <c r="A231" t="s">
        <v>536</v>
      </c>
      <c r="B231" t="s">
        <v>553</v>
      </c>
      <c r="C231" t="s">
        <v>557</v>
      </c>
      <c r="D231" s="3">
        <v>30</v>
      </c>
      <c r="E231" s="3">
        <v>69</v>
      </c>
      <c r="F231" s="3">
        <v>232</v>
      </c>
      <c r="G231" s="3">
        <v>3540</v>
      </c>
      <c r="H231" t="str">
        <f t="shared" si="123"/>
        <v>30-69</v>
      </c>
      <c r="I231" t="b">
        <v>1</v>
      </c>
    </row>
    <row r="232" spans="1:9" x14ac:dyDescent="0.3">
      <c r="A232" t="s">
        <v>875</v>
      </c>
      <c r="B232" t="s">
        <v>881</v>
      </c>
      <c r="C232" t="s">
        <v>882</v>
      </c>
      <c r="D232" s="3">
        <v>50</v>
      </c>
      <c r="E232" s="3">
        <v>71</v>
      </c>
      <c r="F232" s="3">
        <v>233</v>
      </c>
      <c r="G232" s="3">
        <v>50</v>
      </c>
      <c r="H232" t="str">
        <f t="shared" si="123"/>
        <v>50-71</v>
      </c>
      <c r="I232" t="b">
        <v>1</v>
      </c>
    </row>
    <row r="233" spans="1:9" x14ac:dyDescent="0.3">
      <c r="A233" t="s">
        <v>875</v>
      </c>
      <c r="B233" t="s">
        <v>881</v>
      </c>
      <c r="C233" t="s">
        <v>883</v>
      </c>
      <c r="D233" s="3">
        <v>50</v>
      </c>
      <c r="E233" s="3">
        <v>71</v>
      </c>
      <c r="F233" s="3">
        <v>234</v>
      </c>
      <c r="G233" s="3">
        <v>30</v>
      </c>
      <c r="H233" t="str">
        <f t="shared" si="123"/>
        <v>50-71</v>
      </c>
      <c r="I233" t="b">
        <v>1</v>
      </c>
    </row>
    <row r="234" spans="1:9" x14ac:dyDescent="0.3">
      <c r="A234" t="s">
        <v>957</v>
      </c>
      <c r="B234" t="s">
        <v>958</v>
      </c>
      <c r="C234" t="s">
        <v>959</v>
      </c>
      <c r="D234" s="3">
        <v>59</v>
      </c>
      <c r="E234" s="3">
        <v>72</v>
      </c>
      <c r="F234" s="3">
        <v>235</v>
      </c>
      <c r="G234" s="3">
        <v>480</v>
      </c>
      <c r="H234" t="str">
        <f t="shared" si="123"/>
        <v>59-72</v>
      </c>
      <c r="I234" t="b">
        <v>1</v>
      </c>
    </row>
    <row r="235" spans="1:9" x14ac:dyDescent="0.3">
      <c r="A235" t="s">
        <v>416</v>
      </c>
      <c r="B235" t="s">
        <v>427</v>
      </c>
      <c r="C235" t="s">
        <v>428</v>
      </c>
      <c r="D235" s="3">
        <v>27</v>
      </c>
      <c r="E235" s="3">
        <v>73</v>
      </c>
      <c r="F235" s="3">
        <v>236</v>
      </c>
      <c r="G235" s="3">
        <v>60</v>
      </c>
      <c r="H235" t="str">
        <f t="shared" si="123"/>
        <v>27-73</v>
      </c>
      <c r="I235" t="b">
        <v>1</v>
      </c>
    </row>
    <row r="236" spans="1:9" x14ac:dyDescent="0.3">
      <c r="A236" t="s">
        <v>416</v>
      </c>
      <c r="B236" t="s">
        <v>427</v>
      </c>
      <c r="C236" t="s">
        <v>367</v>
      </c>
      <c r="D236" s="3">
        <v>27</v>
      </c>
      <c r="E236" s="3">
        <v>73</v>
      </c>
      <c r="F236" s="3">
        <v>237</v>
      </c>
      <c r="G236" s="3">
        <v>70</v>
      </c>
      <c r="H236" t="str">
        <f t="shared" si="123"/>
        <v>27-73</v>
      </c>
      <c r="I236" t="b">
        <v>1</v>
      </c>
    </row>
    <row r="237" spans="1:9" x14ac:dyDescent="0.3">
      <c r="A237" t="s">
        <v>416</v>
      </c>
      <c r="B237" t="s">
        <v>427</v>
      </c>
      <c r="C237" t="s">
        <v>429</v>
      </c>
      <c r="D237" s="3">
        <v>27</v>
      </c>
      <c r="E237" s="3">
        <v>73</v>
      </c>
      <c r="F237" s="3">
        <v>238</v>
      </c>
      <c r="G237" s="3">
        <v>80</v>
      </c>
      <c r="H237" t="str">
        <f t="shared" si="123"/>
        <v>27-73</v>
      </c>
      <c r="I237" t="b">
        <v>1</v>
      </c>
    </row>
    <row r="238" spans="1:9" x14ac:dyDescent="0.3">
      <c r="A238" t="s">
        <v>416</v>
      </c>
      <c r="B238" t="s">
        <v>427</v>
      </c>
      <c r="C238" t="s">
        <v>430</v>
      </c>
      <c r="D238" s="3">
        <v>27</v>
      </c>
      <c r="E238" s="3">
        <v>73</v>
      </c>
      <c r="F238" s="3">
        <v>239</v>
      </c>
      <c r="G238" s="3">
        <v>60</v>
      </c>
      <c r="H238" t="str">
        <f t="shared" si="123"/>
        <v>27-73</v>
      </c>
      <c r="I238" t="b">
        <v>1</v>
      </c>
    </row>
    <row r="239" spans="1:9" x14ac:dyDescent="0.3">
      <c r="A239" t="s">
        <v>416</v>
      </c>
      <c r="B239" t="s">
        <v>427</v>
      </c>
      <c r="C239" t="s">
        <v>431</v>
      </c>
      <c r="D239" s="3">
        <v>27</v>
      </c>
      <c r="E239" s="3">
        <v>73</v>
      </c>
      <c r="F239" s="3">
        <v>240</v>
      </c>
      <c r="G239" s="3">
        <v>60</v>
      </c>
      <c r="H239" t="str">
        <f t="shared" si="123"/>
        <v>27-73</v>
      </c>
      <c r="I239" t="b">
        <v>1</v>
      </c>
    </row>
    <row r="240" spans="1:9" x14ac:dyDescent="0.3">
      <c r="A240" t="s">
        <v>416</v>
      </c>
      <c r="B240" t="s">
        <v>427</v>
      </c>
      <c r="C240" t="s">
        <v>432</v>
      </c>
      <c r="D240" s="3">
        <v>27</v>
      </c>
      <c r="E240" s="3">
        <v>73</v>
      </c>
      <c r="F240" s="3">
        <v>241</v>
      </c>
      <c r="G240" s="3">
        <v>550</v>
      </c>
      <c r="H240" t="str">
        <f t="shared" si="123"/>
        <v>27-73</v>
      </c>
      <c r="I240" t="b">
        <v>1</v>
      </c>
    </row>
    <row r="241" spans="1:9" x14ac:dyDescent="0.3">
      <c r="A241" t="s">
        <v>416</v>
      </c>
      <c r="B241" t="s">
        <v>427</v>
      </c>
      <c r="C241" t="s">
        <v>433</v>
      </c>
      <c r="D241" s="3">
        <v>27</v>
      </c>
      <c r="E241" s="3">
        <v>73</v>
      </c>
      <c r="F241" s="3">
        <v>242</v>
      </c>
      <c r="G241" s="3">
        <v>30</v>
      </c>
      <c r="H241" t="str">
        <f t="shared" si="123"/>
        <v>27-73</v>
      </c>
      <c r="I241" t="b">
        <v>1</v>
      </c>
    </row>
    <row r="242" spans="1:9" x14ac:dyDescent="0.3">
      <c r="A242" t="s">
        <v>416</v>
      </c>
      <c r="B242" t="s">
        <v>427</v>
      </c>
      <c r="C242" t="s">
        <v>434</v>
      </c>
      <c r="D242" s="3">
        <v>27</v>
      </c>
      <c r="E242" s="3">
        <v>73</v>
      </c>
      <c r="F242" s="3">
        <v>243</v>
      </c>
      <c r="G242" s="3">
        <v>90</v>
      </c>
      <c r="H242" t="str">
        <f t="shared" si="123"/>
        <v>27-73</v>
      </c>
      <c r="I242" t="b">
        <v>1</v>
      </c>
    </row>
    <row r="243" spans="1:9" x14ac:dyDescent="0.3">
      <c r="A243" t="s">
        <v>416</v>
      </c>
      <c r="B243" t="s">
        <v>427</v>
      </c>
      <c r="C243" t="s">
        <v>435</v>
      </c>
      <c r="D243" s="3">
        <v>27</v>
      </c>
      <c r="E243" s="3">
        <v>73</v>
      </c>
      <c r="F243" s="3">
        <v>244</v>
      </c>
      <c r="G243" s="3">
        <v>130</v>
      </c>
      <c r="H243" t="str">
        <f t="shared" si="123"/>
        <v>27-73</v>
      </c>
      <c r="I243" t="b">
        <v>1</v>
      </c>
    </row>
    <row r="244" spans="1:9" x14ac:dyDescent="0.3">
      <c r="A244" t="s">
        <v>416</v>
      </c>
      <c r="B244" t="s">
        <v>427</v>
      </c>
      <c r="C244" t="s">
        <v>436</v>
      </c>
      <c r="D244" s="3">
        <v>27</v>
      </c>
      <c r="E244" s="3">
        <v>73</v>
      </c>
      <c r="F244" s="3">
        <v>245</v>
      </c>
      <c r="G244" s="3">
        <v>190</v>
      </c>
      <c r="H244" t="str">
        <f t="shared" si="123"/>
        <v>27-73</v>
      </c>
      <c r="I244" t="b">
        <v>1</v>
      </c>
    </row>
    <row r="245" spans="1:9" x14ac:dyDescent="0.3">
      <c r="A245" t="s">
        <v>416</v>
      </c>
      <c r="B245" t="s">
        <v>427</v>
      </c>
      <c r="C245" t="s">
        <v>414</v>
      </c>
      <c r="D245" s="3">
        <v>27</v>
      </c>
      <c r="E245" s="3">
        <v>73</v>
      </c>
      <c r="F245" s="3">
        <v>246</v>
      </c>
      <c r="G245" s="3">
        <v>310</v>
      </c>
      <c r="H245" t="str">
        <f t="shared" si="123"/>
        <v>27-73</v>
      </c>
      <c r="I245" t="b">
        <v>1</v>
      </c>
    </row>
    <row r="246" spans="1:9" x14ac:dyDescent="0.3">
      <c r="A246" t="s">
        <v>416</v>
      </c>
      <c r="B246" t="s">
        <v>427</v>
      </c>
      <c r="C246" t="s">
        <v>112</v>
      </c>
      <c r="D246" s="3">
        <v>27</v>
      </c>
      <c r="E246" s="3">
        <v>73</v>
      </c>
      <c r="F246" s="3">
        <v>247</v>
      </c>
      <c r="G246" s="3">
        <v>60</v>
      </c>
      <c r="H246" t="str">
        <f t="shared" si="123"/>
        <v>27-73</v>
      </c>
      <c r="I246" t="b">
        <v>1</v>
      </c>
    </row>
    <row r="247" spans="1:9" x14ac:dyDescent="0.3">
      <c r="A247" t="s">
        <v>416</v>
      </c>
      <c r="B247" t="s">
        <v>427</v>
      </c>
      <c r="C247" t="s">
        <v>437</v>
      </c>
      <c r="D247" s="3">
        <v>27</v>
      </c>
      <c r="E247" s="3">
        <v>73</v>
      </c>
      <c r="F247" s="3">
        <v>248</v>
      </c>
      <c r="G247" s="3">
        <v>50</v>
      </c>
      <c r="H247" t="str">
        <f t="shared" si="123"/>
        <v>27-73</v>
      </c>
      <c r="I247" t="b">
        <v>1</v>
      </c>
    </row>
    <row r="248" spans="1:9" x14ac:dyDescent="0.3">
      <c r="A248" t="s">
        <v>416</v>
      </c>
      <c r="B248" t="s">
        <v>427</v>
      </c>
      <c r="C248" t="s">
        <v>438</v>
      </c>
      <c r="D248" s="3">
        <v>27</v>
      </c>
      <c r="E248" s="3">
        <v>73</v>
      </c>
      <c r="F248" s="3">
        <v>249</v>
      </c>
      <c r="G248" s="3">
        <v>140</v>
      </c>
      <c r="H248" t="str">
        <f t="shared" si="123"/>
        <v>27-73</v>
      </c>
      <c r="I248" t="b">
        <v>1</v>
      </c>
    </row>
    <row r="249" spans="1:9" x14ac:dyDescent="0.3">
      <c r="A249" t="s">
        <v>416</v>
      </c>
      <c r="B249" t="s">
        <v>427</v>
      </c>
      <c r="C249" t="s">
        <v>439</v>
      </c>
      <c r="D249" s="3">
        <v>27</v>
      </c>
      <c r="E249" s="3">
        <v>73</v>
      </c>
      <c r="F249" s="3">
        <v>250</v>
      </c>
      <c r="G249" s="3">
        <v>160</v>
      </c>
      <c r="H249" t="str">
        <f t="shared" si="123"/>
        <v>27-73</v>
      </c>
      <c r="I249" t="b">
        <v>1</v>
      </c>
    </row>
    <row r="250" spans="1:9" x14ac:dyDescent="0.3">
      <c r="A250" t="s">
        <v>416</v>
      </c>
      <c r="B250" t="s">
        <v>427</v>
      </c>
      <c r="C250" t="s">
        <v>440</v>
      </c>
      <c r="D250" s="3">
        <v>27</v>
      </c>
      <c r="E250" s="3">
        <v>73</v>
      </c>
      <c r="F250" s="3">
        <v>251</v>
      </c>
      <c r="G250" s="3">
        <v>450</v>
      </c>
      <c r="H250" t="str">
        <f t="shared" si="123"/>
        <v>27-73</v>
      </c>
      <c r="I250" t="b">
        <v>1</v>
      </c>
    </row>
    <row r="251" spans="1:9" x14ac:dyDescent="0.3">
      <c r="A251" t="s">
        <v>416</v>
      </c>
      <c r="B251" t="s">
        <v>427</v>
      </c>
      <c r="C251" t="s">
        <v>441</v>
      </c>
      <c r="D251" s="3">
        <v>27</v>
      </c>
      <c r="E251" s="3">
        <v>73</v>
      </c>
      <c r="F251" s="3">
        <v>252</v>
      </c>
      <c r="G251" s="3">
        <v>100</v>
      </c>
      <c r="H251" t="str">
        <f t="shared" si="123"/>
        <v>27-73</v>
      </c>
      <c r="I251" t="b">
        <v>1</v>
      </c>
    </row>
    <row r="252" spans="1:9" x14ac:dyDescent="0.3">
      <c r="A252" t="s">
        <v>416</v>
      </c>
      <c r="B252" t="s">
        <v>427</v>
      </c>
      <c r="C252" t="s">
        <v>442</v>
      </c>
      <c r="D252" s="3">
        <v>27</v>
      </c>
      <c r="E252" s="3">
        <v>73</v>
      </c>
      <c r="F252" s="3">
        <v>253</v>
      </c>
      <c r="G252" s="3">
        <v>80</v>
      </c>
      <c r="H252" t="str">
        <f t="shared" si="123"/>
        <v>27-73</v>
      </c>
      <c r="I252" t="b">
        <v>1</v>
      </c>
    </row>
    <row r="253" spans="1:9" x14ac:dyDescent="0.3">
      <c r="A253" t="s">
        <v>416</v>
      </c>
      <c r="B253" t="s">
        <v>427</v>
      </c>
      <c r="C253" t="s">
        <v>443</v>
      </c>
      <c r="D253" s="3">
        <v>27</v>
      </c>
      <c r="E253" s="3">
        <v>73</v>
      </c>
      <c r="F253" s="3">
        <v>254</v>
      </c>
      <c r="G253" s="3">
        <v>230</v>
      </c>
      <c r="H253" t="str">
        <f t="shared" si="123"/>
        <v>27-73</v>
      </c>
      <c r="I253" t="b">
        <v>1</v>
      </c>
    </row>
    <row r="254" spans="1:9" x14ac:dyDescent="0.3">
      <c r="A254" t="s">
        <v>416</v>
      </c>
      <c r="B254" t="s">
        <v>427</v>
      </c>
      <c r="C254" t="s">
        <v>444</v>
      </c>
      <c r="D254" s="3">
        <v>27</v>
      </c>
      <c r="E254" s="3">
        <v>73</v>
      </c>
      <c r="F254" s="3">
        <v>255</v>
      </c>
      <c r="G254" s="3">
        <v>70</v>
      </c>
      <c r="H254" t="str">
        <f t="shared" si="123"/>
        <v>27-73</v>
      </c>
      <c r="I254" t="b">
        <v>1</v>
      </c>
    </row>
    <row r="255" spans="1:9" x14ac:dyDescent="0.3">
      <c r="A255" t="s">
        <v>416</v>
      </c>
      <c r="B255" t="s">
        <v>427</v>
      </c>
      <c r="C255" t="s">
        <v>445</v>
      </c>
      <c r="D255" s="3">
        <v>27</v>
      </c>
      <c r="E255" s="3">
        <v>73</v>
      </c>
      <c r="F255" s="3">
        <v>256</v>
      </c>
      <c r="G255" s="3">
        <v>110</v>
      </c>
      <c r="H255" t="str">
        <f t="shared" si="123"/>
        <v>27-73</v>
      </c>
      <c r="I255" t="b">
        <v>1</v>
      </c>
    </row>
    <row r="256" spans="1:9" x14ac:dyDescent="0.3">
      <c r="A256" t="s">
        <v>416</v>
      </c>
      <c r="B256" t="s">
        <v>427</v>
      </c>
      <c r="C256" t="s">
        <v>60</v>
      </c>
      <c r="D256" s="3">
        <v>27</v>
      </c>
      <c r="E256" s="3">
        <v>73</v>
      </c>
      <c r="F256" s="3">
        <v>257</v>
      </c>
      <c r="G256" s="3">
        <v>300</v>
      </c>
      <c r="H256" t="str">
        <f t="shared" si="123"/>
        <v>27-73</v>
      </c>
      <c r="I256" t="b">
        <v>1</v>
      </c>
    </row>
    <row r="257" spans="1:9" x14ac:dyDescent="0.3">
      <c r="A257" t="s">
        <v>416</v>
      </c>
      <c r="B257" t="s">
        <v>427</v>
      </c>
      <c r="C257" t="s">
        <v>446</v>
      </c>
      <c r="D257" s="3">
        <v>27</v>
      </c>
      <c r="E257" s="3">
        <v>73</v>
      </c>
      <c r="F257" s="3">
        <v>258</v>
      </c>
      <c r="G257" s="3">
        <v>160</v>
      </c>
      <c r="H257" t="str">
        <f t="shared" si="123"/>
        <v>27-73</v>
      </c>
      <c r="I257" t="b">
        <v>1</v>
      </c>
    </row>
    <row r="258" spans="1:9" x14ac:dyDescent="0.3">
      <c r="A258" t="s">
        <v>864</v>
      </c>
      <c r="B258" t="s">
        <v>867</v>
      </c>
      <c r="C258" t="s">
        <v>468</v>
      </c>
      <c r="D258" s="3">
        <v>47</v>
      </c>
      <c r="E258" s="3">
        <v>74</v>
      </c>
      <c r="F258" s="3">
        <v>259</v>
      </c>
      <c r="G258" s="3">
        <v>140</v>
      </c>
      <c r="H258" t="str">
        <f t="shared" si="123"/>
        <v>47-74</v>
      </c>
      <c r="I258" t="b">
        <v>1</v>
      </c>
    </row>
    <row r="259" spans="1:9" x14ac:dyDescent="0.3">
      <c r="A259" t="s">
        <v>808</v>
      </c>
      <c r="B259" t="s">
        <v>809</v>
      </c>
      <c r="C259" t="s">
        <v>242</v>
      </c>
      <c r="D259" s="3">
        <v>38</v>
      </c>
      <c r="E259" s="3">
        <v>75</v>
      </c>
      <c r="F259" s="3">
        <v>260</v>
      </c>
      <c r="G259" s="3">
        <v>610</v>
      </c>
      <c r="H259" t="str">
        <f t="shared" ref="H259:H322" si="124">_xlfn.CONCAT(D259,"-",E259)</f>
        <v>38-75</v>
      </c>
      <c r="I259" t="b">
        <v>1</v>
      </c>
    </row>
    <row r="260" spans="1:9" x14ac:dyDescent="0.3">
      <c r="A260" t="s">
        <v>808</v>
      </c>
      <c r="B260" t="s">
        <v>810</v>
      </c>
      <c r="C260" t="s">
        <v>811</v>
      </c>
      <c r="D260" s="3">
        <v>38</v>
      </c>
      <c r="E260" s="3">
        <v>76</v>
      </c>
      <c r="F260" s="3">
        <v>261</v>
      </c>
      <c r="G260" s="3">
        <v>60</v>
      </c>
      <c r="H260" t="str">
        <f t="shared" si="124"/>
        <v>38-76</v>
      </c>
      <c r="I260" t="b">
        <v>1</v>
      </c>
    </row>
    <row r="261" spans="1:9" x14ac:dyDescent="0.3">
      <c r="A261" t="s">
        <v>808</v>
      </c>
      <c r="B261" t="s">
        <v>810</v>
      </c>
      <c r="C261" t="s">
        <v>234</v>
      </c>
      <c r="D261" s="3">
        <v>38</v>
      </c>
      <c r="E261" s="3">
        <v>76</v>
      </c>
      <c r="F261" s="3">
        <v>262</v>
      </c>
      <c r="G261" s="3">
        <v>20</v>
      </c>
      <c r="H261" t="str">
        <f t="shared" si="124"/>
        <v>38-76</v>
      </c>
      <c r="I261" t="b">
        <v>1</v>
      </c>
    </row>
    <row r="262" spans="1:9" x14ac:dyDescent="0.3">
      <c r="A262" t="s">
        <v>808</v>
      </c>
      <c r="B262" t="s">
        <v>810</v>
      </c>
      <c r="C262" t="s">
        <v>812</v>
      </c>
      <c r="D262" s="3">
        <v>38</v>
      </c>
      <c r="E262" s="3">
        <v>76</v>
      </c>
      <c r="F262" s="3">
        <v>263</v>
      </c>
      <c r="G262" s="3">
        <v>100</v>
      </c>
      <c r="H262" t="str">
        <f t="shared" si="124"/>
        <v>38-76</v>
      </c>
      <c r="I262" t="b">
        <v>1</v>
      </c>
    </row>
    <row r="263" spans="1:9" x14ac:dyDescent="0.3">
      <c r="A263" t="s">
        <v>808</v>
      </c>
      <c r="B263" t="s">
        <v>810</v>
      </c>
      <c r="C263" t="s">
        <v>813</v>
      </c>
      <c r="D263" s="3">
        <v>38</v>
      </c>
      <c r="E263" s="3">
        <v>76</v>
      </c>
      <c r="F263" s="3">
        <v>264</v>
      </c>
      <c r="G263" s="3">
        <v>40</v>
      </c>
      <c r="H263" t="str">
        <f t="shared" si="124"/>
        <v>38-76</v>
      </c>
      <c r="I263" t="b">
        <v>1</v>
      </c>
    </row>
    <row r="264" spans="1:9" x14ac:dyDescent="0.3">
      <c r="A264" t="s">
        <v>808</v>
      </c>
      <c r="B264" t="s">
        <v>810</v>
      </c>
      <c r="C264" t="s">
        <v>814</v>
      </c>
      <c r="D264" s="3">
        <v>38</v>
      </c>
      <c r="E264" s="3">
        <v>76</v>
      </c>
      <c r="F264" s="3">
        <v>265</v>
      </c>
      <c r="G264" s="3">
        <v>20</v>
      </c>
      <c r="H264" t="str">
        <f t="shared" si="124"/>
        <v>38-76</v>
      </c>
      <c r="I264" t="b">
        <v>1</v>
      </c>
    </row>
    <row r="265" spans="1:9" x14ac:dyDescent="0.3">
      <c r="A265" t="s">
        <v>808</v>
      </c>
      <c r="B265" t="s">
        <v>810</v>
      </c>
      <c r="C265" t="s">
        <v>815</v>
      </c>
      <c r="D265" s="3">
        <v>38</v>
      </c>
      <c r="E265" s="3">
        <v>76</v>
      </c>
      <c r="F265" s="3">
        <v>266</v>
      </c>
      <c r="G265" s="3">
        <v>20</v>
      </c>
      <c r="H265" t="str">
        <f t="shared" si="124"/>
        <v>38-76</v>
      </c>
      <c r="I265" t="b">
        <v>1</v>
      </c>
    </row>
    <row r="266" spans="1:9" x14ac:dyDescent="0.3">
      <c r="A266" t="s">
        <v>808</v>
      </c>
      <c r="B266" t="s">
        <v>810</v>
      </c>
      <c r="C266" t="s">
        <v>176</v>
      </c>
      <c r="D266" s="3">
        <v>38</v>
      </c>
      <c r="E266" s="3">
        <v>76</v>
      </c>
      <c r="F266" s="3">
        <v>267</v>
      </c>
      <c r="G266" s="3">
        <v>40</v>
      </c>
      <c r="H266" t="str">
        <f t="shared" si="124"/>
        <v>38-76</v>
      </c>
      <c r="I266" t="b">
        <v>1</v>
      </c>
    </row>
    <row r="267" spans="1:9" x14ac:dyDescent="0.3">
      <c r="A267" t="s">
        <v>808</v>
      </c>
      <c r="B267" t="s">
        <v>810</v>
      </c>
      <c r="C267" t="s">
        <v>816</v>
      </c>
      <c r="D267" s="3">
        <v>38</v>
      </c>
      <c r="E267" s="3">
        <v>76</v>
      </c>
      <c r="F267" s="3">
        <v>268</v>
      </c>
      <c r="G267" s="3">
        <v>100</v>
      </c>
      <c r="H267" t="str">
        <f t="shared" si="124"/>
        <v>38-76</v>
      </c>
      <c r="I267" t="b">
        <v>1</v>
      </c>
    </row>
    <row r="268" spans="1:9" x14ac:dyDescent="0.3">
      <c r="A268" t="s">
        <v>808</v>
      </c>
      <c r="B268" t="s">
        <v>810</v>
      </c>
      <c r="C268" t="s">
        <v>99</v>
      </c>
      <c r="D268" s="3">
        <v>38</v>
      </c>
      <c r="E268" s="3">
        <v>76</v>
      </c>
      <c r="F268" s="3">
        <v>269</v>
      </c>
      <c r="G268" s="3">
        <v>150</v>
      </c>
      <c r="H268" t="str">
        <f t="shared" si="124"/>
        <v>38-76</v>
      </c>
      <c r="I268" t="b">
        <v>1</v>
      </c>
    </row>
    <row r="269" spans="1:9" x14ac:dyDescent="0.3">
      <c r="A269" t="s">
        <v>808</v>
      </c>
      <c r="B269" t="s">
        <v>810</v>
      </c>
      <c r="C269" t="s">
        <v>817</v>
      </c>
      <c r="D269" s="3">
        <v>38</v>
      </c>
      <c r="E269" s="3">
        <v>76</v>
      </c>
      <c r="F269" s="3">
        <v>270</v>
      </c>
      <c r="G269" s="3">
        <v>40</v>
      </c>
      <c r="H269" t="str">
        <f t="shared" si="124"/>
        <v>38-76</v>
      </c>
      <c r="I269" t="b">
        <v>1</v>
      </c>
    </row>
    <row r="270" spans="1:9" x14ac:dyDescent="0.3">
      <c r="A270" t="s">
        <v>808</v>
      </c>
      <c r="B270" t="s">
        <v>810</v>
      </c>
      <c r="C270" t="s">
        <v>818</v>
      </c>
      <c r="D270" s="3">
        <v>38</v>
      </c>
      <c r="E270" s="3">
        <v>76</v>
      </c>
      <c r="F270" s="3">
        <v>271</v>
      </c>
      <c r="G270" s="3">
        <v>50</v>
      </c>
      <c r="H270" t="str">
        <f t="shared" si="124"/>
        <v>38-76</v>
      </c>
      <c r="I270" t="b">
        <v>1</v>
      </c>
    </row>
    <row r="271" spans="1:9" x14ac:dyDescent="0.3">
      <c r="A271" t="s">
        <v>808</v>
      </c>
      <c r="B271" t="s">
        <v>810</v>
      </c>
      <c r="C271" t="s">
        <v>819</v>
      </c>
      <c r="D271" s="3">
        <v>38</v>
      </c>
      <c r="E271" s="3">
        <v>76</v>
      </c>
      <c r="F271" s="3">
        <v>272</v>
      </c>
      <c r="G271" s="3">
        <v>50</v>
      </c>
      <c r="H271" t="str">
        <f t="shared" si="124"/>
        <v>38-76</v>
      </c>
      <c r="I271" t="b">
        <v>1</v>
      </c>
    </row>
    <row r="272" spans="1:9" x14ac:dyDescent="0.3">
      <c r="A272" t="s">
        <v>808</v>
      </c>
      <c r="B272" t="s">
        <v>810</v>
      </c>
      <c r="C272" t="s">
        <v>820</v>
      </c>
      <c r="D272" s="3">
        <v>38</v>
      </c>
      <c r="E272" s="3">
        <v>76</v>
      </c>
      <c r="F272" s="3">
        <v>273</v>
      </c>
      <c r="G272" s="3">
        <v>30</v>
      </c>
      <c r="H272" t="str">
        <f t="shared" si="124"/>
        <v>38-76</v>
      </c>
      <c r="I272" t="b">
        <v>1</v>
      </c>
    </row>
    <row r="273" spans="1:9" x14ac:dyDescent="0.3">
      <c r="A273" t="s">
        <v>808</v>
      </c>
      <c r="B273" t="s">
        <v>810</v>
      </c>
      <c r="C273" t="s">
        <v>821</v>
      </c>
      <c r="D273" s="3">
        <v>38</v>
      </c>
      <c r="E273" s="3">
        <v>76</v>
      </c>
      <c r="F273" s="3">
        <v>274</v>
      </c>
      <c r="G273" s="3">
        <v>80</v>
      </c>
      <c r="H273" t="str">
        <f t="shared" si="124"/>
        <v>38-76</v>
      </c>
      <c r="I273" t="b">
        <v>1</v>
      </c>
    </row>
    <row r="274" spans="1:9" x14ac:dyDescent="0.3">
      <c r="A274" t="s">
        <v>808</v>
      </c>
      <c r="B274" t="s">
        <v>810</v>
      </c>
      <c r="C274" t="s">
        <v>822</v>
      </c>
      <c r="D274" s="3">
        <v>38</v>
      </c>
      <c r="E274" s="3">
        <v>76</v>
      </c>
      <c r="F274" s="3">
        <v>275</v>
      </c>
      <c r="G274" s="3">
        <v>100</v>
      </c>
      <c r="H274" t="str">
        <f t="shared" si="124"/>
        <v>38-76</v>
      </c>
      <c r="I274" t="b">
        <v>1</v>
      </c>
    </row>
    <row r="275" spans="1:9" x14ac:dyDescent="0.3">
      <c r="A275" t="s">
        <v>808</v>
      </c>
      <c r="B275" t="s">
        <v>810</v>
      </c>
      <c r="C275" t="s">
        <v>823</v>
      </c>
      <c r="D275" s="3">
        <v>38</v>
      </c>
      <c r="E275" s="3">
        <v>76</v>
      </c>
      <c r="F275" s="3">
        <v>276</v>
      </c>
      <c r="G275" s="3">
        <v>160</v>
      </c>
      <c r="H275" t="str">
        <f t="shared" si="124"/>
        <v>38-76</v>
      </c>
      <c r="I275" t="b">
        <v>1</v>
      </c>
    </row>
    <row r="276" spans="1:9" x14ac:dyDescent="0.3">
      <c r="A276" t="s">
        <v>808</v>
      </c>
      <c r="B276" t="s">
        <v>810</v>
      </c>
      <c r="C276" t="s">
        <v>824</v>
      </c>
      <c r="D276" s="3">
        <v>38</v>
      </c>
      <c r="E276" s="3">
        <v>76</v>
      </c>
      <c r="F276" s="3">
        <v>277</v>
      </c>
      <c r="G276" s="3">
        <v>20</v>
      </c>
      <c r="H276" t="str">
        <f t="shared" si="124"/>
        <v>38-76</v>
      </c>
      <c r="I276" t="b">
        <v>1</v>
      </c>
    </row>
    <row r="277" spans="1:9" x14ac:dyDescent="0.3">
      <c r="A277" t="s">
        <v>808</v>
      </c>
      <c r="B277" t="s">
        <v>810</v>
      </c>
      <c r="C277" t="s">
        <v>825</v>
      </c>
      <c r="D277" s="3">
        <v>38</v>
      </c>
      <c r="E277" s="3">
        <v>76</v>
      </c>
      <c r="F277" s="3">
        <v>278</v>
      </c>
      <c r="G277" s="3">
        <v>20</v>
      </c>
      <c r="H277" t="str">
        <f t="shared" si="124"/>
        <v>38-76</v>
      </c>
      <c r="I277" t="b">
        <v>1</v>
      </c>
    </row>
    <row r="278" spans="1:9" x14ac:dyDescent="0.3">
      <c r="A278" t="s">
        <v>808</v>
      </c>
      <c r="B278" t="s">
        <v>810</v>
      </c>
      <c r="C278" t="s">
        <v>826</v>
      </c>
      <c r="D278" s="3">
        <v>38</v>
      </c>
      <c r="E278" s="3">
        <v>76</v>
      </c>
      <c r="F278" s="3">
        <v>279</v>
      </c>
      <c r="G278" s="3">
        <v>60</v>
      </c>
      <c r="H278" t="str">
        <f t="shared" si="124"/>
        <v>38-76</v>
      </c>
      <c r="I278" t="b">
        <v>1</v>
      </c>
    </row>
    <row r="279" spans="1:9" x14ac:dyDescent="0.3">
      <c r="A279" t="s">
        <v>808</v>
      </c>
      <c r="B279" t="s">
        <v>810</v>
      </c>
      <c r="C279" t="s">
        <v>60</v>
      </c>
      <c r="D279" s="3">
        <v>38</v>
      </c>
      <c r="E279" s="3">
        <v>76</v>
      </c>
      <c r="F279" s="3">
        <v>280</v>
      </c>
      <c r="G279" s="3">
        <v>620</v>
      </c>
      <c r="H279" t="str">
        <f t="shared" si="124"/>
        <v>38-76</v>
      </c>
      <c r="I279" t="b">
        <v>1</v>
      </c>
    </row>
    <row r="280" spans="1:9" x14ac:dyDescent="0.3">
      <c r="A280" t="s">
        <v>808</v>
      </c>
      <c r="B280" t="s">
        <v>810</v>
      </c>
      <c r="C280" t="s">
        <v>827</v>
      </c>
      <c r="D280" s="3">
        <v>38</v>
      </c>
      <c r="E280" s="3">
        <v>76</v>
      </c>
      <c r="F280" s="3">
        <v>281</v>
      </c>
      <c r="G280" s="3">
        <v>30</v>
      </c>
      <c r="H280" t="str">
        <f t="shared" si="124"/>
        <v>38-76</v>
      </c>
      <c r="I280" t="b">
        <v>1</v>
      </c>
    </row>
    <row r="281" spans="1:9" x14ac:dyDescent="0.3">
      <c r="A281" t="s">
        <v>808</v>
      </c>
      <c r="B281" t="s">
        <v>810</v>
      </c>
      <c r="C281" t="s">
        <v>828</v>
      </c>
      <c r="D281" s="3">
        <v>38</v>
      </c>
      <c r="E281" s="3">
        <v>76</v>
      </c>
      <c r="F281" s="3">
        <v>282</v>
      </c>
      <c r="G281" s="3">
        <v>40</v>
      </c>
      <c r="H281" t="str">
        <f t="shared" si="124"/>
        <v>38-76</v>
      </c>
      <c r="I281" t="b">
        <v>1</v>
      </c>
    </row>
    <row r="282" spans="1:9" x14ac:dyDescent="0.3">
      <c r="A282" t="s">
        <v>864</v>
      </c>
      <c r="B282" t="s">
        <v>868</v>
      </c>
      <c r="C282" t="s">
        <v>213</v>
      </c>
      <c r="D282" s="3">
        <v>47</v>
      </c>
      <c r="E282" s="3">
        <v>77</v>
      </c>
      <c r="F282" s="3">
        <v>283</v>
      </c>
      <c r="G282" s="3">
        <v>230</v>
      </c>
      <c r="H282" t="str">
        <f t="shared" si="124"/>
        <v>47-77</v>
      </c>
      <c r="I282" t="b">
        <v>1</v>
      </c>
    </row>
    <row r="283" spans="1:9" x14ac:dyDescent="0.3">
      <c r="A283" t="s">
        <v>593</v>
      </c>
      <c r="B283" t="s">
        <v>620</v>
      </c>
      <c r="C283" t="s">
        <v>122</v>
      </c>
      <c r="D283" s="3">
        <v>31</v>
      </c>
      <c r="E283" s="3">
        <v>78</v>
      </c>
      <c r="F283" s="3">
        <v>284</v>
      </c>
      <c r="G283" s="3">
        <v>190</v>
      </c>
      <c r="H283" t="str">
        <f t="shared" si="124"/>
        <v>31-78</v>
      </c>
      <c r="I283" t="b">
        <v>1</v>
      </c>
    </row>
    <row r="284" spans="1:9" x14ac:dyDescent="0.3">
      <c r="A284" t="s">
        <v>745</v>
      </c>
      <c r="B284" t="s">
        <v>757</v>
      </c>
      <c r="C284" t="s">
        <v>758</v>
      </c>
      <c r="D284" s="3">
        <v>36</v>
      </c>
      <c r="E284" s="3">
        <v>79</v>
      </c>
      <c r="F284" s="3">
        <v>74</v>
      </c>
      <c r="G284" s="3">
        <v>650</v>
      </c>
      <c r="H284" t="str">
        <f t="shared" si="124"/>
        <v>36-79</v>
      </c>
      <c r="I284" t="b">
        <v>1</v>
      </c>
    </row>
    <row r="285" spans="1:9" x14ac:dyDescent="0.3">
      <c r="A285" t="s">
        <v>745</v>
      </c>
      <c r="B285" t="s">
        <v>757</v>
      </c>
      <c r="C285" t="s">
        <v>559</v>
      </c>
      <c r="D285" s="3">
        <v>36</v>
      </c>
      <c r="E285" s="3">
        <v>79</v>
      </c>
      <c r="F285" s="3">
        <v>286</v>
      </c>
      <c r="G285" s="3">
        <v>80</v>
      </c>
      <c r="H285" t="str">
        <f t="shared" si="124"/>
        <v>36-79</v>
      </c>
      <c r="I285" t="b">
        <v>1</v>
      </c>
    </row>
    <row r="286" spans="1:9" x14ac:dyDescent="0.3">
      <c r="A286" t="s">
        <v>745</v>
      </c>
      <c r="B286" t="s">
        <v>757</v>
      </c>
      <c r="C286" t="s">
        <v>759</v>
      </c>
      <c r="D286" s="3">
        <v>36</v>
      </c>
      <c r="E286" s="3">
        <v>79</v>
      </c>
      <c r="F286" s="3">
        <v>287</v>
      </c>
      <c r="G286" s="3">
        <v>160</v>
      </c>
      <c r="H286" t="str">
        <f t="shared" si="124"/>
        <v>36-79</v>
      </c>
      <c r="I286" t="b">
        <v>1</v>
      </c>
    </row>
    <row r="287" spans="1:9" x14ac:dyDescent="0.3">
      <c r="A287" t="s">
        <v>745</v>
      </c>
      <c r="B287" t="s">
        <v>757</v>
      </c>
      <c r="C287" t="s">
        <v>247</v>
      </c>
      <c r="D287" s="3">
        <v>36</v>
      </c>
      <c r="E287" s="3">
        <v>79</v>
      </c>
      <c r="F287" s="3">
        <v>288</v>
      </c>
      <c r="G287" s="3">
        <v>500</v>
      </c>
      <c r="H287" t="str">
        <f t="shared" si="124"/>
        <v>36-79</v>
      </c>
      <c r="I287" t="b">
        <v>1</v>
      </c>
    </row>
    <row r="288" spans="1:9" x14ac:dyDescent="0.3">
      <c r="A288" t="s">
        <v>745</v>
      </c>
      <c r="B288" t="s">
        <v>757</v>
      </c>
      <c r="C288" t="s">
        <v>760</v>
      </c>
      <c r="D288" s="3">
        <v>36</v>
      </c>
      <c r="E288" s="3">
        <v>79</v>
      </c>
      <c r="F288" s="3">
        <v>289</v>
      </c>
      <c r="G288" s="3">
        <v>10</v>
      </c>
      <c r="H288" t="str">
        <f t="shared" si="124"/>
        <v>36-79</v>
      </c>
      <c r="I288" t="b">
        <v>1</v>
      </c>
    </row>
    <row r="289" spans="1:9" x14ac:dyDescent="0.3">
      <c r="A289" t="s">
        <v>745</v>
      </c>
      <c r="B289" t="s">
        <v>757</v>
      </c>
      <c r="C289" t="s">
        <v>73</v>
      </c>
      <c r="D289" s="3">
        <v>36</v>
      </c>
      <c r="E289" s="3">
        <v>79</v>
      </c>
      <c r="F289" s="3">
        <v>290</v>
      </c>
      <c r="G289" s="3">
        <v>240</v>
      </c>
      <c r="H289" t="str">
        <f t="shared" si="124"/>
        <v>36-79</v>
      </c>
      <c r="I289" t="b">
        <v>1</v>
      </c>
    </row>
    <row r="290" spans="1:9" x14ac:dyDescent="0.3">
      <c r="A290" t="s">
        <v>745</v>
      </c>
      <c r="B290" t="s">
        <v>757</v>
      </c>
      <c r="C290" t="s">
        <v>761</v>
      </c>
      <c r="D290" s="3">
        <v>36</v>
      </c>
      <c r="E290" s="3">
        <v>79</v>
      </c>
      <c r="F290" s="3">
        <v>291</v>
      </c>
      <c r="G290" s="3">
        <v>160</v>
      </c>
      <c r="H290" t="str">
        <f t="shared" si="124"/>
        <v>36-79</v>
      </c>
      <c r="I290" t="b">
        <v>1</v>
      </c>
    </row>
    <row r="291" spans="1:9" x14ac:dyDescent="0.3">
      <c r="A291" t="s">
        <v>745</v>
      </c>
      <c r="B291" t="s">
        <v>757</v>
      </c>
      <c r="C291" t="s">
        <v>762</v>
      </c>
      <c r="D291" s="3">
        <v>36</v>
      </c>
      <c r="E291" s="3">
        <v>79</v>
      </c>
      <c r="F291" s="3">
        <v>292</v>
      </c>
      <c r="G291" s="3">
        <v>50</v>
      </c>
      <c r="H291" t="str">
        <f t="shared" si="124"/>
        <v>36-79</v>
      </c>
      <c r="I291" t="b">
        <v>1</v>
      </c>
    </row>
    <row r="292" spans="1:9" x14ac:dyDescent="0.3">
      <c r="A292" t="s">
        <v>745</v>
      </c>
      <c r="B292" t="s">
        <v>757</v>
      </c>
      <c r="C292" t="s">
        <v>763</v>
      </c>
      <c r="D292" s="3">
        <v>36</v>
      </c>
      <c r="E292" s="3">
        <v>79</v>
      </c>
      <c r="F292" s="3">
        <v>293</v>
      </c>
      <c r="G292" s="3">
        <v>80</v>
      </c>
      <c r="H292" t="str">
        <f t="shared" si="124"/>
        <v>36-79</v>
      </c>
      <c r="I292" t="b">
        <v>1</v>
      </c>
    </row>
    <row r="293" spans="1:9" x14ac:dyDescent="0.3">
      <c r="A293" t="s">
        <v>745</v>
      </c>
      <c r="B293" t="s">
        <v>757</v>
      </c>
      <c r="C293" t="s">
        <v>764</v>
      </c>
      <c r="D293" s="3">
        <v>36</v>
      </c>
      <c r="E293" s="3">
        <v>79</v>
      </c>
      <c r="F293" s="3">
        <v>294</v>
      </c>
      <c r="G293" s="3">
        <v>50</v>
      </c>
      <c r="H293" t="str">
        <f t="shared" si="124"/>
        <v>36-79</v>
      </c>
      <c r="I293" t="b">
        <v>1</v>
      </c>
    </row>
    <row r="294" spans="1:9" x14ac:dyDescent="0.3">
      <c r="A294" t="s">
        <v>745</v>
      </c>
      <c r="B294" t="s">
        <v>757</v>
      </c>
      <c r="C294" t="s">
        <v>765</v>
      </c>
      <c r="D294" s="3">
        <v>36</v>
      </c>
      <c r="E294" s="3">
        <v>79</v>
      </c>
      <c r="F294" s="3">
        <v>295</v>
      </c>
      <c r="G294" s="3">
        <v>560</v>
      </c>
      <c r="H294" t="str">
        <f t="shared" si="124"/>
        <v>36-79</v>
      </c>
      <c r="I294" t="b">
        <v>1</v>
      </c>
    </row>
    <row r="295" spans="1:9" x14ac:dyDescent="0.3">
      <c r="A295" t="s">
        <v>745</v>
      </c>
      <c r="B295" t="s">
        <v>757</v>
      </c>
      <c r="C295" t="s">
        <v>85</v>
      </c>
      <c r="D295" s="3">
        <v>36</v>
      </c>
      <c r="E295" s="3">
        <v>79</v>
      </c>
      <c r="F295" s="3">
        <v>296</v>
      </c>
      <c r="G295" s="3">
        <v>40</v>
      </c>
      <c r="H295" t="str">
        <f t="shared" si="124"/>
        <v>36-79</v>
      </c>
      <c r="I295" t="b">
        <v>1</v>
      </c>
    </row>
    <row r="296" spans="1:9" x14ac:dyDescent="0.3">
      <c r="A296" t="s">
        <v>745</v>
      </c>
      <c r="B296" t="s">
        <v>757</v>
      </c>
      <c r="C296" t="s">
        <v>766</v>
      </c>
      <c r="D296" s="3">
        <v>36</v>
      </c>
      <c r="E296" s="3">
        <v>79</v>
      </c>
      <c r="F296" s="3">
        <v>297</v>
      </c>
      <c r="G296" s="3">
        <v>60</v>
      </c>
      <c r="H296" t="str">
        <f t="shared" si="124"/>
        <v>36-79</v>
      </c>
      <c r="I296" t="b">
        <v>1</v>
      </c>
    </row>
    <row r="297" spans="1:9" x14ac:dyDescent="0.3">
      <c r="A297" t="s">
        <v>745</v>
      </c>
      <c r="B297" t="s">
        <v>757</v>
      </c>
      <c r="C297" t="s">
        <v>767</v>
      </c>
      <c r="D297" s="3">
        <v>36</v>
      </c>
      <c r="E297" s="3">
        <v>79</v>
      </c>
      <c r="F297" s="3">
        <v>298</v>
      </c>
      <c r="G297" s="3">
        <v>220</v>
      </c>
      <c r="H297" t="str">
        <f t="shared" si="124"/>
        <v>36-79</v>
      </c>
      <c r="I297" t="b">
        <v>1</v>
      </c>
    </row>
    <row r="298" spans="1:9" x14ac:dyDescent="0.3">
      <c r="A298" t="s">
        <v>745</v>
      </c>
      <c r="B298" t="s">
        <v>757</v>
      </c>
      <c r="C298" t="s">
        <v>768</v>
      </c>
      <c r="D298" s="3">
        <v>36</v>
      </c>
      <c r="E298" s="3">
        <v>79</v>
      </c>
      <c r="F298" s="3">
        <v>299</v>
      </c>
      <c r="G298" s="3">
        <v>420</v>
      </c>
      <c r="H298" t="str">
        <f t="shared" si="124"/>
        <v>36-79</v>
      </c>
      <c r="I298" t="b">
        <v>1</v>
      </c>
    </row>
    <row r="299" spans="1:9" x14ac:dyDescent="0.3">
      <c r="A299" t="s">
        <v>745</v>
      </c>
      <c r="B299" t="s">
        <v>757</v>
      </c>
      <c r="C299" t="s">
        <v>769</v>
      </c>
      <c r="D299" s="3">
        <v>36</v>
      </c>
      <c r="E299" s="3">
        <v>79</v>
      </c>
      <c r="F299" s="3">
        <v>300</v>
      </c>
      <c r="G299" s="3">
        <v>50</v>
      </c>
      <c r="H299" t="str">
        <f t="shared" si="124"/>
        <v>36-79</v>
      </c>
      <c r="I299" t="b">
        <v>1</v>
      </c>
    </row>
    <row r="300" spans="1:9" x14ac:dyDescent="0.3">
      <c r="A300" t="s">
        <v>745</v>
      </c>
      <c r="B300" t="s">
        <v>757</v>
      </c>
      <c r="C300" t="s">
        <v>770</v>
      </c>
      <c r="D300" s="3">
        <v>36</v>
      </c>
      <c r="E300" s="3">
        <v>79</v>
      </c>
      <c r="F300" s="3">
        <v>301</v>
      </c>
      <c r="G300" s="3">
        <v>160</v>
      </c>
      <c r="H300" t="str">
        <f t="shared" si="124"/>
        <v>36-79</v>
      </c>
      <c r="I300" t="b">
        <v>1</v>
      </c>
    </row>
    <row r="301" spans="1:9" x14ac:dyDescent="0.3">
      <c r="A301" t="s">
        <v>745</v>
      </c>
      <c r="B301" t="s">
        <v>757</v>
      </c>
      <c r="C301" t="s">
        <v>771</v>
      </c>
      <c r="D301" s="3">
        <v>36</v>
      </c>
      <c r="E301" s="3">
        <v>79</v>
      </c>
      <c r="F301" s="3">
        <v>302</v>
      </c>
      <c r="G301" s="3">
        <v>110</v>
      </c>
      <c r="H301" t="str">
        <f t="shared" si="124"/>
        <v>36-79</v>
      </c>
      <c r="I301" t="b">
        <v>1</v>
      </c>
    </row>
    <row r="302" spans="1:9" x14ac:dyDescent="0.3">
      <c r="A302" t="s">
        <v>745</v>
      </c>
      <c r="B302" t="s">
        <v>757</v>
      </c>
      <c r="C302" t="s">
        <v>772</v>
      </c>
      <c r="D302" s="3">
        <v>36</v>
      </c>
      <c r="E302" s="3">
        <v>79</v>
      </c>
      <c r="F302" s="3">
        <v>303</v>
      </c>
      <c r="G302" s="3">
        <v>10</v>
      </c>
      <c r="H302" t="str">
        <f t="shared" si="124"/>
        <v>36-79</v>
      </c>
      <c r="I302" t="b">
        <v>1</v>
      </c>
    </row>
    <row r="303" spans="1:9" x14ac:dyDescent="0.3">
      <c r="A303" t="s">
        <v>745</v>
      </c>
      <c r="B303" t="s">
        <v>757</v>
      </c>
      <c r="C303" t="s">
        <v>773</v>
      </c>
      <c r="D303" s="3">
        <v>36</v>
      </c>
      <c r="E303" s="3">
        <v>79</v>
      </c>
      <c r="F303" s="3">
        <v>304</v>
      </c>
      <c r="G303" s="3">
        <v>220</v>
      </c>
      <c r="H303" t="str">
        <f t="shared" si="124"/>
        <v>36-79</v>
      </c>
      <c r="I303" t="b">
        <v>1</v>
      </c>
    </row>
    <row r="304" spans="1:9" x14ac:dyDescent="0.3">
      <c r="A304" t="s">
        <v>745</v>
      </c>
      <c r="B304" t="s">
        <v>757</v>
      </c>
      <c r="C304" t="s">
        <v>774</v>
      </c>
      <c r="D304" s="3">
        <v>36</v>
      </c>
      <c r="E304" s="3">
        <v>79</v>
      </c>
      <c r="F304" s="3">
        <v>305</v>
      </c>
      <c r="G304" s="3">
        <v>320</v>
      </c>
      <c r="H304" t="str">
        <f t="shared" si="124"/>
        <v>36-79</v>
      </c>
      <c r="I304" t="b">
        <v>1</v>
      </c>
    </row>
    <row r="305" spans="1:9" x14ac:dyDescent="0.3">
      <c r="A305" t="s">
        <v>745</v>
      </c>
      <c r="B305" t="s">
        <v>757</v>
      </c>
      <c r="C305" t="s">
        <v>775</v>
      </c>
      <c r="D305" s="3">
        <v>36</v>
      </c>
      <c r="E305" s="3">
        <v>79</v>
      </c>
      <c r="F305" s="3">
        <v>306</v>
      </c>
      <c r="G305" s="3">
        <v>50</v>
      </c>
      <c r="H305" t="str">
        <f t="shared" si="124"/>
        <v>36-79</v>
      </c>
      <c r="I305" t="b">
        <v>1</v>
      </c>
    </row>
    <row r="306" spans="1:9" x14ac:dyDescent="0.3">
      <c r="A306" t="s">
        <v>745</v>
      </c>
      <c r="B306" t="s">
        <v>757</v>
      </c>
      <c r="C306" t="s">
        <v>776</v>
      </c>
      <c r="D306" s="3">
        <v>36</v>
      </c>
      <c r="E306" s="3">
        <v>79</v>
      </c>
      <c r="F306" s="3">
        <v>307</v>
      </c>
      <c r="G306" s="3">
        <v>100</v>
      </c>
      <c r="H306" t="str">
        <f t="shared" si="124"/>
        <v>36-79</v>
      </c>
      <c r="I306" t="b">
        <v>1</v>
      </c>
    </row>
    <row r="307" spans="1:9" x14ac:dyDescent="0.3">
      <c r="A307" t="s">
        <v>745</v>
      </c>
      <c r="B307" t="s">
        <v>757</v>
      </c>
      <c r="C307" t="s">
        <v>777</v>
      </c>
      <c r="D307" s="3">
        <v>36</v>
      </c>
      <c r="E307" s="3">
        <v>79</v>
      </c>
      <c r="F307" s="3">
        <v>308</v>
      </c>
      <c r="G307" s="3">
        <v>40</v>
      </c>
      <c r="H307" t="str">
        <f t="shared" si="124"/>
        <v>36-79</v>
      </c>
      <c r="I307" t="b">
        <v>1</v>
      </c>
    </row>
    <row r="308" spans="1:9" x14ac:dyDescent="0.3">
      <c r="A308" t="s">
        <v>745</v>
      </c>
      <c r="B308" t="s">
        <v>757</v>
      </c>
      <c r="C308" t="s">
        <v>778</v>
      </c>
      <c r="D308" s="3">
        <v>36</v>
      </c>
      <c r="E308" s="3">
        <v>79</v>
      </c>
      <c r="F308" s="3">
        <v>309</v>
      </c>
      <c r="G308" s="3">
        <v>90</v>
      </c>
      <c r="H308" t="str">
        <f t="shared" si="124"/>
        <v>36-79</v>
      </c>
      <c r="I308" t="b">
        <v>1</v>
      </c>
    </row>
    <row r="309" spans="1:9" x14ac:dyDescent="0.3">
      <c r="A309" t="s">
        <v>745</v>
      </c>
      <c r="B309" t="s">
        <v>757</v>
      </c>
      <c r="C309" t="s">
        <v>779</v>
      </c>
      <c r="D309" s="3">
        <v>36</v>
      </c>
      <c r="E309" s="3">
        <v>79</v>
      </c>
      <c r="F309" s="3">
        <v>310</v>
      </c>
      <c r="G309" s="3">
        <v>70</v>
      </c>
      <c r="H309" t="str">
        <f t="shared" si="124"/>
        <v>36-79</v>
      </c>
      <c r="I309" t="b">
        <v>1</v>
      </c>
    </row>
    <row r="310" spans="1:9" x14ac:dyDescent="0.3">
      <c r="A310" t="s">
        <v>745</v>
      </c>
      <c r="B310" t="s">
        <v>757</v>
      </c>
      <c r="C310" t="s">
        <v>780</v>
      </c>
      <c r="D310" s="3">
        <v>36</v>
      </c>
      <c r="E310" s="3">
        <v>79</v>
      </c>
      <c r="F310" s="3">
        <v>311</v>
      </c>
      <c r="G310" s="3">
        <v>50</v>
      </c>
      <c r="H310" t="str">
        <f t="shared" si="124"/>
        <v>36-79</v>
      </c>
      <c r="I310" t="b">
        <v>1</v>
      </c>
    </row>
    <row r="311" spans="1:9" x14ac:dyDescent="0.3">
      <c r="A311" t="s">
        <v>745</v>
      </c>
      <c r="B311" t="s">
        <v>757</v>
      </c>
      <c r="C311" t="s">
        <v>781</v>
      </c>
      <c r="D311" s="3">
        <v>36</v>
      </c>
      <c r="E311" s="3">
        <v>79</v>
      </c>
      <c r="F311" s="3">
        <v>312</v>
      </c>
      <c r="G311" s="3">
        <v>60</v>
      </c>
      <c r="H311" t="str">
        <f t="shared" si="124"/>
        <v>36-79</v>
      </c>
      <c r="I311" t="b">
        <v>1</v>
      </c>
    </row>
    <row r="312" spans="1:9" x14ac:dyDescent="0.3">
      <c r="A312" t="s">
        <v>745</v>
      </c>
      <c r="B312" t="s">
        <v>757</v>
      </c>
      <c r="C312" t="s">
        <v>782</v>
      </c>
      <c r="D312" s="3">
        <v>36</v>
      </c>
      <c r="E312" s="3">
        <v>79</v>
      </c>
      <c r="F312" s="3">
        <v>313</v>
      </c>
      <c r="G312" s="3">
        <v>70</v>
      </c>
      <c r="H312" t="str">
        <f t="shared" si="124"/>
        <v>36-79</v>
      </c>
      <c r="I312" t="b">
        <v>1</v>
      </c>
    </row>
    <row r="313" spans="1:9" x14ac:dyDescent="0.3">
      <c r="A313" t="s">
        <v>745</v>
      </c>
      <c r="B313" t="s">
        <v>757</v>
      </c>
      <c r="C313" t="s">
        <v>205</v>
      </c>
      <c r="D313" s="3">
        <v>36</v>
      </c>
      <c r="E313" s="3">
        <v>79</v>
      </c>
      <c r="F313" s="3">
        <v>314</v>
      </c>
      <c r="G313" s="3">
        <v>30</v>
      </c>
      <c r="H313" t="str">
        <f t="shared" si="124"/>
        <v>36-79</v>
      </c>
      <c r="I313" t="b">
        <v>1</v>
      </c>
    </row>
    <row r="314" spans="1:9" x14ac:dyDescent="0.3">
      <c r="A314" t="s">
        <v>745</v>
      </c>
      <c r="B314" t="s">
        <v>757</v>
      </c>
      <c r="C314" t="s">
        <v>783</v>
      </c>
      <c r="D314" s="3">
        <v>36</v>
      </c>
      <c r="E314" s="3">
        <v>79</v>
      </c>
      <c r="F314" s="3">
        <v>315</v>
      </c>
      <c r="G314" s="3">
        <v>30</v>
      </c>
      <c r="H314" t="str">
        <f t="shared" si="124"/>
        <v>36-79</v>
      </c>
      <c r="I314" t="b">
        <v>1</v>
      </c>
    </row>
    <row r="315" spans="1:9" x14ac:dyDescent="0.3">
      <c r="A315" t="s">
        <v>745</v>
      </c>
      <c r="B315" t="s">
        <v>757</v>
      </c>
      <c r="C315" t="s">
        <v>213</v>
      </c>
      <c r="D315" s="3">
        <v>36</v>
      </c>
      <c r="E315" s="3">
        <v>79</v>
      </c>
      <c r="F315" s="3">
        <v>316</v>
      </c>
      <c r="G315" s="3">
        <v>80</v>
      </c>
      <c r="H315" t="str">
        <f t="shared" si="124"/>
        <v>36-79</v>
      </c>
      <c r="I315" t="b">
        <v>1</v>
      </c>
    </row>
    <row r="316" spans="1:9" x14ac:dyDescent="0.3">
      <c r="A316" t="s">
        <v>745</v>
      </c>
      <c r="B316" t="s">
        <v>757</v>
      </c>
      <c r="C316" t="s">
        <v>784</v>
      </c>
      <c r="D316" s="3">
        <v>36</v>
      </c>
      <c r="E316" s="3">
        <v>79</v>
      </c>
      <c r="F316" s="3">
        <v>317</v>
      </c>
      <c r="G316" s="3">
        <v>40</v>
      </c>
      <c r="H316" t="str">
        <f t="shared" si="124"/>
        <v>36-79</v>
      </c>
      <c r="I316" t="b">
        <v>1</v>
      </c>
    </row>
    <row r="317" spans="1:9" x14ac:dyDescent="0.3">
      <c r="A317" t="s">
        <v>745</v>
      </c>
      <c r="B317" t="s">
        <v>757</v>
      </c>
      <c r="C317" t="s">
        <v>785</v>
      </c>
      <c r="D317" s="3">
        <v>36</v>
      </c>
      <c r="E317" s="3">
        <v>79</v>
      </c>
      <c r="F317" s="3">
        <v>318</v>
      </c>
      <c r="G317" s="3">
        <v>40</v>
      </c>
      <c r="H317" t="str">
        <f t="shared" si="124"/>
        <v>36-79</v>
      </c>
      <c r="I317" t="b">
        <v>1</v>
      </c>
    </row>
    <row r="318" spans="1:9" x14ac:dyDescent="0.3">
      <c r="A318" t="s">
        <v>745</v>
      </c>
      <c r="B318" t="s">
        <v>757</v>
      </c>
      <c r="C318" t="s">
        <v>786</v>
      </c>
      <c r="D318" s="3">
        <v>36</v>
      </c>
      <c r="E318" s="3">
        <v>79</v>
      </c>
      <c r="F318" s="3">
        <v>319</v>
      </c>
      <c r="G318" s="3">
        <v>70</v>
      </c>
      <c r="H318" t="str">
        <f t="shared" si="124"/>
        <v>36-79</v>
      </c>
      <c r="I318" t="b">
        <v>1</v>
      </c>
    </row>
    <row r="319" spans="1:9" x14ac:dyDescent="0.3">
      <c r="A319" t="s">
        <v>745</v>
      </c>
      <c r="B319" t="s">
        <v>757</v>
      </c>
      <c r="C319" t="s">
        <v>787</v>
      </c>
      <c r="D319" s="3">
        <v>36</v>
      </c>
      <c r="E319" s="3">
        <v>79</v>
      </c>
      <c r="F319" s="3">
        <v>320</v>
      </c>
      <c r="G319" s="3">
        <v>70</v>
      </c>
      <c r="H319" t="str">
        <f t="shared" si="124"/>
        <v>36-79</v>
      </c>
      <c r="I319" t="b">
        <v>1</v>
      </c>
    </row>
    <row r="320" spans="1:9" x14ac:dyDescent="0.3">
      <c r="A320" t="s">
        <v>745</v>
      </c>
      <c r="B320" t="s">
        <v>757</v>
      </c>
      <c r="C320" t="s">
        <v>788</v>
      </c>
      <c r="D320" s="3">
        <v>36</v>
      </c>
      <c r="E320" s="3">
        <v>79</v>
      </c>
      <c r="F320" s="3">
        <v>321</v>
      </c>
      <c r="G320" s="3">
        <v>40</v>
      </c>
      <c r="H320" t="str">
        <f t="shared" si="124"/>
        <v>36-79</v>
      </c>
      <c r="I320" t="b">
        <v>1</v>
      </c>
    </row>
    <row r="321" spans="1:9" x14ac:dyDescent="0.3">
      <c r="A321" t="s">
        <v>745</v>
      </c>
      <c r="B321" t="s">
        <v>757</v>
      </c>
      <c r="C321" t="s">
        <v>789</v>
      </c>
      <c r="D321" s="3">
        <v>36</v>
      </c>
      <c r="E321" s="3">
        <v>79</v>
      </c>
      <c r="F321" s="3">
        <v>322</v>
      </c>
      <c r="G321" s="3">
        <v>70</v>
      </c>
      <c r="H321" t="str">
        <f t="shared" si="124"/>
        <v>36-79</v>
      </c>
      <c r="I321" t="b">
        <v>1</v>
      </c>
    </row>
    <row r="322" spans="1:9" x14ac:dyDescent="0.3">
      <c r="A322" t="s">
        <v>308</v>
      </c>
      <c r="B322" t="s">
        <v>311</v>
      </c>
      <c r="C322" t="s">
        <v>312</v>
      </c>
      <c r="D322" s="3">
        <v>18</v>
      </c>
      <c r="E322" s="3">
        <v>80</v>
      </c>
      <c r="F322" s="3">
        <v>323</v>
      </c>
      <c r="G322" s="3">
        <v>540</v>
      </c>
      <c r="H322" t="str">
        <f t="shared" si="124"/>
        <v>18-80</v>
      </c>
      <c r="I322" t="b">
        <v>1</v>
      </c>
    </row>
    <row r="323" spans="1:9" x14ac:dyDescent="0.3">
      <c r="A323" t="s">
        <v>875</v>
      </c>
      <c r="B323" t="s">
        <v>884</v>
      </c>
      <c r="C323" t="s">
        <v>885</v>
      </c>
      <c r="D323" s="3">
        <v>50</v>
      </c>
      <c r="E323" s="3">
        <v>81</v>
      </c>
      <c r="F323" s="3">
        <v>324</v>
      </c>
      <c r="G323" s="3">
        <v>580</v>
      </c>
      <c r="H323" t="str">
        <f t="shared" ref="H323:H386" si="125">_xlfn.CONCAT(D323,"-",E323)</f>
        <v>50-81</v>
      </c>
      <c r="I323" t="b">
        <v>1</v>
      </c>
    </row>
    <row r="324" spans="1:9" x14ac:dyDescent="0.3">
      <c r="A324" t="s">
        <v>875</v>
      </c>
      <c r="B324" t="s">
        <v>884</v>
      </c>
      <c r="C324" t="s">
        <v>886</v>
      </c>
      <c r="D324" s="3">
        <v>50</v>
      </c>
      <c r="E324" s="3">
        <v>81</v>
      </c>
      <c r="F324" s="3">
        <v>325</v>
      </c>
      <c r="G324" s="3">
        <v>40</v>
      </c>
      <c r="H324" t="str">
        <f t="shared" si="125"/>
        <v>50-81</v>
      </c>
      <c r="I324" t="b">
        <v>1</v>
      </c>
    </row>
    <row r="325" spans="1:9" x14ac:dyDescent="0.3">
      <c r="A325" t="s">
        <v>875</v>
      </c>
      <c r="B325" t="s">
        <v>884</v>
      </c>
      <c r="C325" t="s">
        <v>60</v>
      </c>
      <c r="D325" s="3">
        <v>50</v>
      </c>
      <c r="E325" s="3">
        <v>81</v>
      </c>
      <c r="F325" s="3">
        <v>326</v>
      </c>
      <c r="G325" s="3">
        <v>140</v>
      </c>
      <c r="H325" t="str">
        <f t="shared" si="125"/>
        <v>50-81</v>
      </c>
      <c r="I325" t="b">
        <v>1</v>
      </c>
    </row>
    <row r="326" spans="1:9" x14ac:dyDescent="0.3">
      <c r="A326" t="s">
        <v>845</v>
      </c>
      <c r="B326" t="s">
        <v>846</v>
      </c>
      <c r="C326" t="s">
        <v>847</v>
      </c>
      <c r="D326" s="3">
        <v>41</v>
      </c>
      <c r="E326" s="3">
        <v>82</v>
      </c>
      <c r="F326" s="3">
        <v>327</v>
      </c>
      <c r="G326" s="3">
        <v>210</v>
      </c>
      <c r="H326" t="str">
        <f t="shared" si="125"/>
        <v>41-82</v>
      </c>
      <c r="I326" t="b">
        <v>1</v>
      </c>
    </row>
    <row r="327" spans="1:9" x14ac:dyDescent="0.3">
      <c r="A327" t="s">
        <v>954</v>
      </c>
      <c r="B327" t="s">
        <v>955</v>
      </c>
      <c r="C327" t="s">
        <v>126</v>
      </c>
      <c r="D327" s="3">
        <v>58</v>
      </c>
      <c r="E327" s="3">
        <v>83</v>
      </c>
      <c r="F327" s="3">
        <v>328</v>
      </c>
      <c r="G327" s="3">
        <v>510</v>
      </c>
      <c r="H327" t="str">
        <f t="shared" si="125"/>
        <v>58-83</v>
      </c>
      <c r="I327" t="b">
        <v>1</v>
      </c>
    </row>
    <row r="328" spans="1:9" x14ac:dyDescent="0.3">
      <c r="A328" t="s">
        <v>942</v>
      </c>
      <c r="B328" t="s">
        <v>945</v>
      </c>
      <c r="C328" t="s">
        <v>946</v>
      </c>
      <c r="D328" s="3">
        <v>56</v>
      </c>
      <c r="E328" s="3">
        <v>84</v>
      </c>
      <c r="F328" s="3">
        <v>329</v>
      </c>
      <c r="G328" s="3">
        <v>340</v>
      </c>
      <c r="H328" t="str">
        <f t="shared" si="125"/>
        <v>56-84</v>
      </c>
      <c r="I328" t="b">
        <v>1</v>
      </c>
    </row>
    <row r="329" spans="1:9" x14ac:dyDescent="0.3">
      <c r="A329" t="s">
        <v>942</v>
      </c>
      <c r="B329" t="s">
        <v>945</v>
      </c>
      <c r="C329" t="s">
        <v>947</v>
      </c>
      <c r="D329" s="3">
        <v>56</v>
      </c>
      <c r="E329" s="3">
        <v>84</v>
      </c>
      <c r="F329" s="3">
        <v>330</v>
      </c>
      <c r="G329" s="3">
        <v>230</v>
      </c>
      <c r="H329" t="str">
        <f t="shared" si="125"/>
        <v>56-84</v>
      </c>
      <c r="I329" t="b">
        <v>1</v>
      </c>
    </row>
    <row r="330" spans="1:9" x14ac:dyDescent="0.3">
      <c r="A330" t="s">
        <v>942</v>
      </c>
      <c r="B330" t="s">
        <v>945</v>
      </c>
      <c r="C330" t="s">
        <v>66</v>
      </c>
      <c r="D330" s="3">
        <v>56</v>
      </c>
      <c r="E330" s="3">
        <v>84</v>
      </c>
      <c r="F330" s="3">
        <v>331</v>
      </c>
      <c r="G330" s="3">
        <v>50</v>
      </c>
      <c r="H330" t="str">
        <f t="shared" si="125"/>
        <v>56-84</v>
      </c>
      <c r="I330" t="b">
        <v>1</v>
      </c>
    </row>
    <row r="331" spans="1:9" x14ac:dyDescent="0.3">
      <c r="A331" t="s">
        <v>942</v>
      </c>
      <c r="B331" t="s">
        <v>945</v>
      </c>
      <c r="C331" t="s">
        <v>948</v>
      </c>
      <c r="D331" s="3">
        <v>56</v>
      </c>
      <c r="E331" s="3">
        <v>84</v>
      </c>
      <c r="F331" s="3">
        <v>332</v>
      </c>
      <c r="G331" s="3">
        <v>50</v>
      </c>
      <c r="H331" t="str">
        <f t="shared" si="125"/>
        <v>56-84</v>
      </c>
      <c r="I331" t="b">
        <v>1</v>
      </c>
    </row>
    <row r="332" spans="1:9" x14ac:dyDescent="0.3">
      <c r="A332" t="s">
        <v>942</v>
      </c>
      <c r="B332" t="s">
        <v>945</v>
      </c>
      <c r="C332" t="s">
        <v>949</v>
      </c>
      <c r="D332" s="3">
        <v>56</v>
      </c>
      <c r="E332" s="3">
        <v>84</v>
      </c>
      <c r="F332" s="3">
        <v>333</v>
      </c>
      <c r="G332" s="3">
        <v>180</v>
      </c>
      <c r="H332" t="str">
        <f t="shared" si="125"/>
        <v>56-84</v>
      </c>
      <c r="I332" t="b">
        <v>1</v>
      </c>
    </row>
    <row r="333" spans="1:9" x14ac:dyDescent="0.3">
      <c r="A333" t="s">
        <v>168</v>
      </c>
      <c r="B333" t="s">
        <v>169</v>
      </c>
      <c r="C333" t="s">
        <v>170</v>
      </c>
      <c r="D333" s="3">
        <v>14</v>
      </c>
      <c r="E333" s="3">
        <v>85</v>
      </c>
      <c r="F333" s="3">
        <v>334</v>
      </c>
      <c r="G333" s="3">
        <v>2210</v>
      </c>
      <c r="H333" t="str">
        <f t="shared" si="125"/>
        <v>14-85</v>
      </c>
      <c r="I333" t="b">
        <v>1</v>
      </c>
    </row>
    <row r="334" spans="1:9" x14ac:dyDescent="0.3">
      <c r="A334" t="s">
        <v>856</v>
      </c>
      <c r="B334" t="s">
        <v>857</v>
      </c>
      <c r="C334" t="s">
        <v>217</v>
      </c>
      <c r="D334" s="3">
        <v>44</v>
      </c>
      <c r="E334" s="3">
        <v>86</v>
      </c>
      <c r="F334" s="3">
        <v>335</v>
      </c>
      <c r="G334" s="3">
        <v>630</v>
      </c>
      <c r="H334" t="str">
        <f t="shared" si="125"/>
        <v>44-86</v>
      </c>
      <c r="I334" t="b">
        <v>1</v>
      </c>
    </row>
    <row r="335" spans="1:9" x14ac:dyDescent="0.3">
      <c r="A335" t="s">
        <v>966</v>
      </c>
      <c r="B335" t="s">
        <v>967</v>
      </c>
      <c r="C335" t="s">
        <v>968</v>
      </c>
      <c r="D335" s="3">
        <v>60</v>
      </c>
      <c r="E335" s="3">
        <v>87</v>
      </c>
      <c r="F335" s="3">
        <v>336</v>
      </c>
      <c r="G335" s="3">
        <v>100</v>
      </c>
      <c r="H335" t="str">
        <f t="shared" si="125"/>
        <v>60-87</v>
      </c>
      <c r="I335" t="b">
        <v>1</v>
      </c>
    </row>
    <row r="336" spans="1:9" x14ac:dyDescent="0.3">
      <c r="A336" t="s">
        <v>966</v>
      </c>
      <c r="B336" t="s">
        <v>967</v>
      </c>
      <c r="C336" t="s">
        <v>969</v>
      </c>
      <c r="D336" s="3">
        <v>60</v>
      </c>
      <c r="E336" s="3">
        <v>87</v>
      </c>
      <c r="F336" s="3">
        <v>337</v>
      </c>
      <c r="G336" s="3">
        <v>250</v>
      </c>
      <c r="H336" t="str">
        <f t="shared" si="125"/>
        <v>60-87</v>
      </c>
      <c r="I336" t="b">
        <v>1</v>
      </c>
    </row>
    <row r="337" spans="1:9" x14ac:dyDescent="0.3">
      <c r="A337" t="s">
        <v>966</v>
      </c>
      <c r="B337" t="s">
        <v>967</v>
      </c>
      <c r="C337" t="s">
        <v>970</v>
      </c>
      <c r="D337" s="3">
        <v>60</v>
      </c>
      <c r="E337" s="3">
        <v>87</v>
      </c>
      <c r="F337" s="3">
        <v>338</v>
      </c>
      <c r="G337" s="3">
        <v>520</v>
      </c>
      <c r="H337" t="str">
        <f t="shared" si="125"/>
        <v>60-87</v>
      </c>
      <c r="I337" t="b">
        <v>1</v>
      </c>
    </row>
    <row r="338" spans="1:9" x14ac:dyDescent="0.3">
      <c r="A338" t="s">
        <v>725</v>
      </c>
      <c r="B338" t="s">
        <v>735</v>
      </c>
      <c r="C338" t="s">
        <v>170</v>
      </c>
      <c r="D338" s="3">
        <v>35</v>
      </c>
      <c r="E338" s="3">
        <v>88</v>
      </c>
      <c r="F338" s="3">
        <v>339</v>
      </c>
      <c r="G338" s="3">
        <v>650</v>
      </c>
      <c r="H338" t="str">
        <f t="shared" si="125"/>
        <v>35-88</v>
      </c>
      <c r="I338" t="b">
        <v>1</v>
      </c>
    </row>
    <row r="339" spans="1:9" x14ac:dyDescent="0.3">
      <c r="A339" t="s">
        <v>725</v>
      </c>
      <c r="B339" t="s">
        <v>735</v>
      </c>
      <c r="C339" t="s">
        <v>326</v>
      </c>
      <c r="D339" s="3">
        <v>35</v>
      </c>
      <c r="E339" s="3">
        <v>88</v>
      </c>
      <c r="F339" s="3">
        <v>340</v>
      </c>
      <c r="G339" s="3">
        <v>470</v>
      </c>
      <c r="H339" t="str">
        <f t="shared" si="125"/>
        <v>35-88</v>
      </c>
      <c r="I339" t="b">
        <v>1</v>
      </c>
    </row>
    <row r="340" spans="1:9" x14ac:dyDescent="0.3">
      <c r="A340" t="s">
        <v>725</v>
      </c>
      <c r="B340" t="s">
        <v>735</v>
      </c>
      <c r="C340" t="s">
        <v>736</v>
      </c>
      <c r="D340" s="3">
        <v>35</v>
      </c>
      <c r="E340" s="3">
        <v>88</v>
      </c>
      <c r="F340" s="3">
        <v>341</v>
      </c>
      <c r="G340" s="3">
        <v>30</v>
      </c>
      <c r="H340" t="str">
        <f t="shared" si="125"/>
        <v>35-88</v>
      </c>
      <c r="I340" t="b">
        <v>1</v>
      </c>
    </row>
    <row r="341" spans="1:9" x14ac:dyDescent="0.3">
      <c r="A341" t="s">
        <v>456</v>
      </c>
      <c r="B341" t="s">
        <v>496</v>
      </c>
      <c r="C341" t="s">
        <v>497</v>
      </c>
      <c r="D341" s="3">
        <v>29</v>
      </c>
      <c r="E341" s="3">
        <v>89</v>
      </c>
      <c r="F341" s="3">
        <v>342</v>
      </c>
      <c r="G341" s="3">
        <v>40</v>
      </c>
      <c r="H341" t="str">
        <f t="shared" si="125"/>
        <v>29-89</v>
      </c>
      <c r="I341" t="b">
        <v>1</v>
      </c>
    </row>
    <row r="342" spans="1:9" x14ac:dyDescent="0.3">
      <c r="A342" t="s">
        <v>456</v>
      </c>
      <c r="B342" t="s">
        <v>498</v>
      </c>
      <c r="C342" t="s">
        <v>499</v>
      </c>
      <c r="D342" s="3">
        <v>29</v>
      </c>
      <c r="E342" s="3">
        <v>90</v>
      </c>
      <c r="F342" s="3">
        <v>343</v>
      </c>
      <c r="G342" s="3">
        <v>710</v>
      </c>
      <c r="H342" t="str">
        <f t="shared" si="125"/>
        <v>29-90</v>
      </c>
      <c r="I342" t="b">
        <v>1</v>
      </c>
    </row>
    <row r="343" spans="1:9" x14ac:dyDescent="0.3">
      <c r="A343" t="s">
        <v>456</v>
      </c>
      <c r="B343" t="s">
        <v>498</v>
      </c>
      <c r="C343" t="s">
        <v>60</v>
      </c>
      <c r="D343" s="3">
        <v>29</v>
      </c>
      <c r="E343" s="3">
        <v>90</v>
      </c>
      <c r="F343" s="3">
        <v>344</v>
      </c>
      <c r="G343" s="3">
        <v>50</v>
      </c>
      <c r="H343" t="str">
        <f t="shared" si="125"/>
        <v>29-90</v>
      </c>
      <c r="I343" t="b">
        <v>1</v>
      </c>
    </row>
    <row r="344" spans="1:9" x14ac:dyDescent="0.3">
      <c r="A344" t="s">
        <v>171</v>
      </c>
      <c r="B344" t="s">
        <v>172</v>
      </c>
      <c r="C344" t="s">
        <v>173</v>
      </c>
      <c r="D344" s="3">
        <v>15</v>
      </c>
      <c r="E344" s="3">
        <v>91</v>
      </c>
      <c r="F344" s="3">
        <v>345</v>
      </c>
      <c r="G344" s="3">
        <v>190</v>
      </c>
      <c r="H344" t="str">
        <f t="shared" si="125"/>
        <v>15-91</v>
      </c>
      <c r="I344" t="b">
        <v>1</v>
      </c>
    </row>
    <row r="345" spans="1:9" x14ac:dyDescent="0.3">
      <c r="A345" t="s">
        <v>171</v>
      </c>
      <c r="B345" t="s">
        <v>172</v>
      </c>
      <c r="C345" t="s">
        <v>174</v>
      </c>
      <c r="D345" s="3">
        <v>15</v>
      </c>
      <c r="E345" s="3">
        <v>91</v>
      </c>
      <c r="F345" s="3">
        <v>346</v>
      </c>
      <c r="G345" s="3">
        <v>40</v>
      </c>
      <c r="H345" t="str">
        <f t="shared" si="125"/>
        <v>15-91</v>
      </c>
      <c r="I345" t="b">
        <v>1</v>
      </c>
    </row>
    <row r="346" spans="1:9" x14ac:dyDescent="0.3">
      <c r="A346" t="s">
        <v>171</v>
      </c>
      <c r="B346" t="s">
        <v>172</v>
      </c>
      <c r="C346" t="s">
        <v>175</v>
      </c>
      <c r="D346" s="3">
        <v>15</v>
      </c>
      <c r="E346" s="3">
        <v>91</v>
      </c>
      <c r="F346" s="3">
        <v>347</v>
      </c>
      <c r="G346" s="3">
        <v>70</v>
      </c>
      <c r="H346" t="str">
        <f t="shared" si="125"/>
        <v>15-91</v>
      </c>
      <c r="I346" t="b">
        <v>1</v>
      </c>
    </row>
    <row r="347" spans="1:9" x14ac:dyDescent="0.3">
      <c r="A347" t="s">
        <v>171</v>
      </c>
      <c r="B347" t="s">
        <v>172</v>
      </c>
      <c r="C347" t="s">
        <v>176</v>
      </c>
      <c r="D347" s="3">
        <v>15</v>
      </c>
      <c r="E347" s="3">
        <v>91</v>
      </c>
      <c r="F347" s="3">
        <v>348</v>
      </c>
      <c r="G347" s="3">
        <v>120</v>
      </c>
      <c r="H347" t="str">
        <f t="shared" si="125"/>
        <v>15-91</v>
      </c>
      <c r="I347" t="b">
        <v>1</v>
      </c>
    </row>
    <row r="348" spans="1:9" x14ac:dyDescent="0.3">
      <c r="A348" t="s">
        <v>171</v>
      </c>
      <c r="B348" t="s">
        <v>172</v>
      </c>
      <c r="C348" t="s">
        <v>177</v>
      </c>
      <c r="D348" s="3">
        <v>15</v>
      </c>
      <c r="E348" s="3">
        <v>91</v>
      </c>
      <c r="F348" s="3">
        <v>349</v>
      </c>
      <c r="G348" s="3">
        <v>110</v>
      </c>
      <c r="H348" t="str">
        <f t="shared" si="125"/>
        <v>15-91</v>
      </c>
      <c r="I348" t="b">
        <v>1</v>
      </c>
    </row>
    <row r="349" spans="1:9" x14ac:dyDescent="0.3">
      <c r="A349" t="s">
        <v>171</v>
      </c>
      <c r="B349" t="s">
        <v>172</v>
      </c>
      <c r="C349" t="s">
        <v>178</v>
      </c>
      <c r="D349" s="3">
        <v>15</v>
      </c>
      <c r="E349" s="3">
        <v>91</v>
      </c>
      <c r="F349" s="3">
        <v>350</v>
      </c>
      <c r="G349" s="3">
        <v>10</v>
      </c>
      <c r="H349" t="str">
        <f t="shared" si="125"/>
        <v>15-91</v>
      </c>
      <c r="I349" t="b">
        <v>1</v>
      </c>
    </row>
    <row r="350" spans="1:9" x14ac:dyDescent="0.3">
      <c r="A350" t="s">
        <v>171</v>
      </c>
      <c r="B350" t="s">
        <v>172</v>
      </c>
      <c r="C350" t="s">
        <v>179</v>
      </c>
      <c r="D350" s="3">
        <v>15</v>
      </c>
      <c r="E350" s="3">
        <v>91</v>
      </c>
      <c r="F350" s="3">
        <v>351</v>
      </c>
      <c r="G350" s="3">
        <v>160</v>
      </c>
      <c r="H350" t="str">
        <f t="shared" si="125"/>
        <v>15-91</v>
      </c>
      <c r="I350" t="b">
        <v>1</v>
      </c>
    </row>
    <row r="351" spans="1:9" x14ac:dyDescent="0.3">
      <c r="A351" t="s">
        <v>171</v>
      </c>
      <c r="B351" t="s">
        <v>172</v>
      </c>
      <c r="C351" t="s">
        <v>180</v>
      </c>
      <c r="D351" s="3">
        <v>15</v>
      </c>
      <c r="E351" s="3">
        <v>91</v>
      </c>
      <c r="F351" s="3">
        <v>352</v>
      </c>
      <c r="G351" s="3">
        <v>200</v>
      </c>
      <c r="H351" t="str">
        <f t="shared" si="125"/>
        <v>15-91</v>
      </c>
      <c r="I351" t="b">
        <v>1</v>
      </c>
    </row>
    <row r="352" spans="1:9" x14ac:dyDescent="0.3">
      <c r="A352" t="s">
        <v>171</v>
      </c>
      <c r="B352" t="s">
        <v>172</v>
      </c>
      <c r="C352" t="s">
        <v>181</v>
      </c>
      <c r="D352" s="3">
        <v>15</v>
      </c>
      <c r="E352" s="3">
        <v>91</v>
      </c>
      <c r="F352" s="3">
        <v>353</v>
      </c>
      <c r="G352" s="3">
        <v>60</v>
      </c>
      <c r="H352" t="str">
        <f t="shared" si="125"/>
        <v>15-91</v>
      </c>
      <c r="I352" t="b">
        <v>1</v>
      </c>
    </row>
    <row r="353" spans="1:9" x14ac:dyDescent="0.3">
      <c r="A353" t="s">
        <v>171</v>
      </c>
      <c r="B353" t="s">
        <v>172</v>
      </c>
      <c r="C353" t="s">
        <v>182</v>
      </c>
      <c r="D353" s="3">
        <v>15</v>
      </c>
      <c r="E353" s="3">
        <v>91</v>
      </c>
      <c r="F353" s="3">
        <v>354</v>
      </c>
      <c r="G353" s="3">
        <v>130</v>
      </c>
      <c r="H353" t="str">
        <f t="shared" si="125"/>
        <v>15-91</v>
      </c>
      <c r="I353" t="b">
        <v>1</v>
      </c>
    </row>
    <row r="354" spans="1:9" x14ac:dyDescent="0.3">
      <c r="A354" t="s">
        <v>171</v>
      </c>
      <c r="B354" t="s">
        <v>172</v>
      </c>
      <c r="C354" t="s">
        <v>183</v>
      </c>
      <c r="D354" s="3">
        <v>15</v>
      </c>
      <c r="E354" s="3">
        <v>91</v>
      </c>
      <c r="F354" s="3">
        <v>355</v>
      </c>
      <c r="G354" s="3">
        <v>40</v>
      </c>
      <c r="H354" t="str">
        <f t="shared" si="125"/>
        <v>15-91</v>
      </c>
      <c r="I354" t="b">
        <v>1</v>
      </c>
    </row>
    <row r="355" spans="1:9" x14ac:dyDescent="0.3">
      <c r="A355" t="s">
        <v>171</v>
      </c>
      <c r="B355" t="s">
        <v>172</v>
      </c>
      <c r="C355" t="s">
        <v>184</v>
      </c>
      <c r="D355" s="3">
        <v>15</v>
      </c>
      <c r="E355" s="3">
        <v>91</v>
      </c>
      <c r="F355" s="3">
        <v>356</v>
      </c>
      <c r="G355" s="3">
        <v>160</v>
      </c>
      <c r="H355" t="str">
        <f t="shared" si="125"/>
        <v>15-91</v>
      </c>
      <c r="I355" t="b">
        <v>1</v>
      </c>
    </row>
    <row r="356" spans="1:9" x14ac:dyDescent="0.3">
      <c r="A356" t="s">
        <v>171</v>
      </c>
      <c r="B356" t="s">
        <v>172</v>
      </c>
      <c r="C356" t="s">
        <v>185</v>
      </c>
      <c r="D356" s="3">
        <v>15</v>
      </c>
      <c r="E356" s="3">
        <v>91</v>
      </c>
      <c r="F356" s="3">
        <v>357</v>
      </c>
      <c r="G356" s="3">
        <v>60</v>
      </c>
      <c r="H356" t="str">
        <f t="shared" si="125"/>
        <v>15-91</v>
      </c>
      <c r="I356" t="b">
        <v>1</v>
      </c>
    </row>
    <row r="357" spans="1:9" x14ac:dyDescent="0.3">
      <c r="A357" t="s">
        <v>171</v>
      </c>
      <c r="B357" t="s">
        <v>172</v>
      </c>
      <c r="C357" t="s">
        <v>186</v>
      </c>
      <c r="D357" s="3">
        <v>15</v>
      </c>
      <c r="E357" s="3">
        <v>91</v>
      </c>
      <c r="F357" s="3">
        <v>358</v>
      </c>
      <c r="G357" s="3">
        <v>70</v>
      </c>
      <c r="H357" t="str">
        <f t="shared" si="125"/>
        <v>15-91</v>
      </c>
      <c r="I357" t="b">
        <v>1</v>
      </c>
    </row>
    <row r="358" spans="1:9" x14ac:dyDescent="0.3">
      <c r="A358" t="s">
        <v>171</v>
      </c>
      <c r="B358" t="s">
        <v>172</v>
      </c>
      <c r="C358" t="s">
        <v>187</v>
      </c>
      <c r="D358" s="3">
        <v>15</v>
      </c>
      <c r="E358" s="3">
        <v>91</v>
      </c>
      <c r="F358" s="3">
        <v>359</v>
      </c>
      <c r="G358" s="3">
        <v>390</v>
      </c>
      <c r="H358" t="str">
        <f t="shared" si="125"/>
        <v>15-91</v>
      </c>
      <c r="I358" t="b">
        <v>1</v>
      </c>
    </row>
    <row r="359" spans="1:9" x14ac:dyDescent="0.3">
      <c r="A359" t="s">
        <v>416</v>
      </c>
      <c r="B359" t="s">
        <v>447</v>
      </c>
      <c r="C359" t="s">
        <v>448</v>
      </c>
      <c r="D359" s="3">
        <v>27</v>
      </c>
      <c r="E359" s="3">
        <v>92</v>
      </c>
      <c r="F359" s="3">
        <v>360</v>
      </c>
      <c r="G359" s="3">
        <v>400</v>
      </c>
      <c r="H359" t="str">
        <f t="shared" si="125"/>
        <v>27-92</v>
      </c>
      <c r="I359" t="b">
        <v>1</v>
      </c>
    </row>
    <row r="360" spans="1:9" x14ac:dyDescent="0.3">
      <c r="A360" t="s">
        <v>416</v>
      </c>
      <c r="B360" t="s">
        <v>447</v>
      </c>
      <c r="C360" t="s">
        <v>449</v>
      </c>
      <c r="D360" s="3">
        <v>27</v>
      </c>
      <c r="E360" s="3">
        <v>92</v>
      </c>
      <c r="F360" s="3">
        <v>361</v>
      </c>
      <c r="G360" s="3">
        <v>190</v>
      </c>
      <c r="H360" t="str">
        <f t="shared" si="125"/>
        <v>27-92</v>
      </c>
      <c r="I360" t="b">
        <v>1</v>
      </c>
    </row>
    <row r="361" spans="1:9" x14ac:dyDescent="0.3">
      <c r="A361" t="s">
        <v>928</v>
      </c>
      <c r="B361" t="s">
        <v>929</v>
      </c>
      <c r="C361" t="s">
        <v>930</v>
      </c>
      <c r="D361" s="3">
        <v>52</v>
      </c>
      <c r="E361" s="3">
        <v>93</v>
      </c>
      <c r="F361" s="3">
        <v>362</v>
      </c>
      <c r="G361" s="3">
        <v>50</v>
      </c>
      <c r="H361" t="str">
        <f t="shared" si="125"/>
        <v>52-93</v>
      </c>
      <c r="I361" t="b">
        <v>1</v>
      </c>
    </row>
    <row r="362" spans="1:9" x14ac:dyDescent="0.3">
      <c r="A362" t="s">
        <v>331</v>
      </c>
      <c r="B362" t="s">
        <v>336</v>
      </c>
      <c r="C362" t="s">
        <v>337</v>
      </c>
      <c r="D362" s="3">
        <v>22</v>
      </c>
      <c r="E362" s="3">
        <v>94</v>
      </c>
      <c r="F362" s="3">
        <v>363</v>
      </c>
      <c r="G362" s="3">
        <v>4250</v>
      </c>
      <c r="H362" t="str">
        <f t="shared" si="125"/>
        <v>22-94</v>
      </c>
      <c r="I362" t="b">
        <v>1</v>
      </c>
    </row>
    <row r="363" spans="1:9" x14ac:dyDescent="0.3">
      <c r="A363" t="s">
        <v>950</v>
      </c>
      <c r="B363" t="s">
        <v>951</v>
      </c>
      <c r="C363" t="s">
        <v>952</v>
      </c>
      <c r="D363" s="3">
        <v>57</v>
      </c>
      <c r="E363" s="3">
        <v>95</v>
      </c>
      <c r="F363" s="3">
        <v>364</v>
      </c>
      <c r="G363" s="3">
        <v>80</v>
      </c>
      <c r="H363" t="str">
        <f t="shared" si="125"/>
        <v>57-95</v>
      </c>
      <c r="I363" t="b">
        <v>1</v>
      </c>
    </row>
    <row r="364" spans="1:9" x14ac:dyDescent="0.3">
      <c r="A364" t="s">
        <v>331</v>
      </c>
      <c r="B364" t="s">
        <v>338</v>
      </c>
      <c r="C364" t="s">
        <v>339</v>
      </c>
      <c r="D364" s="3">
        <v>22</v>
      </c>
      <c r="E364" s="3">
        <v>96</v>
      </c>
      <c r="F364" s="3">
        <v>365</v>
      </c>
      <c r="G364" s="3">
        <v>3900</v>
      </c>
      <c r="H364" t="str">
        <f t="shared" si="125"/>
        <v>22-96</v>
      </c>
      <c r="I364" t="b">
        <v>1</v>
      </c>
    </row>
    <row r="365" spans="1:9" x14ac:dyDescent="0.3">
      <c r="A365" t="s">
        <v>456</v>
      </c>
      <c r="B365" t="s">
        <v>500</v>
      </c>
      <c r="C365" t="s">
        <v>501</v>
      </c>
      <c r="D365" s="3">
        <v>29</v>
      </c>
      <c r="E365" s="3">
        <v>97</v>
      </c>
      <c r="F365" s="3">
        <v>366</v>
      </c>
      <c r="G365" s="3">
        <v>10</v>
      </c>
      <c r="H365" t="str">
        <f t="shared" si="125"/>
        <v>29-97</v>
      </c>
      <c r="I365" t="b">
        <v>1</v>
      </c>
    </row>
    <row r="366" spans="1:9" x14ac:dyDescent="0.3">
      <c r="A366" t="s">
        <v>456</v>
      </c>
      <c r="B366" t="s">
        <v>500</v>
      </c>
      <c r="C366" t="s">
        <v>502</v>
      </c>
      <c r="D366" s="3">
        <v>29</v>
      </c>
      <c r="E366" s="3">
        <v>97</v>
      </c>
      <c r="F366" s="3">
        <v>367</v>
      </c>
      <c r="G366" s="3">
        <v>4010</v>
      </c>
      <c r="H366" t="str">
        <f t="shared" si="125"/>
        <v>29-97</v>
      </c>
      <c r="I366" t="b">
        <v>1</v>
      </c>
    </row>
    <row r="367" spans="1:9" x14ac:dyDescent="0.3">
      <c r="A367" t="s">
        <v>456</v>
      </c>
      <c r="B367" t="s">
        <v>500</v>
      </c>
      <c r="C367" t="s">
        <v>503</v>
      </c>
      <c r="D367" s="3">
        <v>29</v>
      </c>
      <c r="E367" s="3">
        <v>97</v>
      </c>
      <c r="F367" s="3">
        <v>368</v>
      </c>
      <c r="G367" s="3">
        <v>350</v>
      </c>
      <c r="H367" t="str">
        <f t="shared" si="125"/>
        <v>29-97</v>
      </c>
      <c r="I367" t="b">
        <v>1</v>
      </c>
    </row>
    <row r="368" spans="1:9" x14ac:dyDescent="0.3">
      <c r="A368" t="s">
        <v>456</v>
      </c>
      <c r="B368" t="s">
        <v>500</v>
      </c>
      <c r="C368" t="s">
        <v>210</v>
      </c>
      <c r="D368" s="3">
        <v>29</v>
      </c>
      <c r="E368" s="3">
        <v>97</v>
      </c>
      <c r="F368" s="3">
        <v>369</v>
      </c>
      <c r="G368" s="3">
        <v>120</v>
      </c>
      <c r="H368" t="str">
        <f t="shared" si="125"/>
        <v>29-97</v>
      </c>
      <c r="I368" t="b">
        <v>1</v>
      </c>
    </row>
    <row r="369" spans="1:9" x14ac:dyDescent="0.3">
      <c r="A369" t="s">
        <v>456</v>
      </c>
      <c r="B369" t="s">
        <v>500</v>
      </c>
      <c r="C369" t="s">
        <v>504</v>
      </c>
      <c r="D369" s="3">
        <v>29</v>
      </c>
      <c r="E369" s="3">
        <v>97</v>
      </c>
      <c r="F369" s="3">
        <v>370</v>
      </c>
      <c r="G369" s="3">
        <v>180</v>
      </c>
      <c r="H369" t="str">
        <f t="shared" si="125"/>
        <v>29-97</v>
      </c>
      <c r="I369" t="b">
        <v>1</v>
      </c>
    </row>
    <row r="370" spans="1:9" x14ac:dyDescent="0.3">
      <c r="A370" t="s">
        <v>456</v>
      </c>
      <c r="B370" t="s">
        <v>500</v>
      </c>
      <c r="C370" t="s">
        <v>505</v>
      </c>
      <c r="D370" s="3">
        <v>29</v>
      </c>
      <c r="E370" s="3">
        <v>97</v>
      </c>
      <c r="F370" s="3">
        <v>371</v>
      </c>
      <c r="G370" s="3">
        <v>110</v>
      </c>
      <c r="H370" t="str">
        <f t="shared" si="125"/>
        <v>29-97</v>
      </c>
      <c r="I370" t="b">
        <v>1</v>
      </c>
    </row>
    <row r="371" spans="1:9" x14ac:dyDescent="0.3">
      <c r="A371" t="s">
        <v>456</v>
      </c>
      <c r="B371" t="s">
        <v>500</v>
      </c>
      <c r="C371" t="s">
        <v>60</v>
      </c>
      <c r="D371" s="3">
        <v>29</v>
      </c>
      <c r="E371" s="3">
        <v>97</v>
      </c>
      <c r="F371" s="3">
        <v>372</v>
      </c>
      <c r="G371" s="3">
        <v>350</v>
      </c>
      <c r="H371" t="str">
        <f t="shared" si="125"/>
        <v>29-97</v>
      </c>
      <c r="I371" t="b">
        <v>1</v>
      </c>
    </row>
    <row r="372" spans="1:9" x14ac:dyDescent="0.3">
      <c r="A372" t="s">
        <v>456</v>
      </c>
      <c r="B372" t="s">
        <v>500</v>
      </c>
      <c r="C372" t="s">
        <v>506</v>
      </c>
      <c r="D372" s="3">
        <v>29</v>
      </c>
      <c r="E372" s="3">
        <v>97</v>
      </c>
      <c r="F372" s="3">
        <v>373</v>
      </c>
      <c r="G372" s="3">
        <v>100</v>
      </c>
      <c r="H372" t="str">
        <f t="shared" si="125"/>
        <v>29-97</v>
      </c>
      <c r="I372" t="b">
        <v>1</v>
      </c>
    </row>
    <row r="373" spans="1:9" x14ac:dyDescent="0.3">
      <c r="A373" t="s">
        <v>593</v>
      </c>
      <c r="B373" t="s">
        <v>621</v>
      </c>
      <c r="C373" t="s">
        <v>622</v>
      </c>
      <c r="D373" s="3">
        <v>31</v>
      </c>
      <c r="E373" s="3">
        <v>98</v>
      </c>
      <c r="F373" s="3">
        <v>374</v>
      </c>
      <c r="G373" s="3">
        <v>60</v>
      </c>
      <c r="H373" t="str">
        <f t="shared" si="125"/>
        <v>31-98</v>
      </c>
      <c r="I373" t="b">
        <v>1</v>
      </c>
    </row>
    <row r="374" spans="1:9" x14ac:dyDescent="0.3">
      <c r="A374" t="s">
        <v>593</v>
      </c>
      <c r="B374" t="s">
        <v>621</v>
      </c>
      <c r="C374" t="s">
        <v>623</v>
      </c>
      <c r="D374" s="3">
        <v>31</v>
      </c>
      <c r="E374" s="3">
        <v>98</v>
      </c>
      <c r="F374" s="3">
        <v>375</v>
      </c>
      <c r="G374" s="3">
        <v>40</v>
      </c>
      <c r="H374" t="str">
        <f t="shared" si="125"/>
        <v>31-98</v>
      </c>
      <c r="I374" t="b">
        <v>1</v>
      </c>
    </row>
    <row r="375" spans="1:9" x14ac:dyDescent="0.3">
      <c r="A375" t="s">
        <v>593</v>
      </c>
      <c r="B375" t="s">
        <v>621</v>
      </c>
      <c r="C375" t="s">
        <v>624</v>
      </c>
      <c r="D375" s="3">
        <v>31</v>
      </c>
      <c r="E375" s="3">
        <v>98</v>
      </c>
      <c r="F375" s="3">
        <v>376</v>
      </c>
      <c r="G375" s="3">
        <v>30</v>
      </c>
      <c r="H375" t="str">
        <f t="shared" si="125"/>
        <v>31-98</v>
      </c>
      <c r="I375" t="b">
        <v>1</v>
      </c>
    </row>
    <row r="376" spans="1:9" x14ac:dyDescent="0.3">
      <c r="A376" t="s">
        <v>593</v>
      </c>
      <c r="B376" t="s">
        <v>621</v>
      </c>
      <c r="C376" t="s">
        <v>625</v>
      </c>
      <c r="D376" s="3">
        <v>31</v>
      </c>
      <c r="E376" s="3">
        <v>98</v>
      </c>
      <c r="F376" s="3">
        <v>377</v>
      </c>
      <c r="G376" s="3">
        <v>150</v>
      </c>
      <c r="H376" t="str">
        <f t="shared" si="125"/>
        <v>31-98</v>
      </c>
      <c r="I376" t="b">
        <v>1</v>
      </c>
    </row>
    <row r="377" spans="1:9" x14ac:dyDescent="0.3">
      <c r="A377" t="s">
        <v>536</v>
      </c>
      <c r="B377" t="s">
        <v>558</v>
      </c>
      <c r="C377" t="s">
        <v>559</v>
      </c>
      <c r="D377" s="3">
        <v>30</v>
      </c>
      <c r="E377" s="3">
        <v>99</v>
      </c>
      <c r="F377" s="3">
        <v>378</v>
      </c>
      <c r="G377" s="3">
        <v>190</v>
      </c>
      <c r="H377" t="str">
        <f t="shared" si="125"/>
        <v>30-99</v>
      </c>
      <c r="I377" t="b">
        <v>1</v>
      </c>
    </row>
    <row r="378" spans="1:9" x14ac:dyDescent="0.3">
      <c r="A378" t="s">
        <v>75</v>
      </c>
      <c r="B378" t="s">
        <v>78</v>
      </c>
      <c r="C378" t="s">
        <v>79</v>
      </c>
      <c r="D378" s="3">
        <v>7</v>
      </c>
      <c r="E378" s="3">
        <v>100</v>
      </c>
      <c r="F378" s="3">
        <v>379</v>
      </c>
      <c r="G378" s="3">
        <v>1750</v>
      </c>
      <c r="H378" t="str">
        <f t="shared" si="125"/>
        <v>7-100</v>
      </c>
      <c r="I378" t="b">
        <v>1</v>
      </c>
    </row>
    <row r="379" spans="1:9" x14ac:dyDescent="0.3">
      <c r="A379" t="s">
        <v>331</v>
      </c>
      <c r="B379" t="s">
        <v>340</v>
      </c>
      <c r="C379" t="s">
        <v>341</v>
      </c>
      <c r="D379" s="3">
        <v>22</v>
      </c>
      <c r="E379" s="3">
        <v>101</v>
      </c>
      <c r="F379" s="3">
        <v>380</v>
      </c>
      <c r="G379" s="3">
        <v>50</v>
      </c>
      <c r="H379" t="str">
        <f t="shared" si="125"/>
        <v>22-101</v>
      </c>
      <c r="I379" t="b">
        <v>1</v>
      </c>
    </row>
    <row r="380" spans="1:9" x14ac:dyDescent="0.3">
      <c r="A380" t="s">
        <v>354</v>
      </c>
      <c r="B380" t="s">
        <v>355</v>
      </c>
      <c r="C380" t="s">
        <v>356</v>
      </c>
      <c r="D380" s="3">
        <v>25</v>
      </c>
      <c r="E380" s="3">
        <v>102</v>
      </c>
      <c r="F380" s="3">
        <v>381</v>
      </c>
      <c r="G380" s="3">
        <v>650</v>
      </c>
      <c r="H380" t="str">
        <f t="shared" si="125"/>
        <v>25-102</v>
      </c>
      <c r="I380" t="b">
        <v>1</v>
      </c>
    </row>
    <row r="381" spans="1:9" x14ac:dyDescent="0.3">
      <c r="A381" t="s">
        <v>354</v>
      </c>
      <c r="B381" t="s">
        <v>355</v>
      </c>
      <c r="C381" t="s">
        <v>357</v>
      </c>
      <c r="D381" s="3">
        <v>25</v>
      </c>
      <c r="E381" s="3">
        <v>102</v>
      </c>
      <c r="F381" s="3">
        <v>382</v>
      </c>
      <c r="G381" s="3">
        <v>130</v>
      </c>
      <c r="H381" t="str">
        <f t="shared" si="125"/>
        <v>25-102</v>
      </c>
      <c r="I381" t="b">
        <v>1</v>
      </c>
    </row>
    <row r="382" spans="1:9" x14ac:dyDescent="0.3">
      <c r="A382" t="s">
        <v>354</v>
      </c>
      <c r="B382" t="s">
        <v>355</v>
      </c>
      <c r="C382" t="s">
        <v>358</v>
      </c>
      <c r="D382" s="3">
        <v>25</v>
      </c>
      <c r="E382" s="3">
        <v>102</v>
      </c>
      <c r="F382" s="3">
        <v>383</v>
      </c>
      <c r="G382" s="3">
        <v>590</v>
      </c>
      <c r="H382" t="str">
        <f t="shared" si="125"/>
        <v>25-102</v>
      </c>
      <c r="I382" t="b">
        <v>1</v>
      </c>
    </row>
    <row r="383" spans="1:9" x14ac:dyDescent="0.3">
      <c r="A383" t="s">
        <v>354</v>
      </c>
      <c r="B383" t="s">
        <v>355</v>
      </c>
      <c r="C383" t="s">
        <v>359</v>
      </c>
      <c r="D383" s="3">
        <v>25</v>
      </c>
      <c r="E383" s="3">
        <v>102</v>
      </c>
      <c r="F383" s="3">
        <v>384</v>
      </c>
      <c r="G383" s="3">
        <v>260</v>
      </c>
      <c r="H383" t="str">
        <f t="shared" si="125"/>
        <v>25-102</v>
      </c>
      <c r="I383" t="b">
        <v>1</v>
      </c>
    </row>
    <row r="384" spans="1:9" x14ac:dyDescent="0.3">
      <c r="A384" t="s">
        <v>725</v>
      </c>
      <c r="B384" t="s">
        <v>737</v>
      </c>
      <c r="C384" t="s">
        <v>738</v>
      </c>
      <c r="D384" s="3">
        <v>35</v>
      </c>
      <c r="E384" s="3">
        <v>103</v>
      </c>
      <c r="F384" s="3">
        <v>385</v>
      </c>
      <c r="G384" s="3">
        <v>320</v>
      </c>
      <c r="H384" t="str">
        <f t="shared" si="125"/>
        <v>35-103</v>
      </c>
      <c r="I384" t="b">
        <v>1</v>
      </c>
    </row>
    <row r="385" spans="1:9" x14ac:dyDescent="0.3">
      <c r="A385" t="s">
        <v>725</v>
      </c>
      <c r="B385" t="s">
        <v>737</v>
      </c>
      <c r="C385" t="s">
        <v>739</v>
      </c>
      <c r="D385" s="3">
        <v>35</v>
      </c>
      <c r="E385" s="3">
        <v>103</v>
      </c>
      <c r="F385" s="3">
        <v>386</v>
      </c>
      <c r="G385" s="3">
        <v>60</v>
      </c>
      <c r="H385" t="str">
        <f t="shared" si="125"/>
        <v>35-103</v>
      </c>
      <c r="I385" t="b">
        <v>1</v>
      </c>
    </row>
    <row r="386" spans="1:9" x14ac:dyDescent="0.3">
      <c r="A386" t="s">
        <v>725</v>
      </c>
      <c r="B386" t="s">
        <v>737</v>
      </c>
      <c r="C386" t="s">
        <v>273</v>
      </c>
      <c r="D386" s="3">
        <v>35</v>
      </c>
      <c r="E386" s="3">
        <v>103</v>
      </c>
      <c r="F386" s="3">
        <v>387</v>
      </c>
      <c r="G386" s="3">
        <v>3640</v>
      </c>
      <c r="H386" t="str">
        <f t="shared" si="125"/>
        <v>35-103</v>
      </c>
      <c r="I386" t="b">
        <v>1</v>
      </c>
    </row>
    <row r="387" spans="1:9" x14ac:dyDescent="0.3">
      <c r="A387" t="s">
        <v>725</v>
      </c>
      <c r="B387" t="s">
        <v>737</v>
      </c>
      <c r="C387" t="s">
        <v>740</v>
      </c>
      <c r="D387" s="3">
        <v>35</v>
      </c>
      <c r="E387" s="3">
        <v>103</v>
      </c>
      <c r="F387" s="3">
        <v>388</v>
      </c>
      <c r="G387" s="3">
        <v>530</v>
      </c>
      <c r="H387" t="str">
        <f t="shared" ref="H387:H450" si="126">_xlfn.CONCAT(D387,"-",E387)</f>
        <v>35-103</v>
      </c>
      <c r="I387" t="b">
        <v>1</v>
      </c>
    </row>
    <row r="388" spans="1:9" x14ac:dyDescent="0.3">
      <c r="A388" t="s">
        <v>875</v>
      </c>
      <c r="B388" t="s">
        <v>887</v>
      </c>
      <c r="C388" t="s">
        <v>400</v>
      </c>
      <c r="D388" s="3">
        <v>50</v>
      </c>
      <c r="E388" s="3">
        <v>104</v>
      </c>
      <c r="F388" s="3">
        <v>389</v>
      </c>
      <c r="G388" s="3">
        <v>70</v>
      </c>
      <c r="H388" t="str">
        <f t="shared" si="126"/>
        <v>50-104</v>
      </c>
      <c r="I388" t="b">
        <v>1</v>
      </c>
    </row>
    <row r="389" spans="1:9" x14ac:dyDescent="0.3">
      <c r="A389" t="s">
        <v>875</v>
      </c>
      <c r="B389" t="s">
        <v>887</v>
      </c>
      <c r="C389" t="s">
        <v>353</v>
      </c>
      <c r="D389" s="3">
        <v>50</v>
      </c>
      <c r="E389" s="3">
        <v>104</v>
      </c>
      <c r="F389" s="3">
        <v>390</v>
      </c>
      <c r="G389" s="3">
        <v>300</v>
      </c>
      <c r="H389" t="str">
        <f t="shared" si="126"/>
        <v>50-104</v>
      </c>
      <c r="I389" t="b">
        <v>1</v>
      </c>
    </row>
    <row r="390" spans="1:9" x14ac:dyDescent="0.3">
      <c r="A390" t="s">
        <v>875</v>
      </c>
      <c r="B390" t="s">
        <v>887</v>
      </c>
      <c r="C390" t="s">
        <v>60</v>
      </c>
      <c r="D390" s="3">
        <v>50</v>
      </c>
      <c r="E390" s="3">
        <v>104</v>
      </c>
      <c r="F390" s="3">
        <v>391</v>
      </c>
      <c r="G390" s="3">
        <v>350</v>
      </c>
      <c r="H390" t="str">
        <f t="shared" si="126"/>
        <v>50-104</v>
      </c>
      <c r="I390" t="b">
        <v>1</v>
      </c>
    </row>
    <row r="391" spans="1:9" x14ac:dyDescent="0.3">
      <c r="A391" t="s">
        <v>416</v>
      </c>
      <c r="B391" t="s">
        <v>450</v>
      </c>
      <c r="C391" t="s">
        <v>380</v>
      </c>
      <c r="D391" s="3">
        <v>27</v>
      </c>
      <c r="E391" s="3">
        <v>105</v>
      </c>
      <c r="F391" s="3">
        <v>392</v>
      </c>
      <c r="G391" s="3">
        <v>90</v>
      </c>
      <c r="H391" t="str">
        <f t="shared" si="126"/>
        <v>27-105</v>
      </c>
      <c r="I391" t="b">
        <v>1</v>
      </c>
    </row>
    <row r="392" spans="1:9" x14ac:dyDescent="0.3">
      <c r="A392" t="s">
        <v>416</v>
      </c>
      <c r="B392" t="s">
        <v>450</v>
      </c>
      <c r="C392" t="s">
        <v>433</v>
      </c>
      <c r="D392" s="3">
        <v>27</v>
      </c>
      <c r="E392" s="3">
        <v>105</v>
      </c>
      <c r="F392" s="3">
        <v>393</v>
      </c>
      <c r="G392" s="3">
        <v>170</v>
      </c>
      <c r="H392" t="str">
        <f t="shared" si="126"/>
        <v>27-105</v>
      </c>
      <c r="I392" t="b">
        <v>1</v>
      </c>
    </row>
    <row r="393" spans="1:9" x14ac:dyDescent="0.3">
      <c r="A393" t="s">
        <v>416</v>
      </c>
      <c r="B393" t="s">
        <v>450</v>
      </c>
      <c r="C393" t="s">
        <v>451</v>
      </c>
      <c r="D393" s="3">
        <v>27</v>
      </c>
      <c r="E393" s="3">
        <v>105</v>
      </c>
      <c r="F393" s="3">
        <v>394</v>
      </c>
      <c r="G393" s="3">
        <v>50</v>
      </c>
      <c r="H393" t="str">
        <f t="shared" si="126"/>
        <v>27-105</v>
      </c>
      <c r="I393" t="b">
        <v>1</v>
      </c>
    </row>
    <row r="394" spans="1:9" x14ac:dyDescent="0.3">
      <c r="A394" t="s">
        <v>416</v>
      </c>
      <c r="B394" t="s">
        <v>450</v>
      </c>
      <c r="C394" t="s">
        <v>452</v>
      </c>
      <c r="D394" s="3">
        <v>27</v>
      </c>
      <c r="E394" s="3">
        <v>105</v>
      </c>
      <c r="F394" s="3">
        <v>395</v>
      </c>
      <c r="G394" s="3">
        <v>110</v>
      </c>
      <c r="H394" t="str">
        <f t="shared" si="126"/>
        <v>27-105</v>
      </c>
      <c r="I394" t="b">
        <v>1</v>
      </c>
    </row>
    <row r="395" spans="1:9" x14ac:dyDescent="0.3">
      <c r="A395" t="s">
        <v>416</v>
      </c>
      <c r="B395" t="s">
        <v>450</v>
      </c>
      <c r="C395" t="s">
        <v>453</v>
      </c>
      <c r="D395" s="3">
        <v>27</v>
      </c>
      <c r="E395" s="3">
        <v>105</v>
      </c>
      <c r="F395" s="3">
        <v>396</v>
      </c>
      <c r="G395" s="3">
        <v>220</v>
      </c>
      <c r="H395" t="str">
        <f t="shared" si="126"/>
        <v>27-105</v>
      </c>
      <c r="I395" t="b">
        <v>1</v>
      </c>
    </row>
    <row r="396" spans="1:9" x14ac:dyDescent="0.3">
      <c r="A396" t="s">
        <v>416</v>
      </c>
      <c r="B396" t="s">
        <v>450</v>
      </c>
      <c r="C396" t="s">
        <v>213</v>
      </c>
      <c r="D396" s="3">
        <v>27</v>
      </c>
      <c r="E396" s="3">
        <v>105</v>
      </c>
      <c r="F396" s="3">
        <v>397</v>
      </c>
      <c r="G396" s="3">
        <v>150</v>
      </c>
      <c r="H396" t="str">
        <f t="shared" si="126"/>
        <v>27-105</v>
      </c>
      <c r="I396" t="b">
        <v>1</v>
      </c>
    </row>
    <row r="397" spans="1:9" x14ac:dyDescent="0.3">
      <c r="A397" t="s">
        <v>416</v>
      </c>
      <c r="B397" t="s">
        <v>450</v>
      </c>
      <c r="C397" t="s">
        <v>454</v>
      </c>
      <c r="D397" s="3">
        <v>27</v>
      </c>
      <c r="E397" s="3">
        <v>105</v>
      </c>
      <c r="F397" s="3">
        <v>398</v>
      </c>
      <c r="G397" s="3">
        <v>470</v>
      </c>
      <c r="H397" t="str">
        <f t="shared" si="126"/>
        <v>27-105</v>
      </c>
      <c r="I397" t="b">
        <v>1</v>
      </c>
    </row>
    <row r="398" spans="1:9" x14ac:dyDescent="0.3">
      <c r="A398" t="s">
        <v>416</v>
      </c>
      <c r="B398" t="s">
        <v>450</v>
      </c>
      <c r="C398" t="s">
        <v>455</v>
      </c>
      <c r="D398" s="3">
        <v>27</v>
      </c>
      <c r="E398" s="3">
        <v>105</v>
      </c>
      <c r="F398" s="3">
        <v>399</v>
      </c>
      <c r="G398" s="3">
        <v>30</v>
      </c>
      <c r="H398" t="str">
        <f t="shared" si="126"/>
        <v>27-105</v>
      </c>
      <c r="I398" t="b">
        <v>1</v>
      </c>
    </row>
    <row r="399" spans="1:9" x14ac:dyDescent="0.3">
      <c r="A399" t="s">
        <v>456</v>
      </c>
      <c r="B399" t="s">
        <v>507</v>
      </c>
      <c r="C399" t="s">
        <v>508</v>
      </c>
      <c r="D399" s="3">
        <v>29</v>
      </c>
      <c r="E399" s="3">
        <v>106</v>
      </c>
      <c r="F399" s="3">
        <v>400</v>
      </c>
      <c r="G399" s="3">
        <v>70</v>
      </c>
      <c r="H399" t="str">
        <f t="shared" si="126"/>
        <v>29-106</v>
      </c>
      <c r="I399" t="b">
        <v>1</v>
      </c>
    </row>
    <row r="400" spans="1:9" x14ac:dyDescent="0.3">
      <c r="A400" t="s">
        <v>456</v>
      </c>
      <c r="B400" t="s">
        <v>507</v>
      </c>
      <c r="C400" t="s">
        <v>509</v>
      </c>
      <c r="D400" s="3">
        <v>29</v>
      </c>
      <c r="E400" s="3">
        <v>106</v>
      </c>
      <c r="F400" s="3">
        <v>401</v>
      </c>
      <c r="G400" s="3">
        <v>220</v>
      </c>
      <c r="H400" t="str">
        <f t="shared" si="126"/>
        <v>29-106</v>
      </c>
      <c r="I400" t="b">
        <v>1</v>
      </c>
    </row>
    <row r="401" spans="1:9" x14ac:dyDescent="0.3">
      <c r="A401" t="s">
        <v>456</v>
      </c>
      <c r="B401" t="s">
        <v>507</v>
      </c>
      <c r="C401" t="s">
        <v>510</v>
      </c>
      <c r="D401" s="3">
        <v>29</v>
      </c>
      <c r="E401" s="3">
        <v>106</v>
      </c>
      <c r="F401" s="3">
        <v>402</v>
      </c>
      <c r="G401" s="3">
        <v>110</v>
      </c>
      <c r="H401" t="str">
        <f t="shared" si="126"/>
        <v>29-106</v>
      </c>
      <c r="I401" t="b">
        <v>1</v>
      </c>
    </row>
    <row r="402" spans="1:9" x14ac:dyDescent="0.3">
      <c r="A402" t="s">
        <v>456</v>
      </c>
      <c r="B402" t="s">
        <v>507</v>
      </c>
      <c r="C402" t="s">
        <v>511</v>
      </c>
      <c r="D402" s="3">
        <v>29</v>
      </c>
      <c r="E402" s="3">
        <v>106</v>
      </c>
      <c r="F402" s="3">
        <v>403</v>
      </c>
      <c r="G402" s="3">
        <v>30</v>
      </c>
      <c r="H402" t="str">
        <f t="shared" si="126"/>
        <v>29-106</v>
      </c>
      <c r="I402" t="b">
        <v>1</v>
      </c>
    </row>
    <row r="403" spans="1:9" x14ac:dyDescent="0.3">
      <c r="A403" t="s">
        <v>456</v>
      </c>
      <c r="B403" t="s">
        <v>507</v>
      </c>
      <c r="C403" t="s">
        <v>512</v>
      </c>
      <c r="D403" s="3">
        <v>29</v>
      </c>
      <c r="E403" s="3">
        <v>106</v>
      </c>
      <c r="F403" s="3">
        <v>404</v>
      </c>
      <c r="G403" s="3">
        <v>80</v>
      </c>
      <c r="H403" t="str">
        <f t="shared" si="126"/>
        <v>29-106</v>
      </c>
      <c r="I403" t="b">
        <v>1</v>
      </c>
    </row>
    <row r="404" spans="1:9" x14ac:dyDescent="0.3">
      <c r="A404" t="s">
        <v>456</v>
      </c>
      <c r="B404" t="s">
        <v>507</v>
      </c>
      <c r="C404" t="s">
        <v>513</v>
      </c>
      <c r="D404" s="3">
        <v>29</v>
      </c>
      <c r="E404" s="3">
        <v>106</v>
      </c>
      <c r="F404" s="3">
        <v>405</v>
      </c>
      <c r="G404" s="3">
        <v>80</v>
      </c>
      <c r="H404" t="str">
        <f t="shared" si="126"/>
        <v>29-106</v>
      </c>
      <c r="I404" t="b">
        <v>1</v>
      </c>
    </row>
    <row r="405" spans="1:9" x14ac:dyDescent="0.3">
      <c r="A405" t="s">
        <v>456</v>
      </c>
      <c r="B405" t="s">
        <v>507</v>
      </c>
      <c r="C405" t="s">
        <v>514</v>
      </c>
      <c r="D405" s="3">
        <v>29</v>
      </c>
      <c r="E405" s="3">
        <v>106</v>
      </c>
      <c r="F405" s="3">
        <v>406</v>
      </c>
      <c r="G405" s="3">
        <v>240</v>
      </c>
      <c r="H405" t="str">
        <f t="shared" si="126"/>
        <v>29-106</v>
      </c>
      <c r="I405" t="b">
        <v>1</v>
      </c>
    </row>
    <row r="406" spans="1:9" x14ac:dyDescent="0.3">
      <c r="A406" t="s">
        <v>456</v>
      </c>
      <c r="B406" t="s">
        <v>507</v>
      </c>
      <c r="C406" t="s">
        <v>515</v>
      </c>
      <c r="D406" s="3">
        <v>29</v>
      </c>
      <c r="E406" s="3">
        <v>106</v>
      </c>
      <c r="F406" s="3">
        <v>407</v>
      </c>
      <c r="G406" s="3">
        <v>50</v>
      </c>
      <c r="H406" t="str">
        <f t="shared" si="126"/>
        <v>29-106</v>
      </c>
      <c r="I406" t="b">
        <v>1</v>
      </c>
    </row>
    <row r="407" spans="1:9" x14ac:dyDescent="0.3">
      <c r="A407" t="s">
        <v>456</v>
      </c>
      <c r="B407" t="s">
        <v>507</v>
      </c>
      <c r="C407" t="s">
        <v>516</v>
      </c>
      <c r="D407" s="3">
        <v>29</v>
      </c>
      <c r="E407" s="3">
        <v>106</v>
      </c>
      <c r="F407" s="3">
        <v>408</v>
      </c>
      <c r="G407" s="3">
        <v>20</v>
      </c>
      <c r="H407" t="str">
        <f t="shared" si="126"/>
        <v>29-106</v>
      </c>
      <c r="I407" t="b">
        <v>1</v>
      </c>
    </row>
    <row r="408" spans="1:9" x14ac:dyDescent="0.3">
      <c r="A408" t="s">
        <v>171</v>
      </c>
      <c r="B408" t="s">
        <v>188</v>
      </c>
      <c r="C408" t="s">
        <v>189</v>
      </c>
      <c r="D408" s="3">
        <v>15</v>
      </c>
      <c r="E408" s="3">
        <v>107</v>
      </c>
      <c r="F408" s="3">
        <v>409</v>
      </c>
      <c r="G408" s="3">
        <v>450</v>
      </c>
      <c r="H408" t="str">
        <f t="shared" si="126"/>
        <v>15-107</v>
      </c>
      <c r="I408" t="b">
        <v>1</v>
      </c>
    </row>
    <row r="409" spans="1:9" x14ac:dyDescent="0.3">
      <c r="A409" t="s">
        <v>171</v>
      </c>
      <c r="B409" t="s">
        <v>188</v>
      </c>
      <c r="C409" t="s">
        <v>190</v>
      </c>
      <c r="D409" s="3">
        <v>15</v>
      </c>
      <c r="E409" s="3">
        <v>107</v>
      </c>
      <c r="F409" s="3">
        <v>410</v>
      </c>
      <c r="G409" s="3">
        <v>510</v>
      </c>
      <c r="H409" t="str">
        <f t="shared" si="126"/>
        <v>15-107</v>
      </c>
      <c r="I409" t="b">
        <v>1</v>
      </c>
    </row>
    <row r="410" spans="1:9" x14ac:dyDescent="0.3">
      <c r="A410" t="s">
        <v>171</v>
      </c>
      <c r="B410" t="s">
        <v>188</v>
      </c>
      <c r="C410" t="s">
        <v>191</v>
      </c>
      <c r="D410" s="3">
        <v>15</v>
      </c>
      <c r="E410" s="3">
        <v>107</v>
      </c>
      <c r="F410" s="3">
        <v>411</v>
      </c>
      <c r="G410" s="3">
        <v>80</v>
      </c>
      <c r="H410" t="str">
        <f t="shared" si="126"/>
        <v>15-107</v>
      </c>
      <c r="I410" t="b">
        <v>1</v>
      </c>
    </row>
    <row r="411" spans="1:9" x14ac:dyDescent="0.3">
      <c r="A411" t="s">
        <v>171</v>
      </c>
      <c r="B411" t="s">
        <v>188</v>
      </c>
      <c r="C411" t="s">
        <v>192</v>
      </c>
      <c r="D411" s="3">
        <v>15</v>
      </c>
      <c r="E411" s="3">
        <v>107</v>
      </c>
      <c r="F411" s="3">
        <v>412</v>
      </c>
      <c r="G411" s="3">
        <v>80</v>
      </c>
      <c r="H411" t="str">
        <f t="shared" si="126"/>
        <v>15-107</v>
      </c>
      <c r="I411" t="b">
        <v>1</v>
      </c>
    </row>
    <row r="412" spans="1:9" x14ac:dyDescent="0.3">
      <c r="A412" t="s">
        <v>171</v>
      </c>
      <c r="B412" t="s">
        <v>188</v>
      </c>
      <c r="C412" t="s">
        <v>175</v>
      </c>
      <c r="D412" s="3">
        <v>15</v>
      </c>
      <c r="E412" s="3">
        <v>107</v>
      </c>
      <c r="F412" s="3">
        <v>413</v>
      </c>
      <c r="G412" s="3">
        <v>50</v>
      </c>
      <c r="H412" t="str">
        <f t="shared" si="126"/>
        <v>15-107</v>
      </c>
      <c r="I412" t="b">
        <v>1</v>
      </c>
    </row>
    <row r="413" spans="1:9" x14ac:dyDescent="0.3">
      <c r="A413" t="s">
        <v>171</v>
      </c>
      <c r="B413" t="s">
        <v>188</v>
      </c>
      <c r="C413" t="s">
        <v>176</v>
      </c>
      <c r="D413" s="3">
        <v>15</v>
      </c>
      <c r="E413" s="3">
        <v>107</v>
      </c>
      <c r="F413" s="3">
        <v>414</v>
      </c>
      <c r="G413" s="3">
        <v>100</v>
      </c>
      <c r="H413" t="str">
        <f t="shared" si="126"/>
        <v>15-107</v>
      </c>
      <c r="I413" t="b">
        <v>1</v>
      </c>
    </row>
    <row r="414" spans="1:9" x14ac:dyDescent="0.3">
      <c r="A414" t="s">
        <v>171</v>
      </c>
      <c r="B414" t="s">
        <v>188</v>
      </c>
      <c r="C414" t="s">
        <v>193</v>
      </c>
      <c r="D414" s="3">
        <v>15</v>
      </c>
      <c r="E414" s="3">
        <v>107</v>
      </c>
      <c r="F414" s="3">
        <v>415</v>
      </c>
      <c r="G414" s="3">
        <v>420</v>
      </c>
      <c r="H414" t="str">
        <f t="shared" si="126"/>
        <v>15-107</v>
      </c>
      <c r="I414" t="b">
        <v>1</v>
      </c>
    </row>
    <row r="415" spans="1:9" x14ac:dyDescent="0.3">
      <c r="A415" t="s">
        <v>171</v>
      </c>
      <c r="B415" t="s">
        <v>188</v>
      </c>
      <c r="C415" t="s">
        <v>194</v>
      </c>
      <c r="D415" s="3">
        <v>15</v>
      </c>
      <c r="E415" s="3">
        <v>107</v>
      </c>
      <c r="F415" s="3">
        <v>416</v>
      </c>
      <c r="G415" s="3">
        <v>90</v>
      </c>
      <c r="H415" t="str">
        <f t="shared" si="126"/>
        <v>15-107</v>
      </c>
      <c r="I415" t="b">
        <v>1</v>
      </c>
    </row>
    <row r="416" spans="1:9" x14ac:dyDescent="0.3">
      <c r="A416" t="s">
        <v>171</v>
      </c>
      <c r="B416" t="s">
        <v>188</v>
      </c>
      <c r="C416" t="s">
        <v>195</v>
      </c>
      <c r="D416" s="3">
        <v>15</v>
      </c>
      <c r="E416" s="3">
        <v>107</v>
      </c>
      <c r="F416" s="3">
        <v>417</v>
      </c>
      <c r="G416" s="3">
        <v>60</v>
      </c>
      <c r="H416" t="str">
        <f t="shared" si="126"/>
        <v>15-107</v>
      </c>
      <c r="I416" t="b">
        <v>1</v>
      </c>
    </row>
    <row r="417" spans="1:9" x14ac:dyDescent="0.3">
      <c r="A417" t="s">
        <v>171</v>
      </c>
      <c r="B417" t="s">
        <v>188</v>
      </c>
      <c r="C417" t="s">
        <v>196</v>
      </c>
      <c r="D417" s="3">
        <v>15</v>
      </c>
      <c r="E417" s="3">
        <v>107</v>
      </c>
      <c r="F417" s="3">
        <v>418</v>
      </c>
      <c r="G417" s="3">
        <v>70</v>
      </c>
      <c r="H417" t="str">
        <f t="shared" si="126"/>
        <v>15-107</v>
      </c>
      <c r="I417" t="b">
        <v>1</v>
      </c>
    </row>
    <row r="418" spans="1:9" x14ac:dyDescent="0.3">
      <c r="A418" t="s">
        <v>171</v>
      </c>
      <c r="B418" t="s">
        <v>188</v>
      </c>
      <c r="C418" t="s">
        <v>197</v>
      </c>
      <c r="D418" s="3">
        <v>15</v>
      </c>
      <c r="E418" s="3">
        <v>107</v>
      </c>
      <c r="F418" s="3">
        <v>419</v>
      </c>
      <c r="G418" s="3">
        <v>70</v>
      </c>
      <c r="H418" t="str">
        <f t="shared" si="126"/>
        <v>15-107</v>
      </c>
      <c r="I418" t="b">
        <v>1</v>
      </c>
    </row>
    <row r="419" spans="1:9" x14ac:dyDescent="0.3">
      <c r="A419" t="s">
        <v>171</v>
      </c>
      <c r="B419" t="s">
        <v>188</v>
      </c>
      <c r="C419" t="s">
        <v>198</v>
      </c>
      <c r="D419" s="3">
        <v>15</v>
      </c>
      <c r="E419" s="3">
        <v>107</v>
      </c>
      <c r="F419" s="3">
        <v>420</v>
      </c>
      <c r="G419" s="3">
        <v>1210</v>
      </c>
      <c r="H419" t="str">
        <f t="shared" si="126"/>
        <v>15-107</v>
      </c>
      <c r="I419" t="b">
        <v>1</v>
      </c>
    </row>
    <row r="420" spans="1:9" x14ac:dyDescent="0.3">
      <c r="A420" t="s">
        <v>171</v>
      </c>
      <c r="B420" t="s">
        <v>188</v>
      </c>
      <c r="C420" t="s">
        <v>182</v>
      </c>
      <c r="D420" s="3">
        <v>15</v>
      </c>
      <c r="E420" s="3">
        <v>107</v>
      </c>
      <c r="F420" s="3">
        <v>421</v>
      </c>
      <c r="G420" s="3">
        <v>100</v>
      </c>
      <c r="H420" t="str">
        <f t="shared" si="126"/>
        <v>15-107</v>
      </c>
      <c r="I420" t="b">
        <v>1</v>
      </c>
    </row>
    <row r="421" spans="1:9" x14ac:dyDescent="0.3">
      <c r="A421" t="s">
        <v>171</v>
      </c>
      <c r="B421" t="s">
        <v>188</v>
      </c>
      <c r="C421" t="s">
        <v>199</v>
      </c>
      <c r="D421" s="3">
        <v>15</v>
      </c>
      <c r="E421" s="3">
        <v>107</v>
      </c>
      <c r="F421" s="3">
        <v>422</v>
      </c>
      <c r="G421" s="3">
        <v>110</v>
      </c>
      <c r="H421" t="str">
        <f t="shared" si="126"/>
        <v>15-107</v>
      </c>
      <c r="I421" t="b">
        <v>1</v>
      </c>
    </row>
    <row r="422" spans="1:9" x14ac:dyDescent="0.3">
      <c r="A422" t="s">
        <v>171</v>
      </c>
      <c r="B422" t="s">
        <v>188</v>
      </c>
      <c r="C422" t="s">
        <v>106</v>
      </c>
      <c r="D422" s="3">
        <v>15</v>
      </c>
      <c r="E422" s="3">
        <v>107</v>
      </c>
      <c r="F422" s="3">
        <v>423</v>
      </c>
      <c r="G422" s="3">
        <v>350</v>
      </c>
      <c r="H422" t="str">
        <f t="shared" si="126"/>
        <v>15-107</v>
      </c>
      <c r="I422" t="b">
        <v>1</v>
      </c>
    </row>
    <row r="423" spans="1:9" x14ac:dyDescent="0.3">
      <c r="A423" t="s">
        <v>171</v>
      </c>
      <c r="B423" t="s">
        <v>188</v>
      </c>
      <c r="C423" t="s">
        <v>200</v>
      </c>
      <c r="D423" s="3">
        <v>15</v>
      </c>
      <c r="E423" s="3">
        <v>107</v>
      </c>
      <c r="F423" s="3">
        <v>424</v>
      </c>
      <c r="G423" s="3">
        <v>40</v>
      </c>
      <c r="H423" t="str">
        <f t="shared" si="126"/>
        <v>15-107</v>
      </c>
      <c r="I423" t="b">
        <v>1</v>
      </c>
    </row>
    <row r="424" spans="1:9" x14ac:dyDescent="0.3">
      <c r="A424" t="s">
        <v>171</v>
      </c>
      <c r="B424" t="s">
        <v>188</v>
      </c>
      <c r="C424" t="s">
        <v>201</v>
      </c>
      <c r="D424" s="3">
        <v>15</v>
      </c>
      <c r="E424" s="3">
        <v>107</v>
      </c>
      <c r="F424" s="3">
        <v>425</v>
      </c>
      <c r="G424" s="3">
        <v>170</v>
      </c>
      <c r="H424" t="str">
        <f t="shared" si="126"/>
        <v>15-107</v>
      </c>
      <c r="I424" t="b">
        <v>1</v>
      </c>
    </row>
    <row r="425" spans="1:9" x14ac:dyDescent="0.3">
      <c r="A425" t="s">
        <v>171</v>
      </c>
      <c r="B425" t="s">
        <v>188</v>
      </c>
      <c r="C425" t="s">
        <v>202</v>
      </c>
      <c r="D425" s="3">
        <v>15</v>
      </c>
      <c r="E425" s="3">
        <v>107</v>
      </c>
      <c r="F425" s="3">
        <v>426</v>
      </c>
      <c r="G425" s="3">
        <v>360</v>
      </c>
      <c r="H425" t="str">
        <f t="shared" si="126"/>
        <v>15-107</v>
      </c>
      <c r="I425" t="b">
        <v>1</v>
      </c>
    </row>
    <row r="426" spans="1:9" x14ac:dyDescent="0.3">
      <c r="A426" t="s">
        <v>171</v>
      </c>
      <c r="B426" t="s">
        <v>188</v>
      </c>
      <c r="C426" t="s">
        <v>203</v>
      </c>
      <c r="D426" s="3">
        <v>15</v>
      </c>
      <c r="E426" s="3">
        <v>107</v>
      </c>
      <c r="F426" s="3">
        <v>427</v>
      </c>
      <c r="G426" s="3">
        <v>60</v>
      </c>
      <c r="H426" t="str">
        <f t="shared" si="126"/>
        <v>15-107</v>
      </c>
      <c r="I426" t="b">
        <v>1</v>
      </c>
    </row>
    <row r="427" spans="1:9" x14ac:dyDescent="0.3">
      <c r="A427" t="s">
        <v>171</v>
      </c>
      <c r="B427" t="s">
        <v>188</v>
      </c>
      <c r="C427" t="s">
        <v>204</v>
      </c>
      <c r="D427" s="3">
        <v>15</v>
      </c>
      <c r="E427" s="3">
        <v>107</v>
      </c>
      <c r="F427" s="3">
        <v>428</v>
      </c>
      <c r="G427" s="3">
        <v>740</v>
      </c>
      <c r="H427" t="str">
        <f t="shared" si="126"/>
        <v>15-107</v>
      </c>
      <c r="I427" t="b">
        <v>1</v>
      </c>
    </row>
    <row r="428" spans="1:9" x14ac:dyDescent="0.3">
      <c r="A428" t="s">
        <v>171</v>
      </c>
      <c r="B428" t="s">
        <v>188</v>
      </c>
      <c r="C428" t="s">
        <v>205</v>
      </c>
      <c r="D428" s="3">
        <v>15</v>
      </c>
      <c r="E428" s="3">
        <v>107</v>
      </c>
      <c r="F428" s="3">
        <v>429</v>
      </c>
      <c r="G428" s="3">
        <v>60</v>
      </c>
      <c r="H428" t="str">
        <f t="shared" si="126"/>
        <v>15-107</v>
      </c>
      <c r="I428" t="b">
        <v>1</v>
      </c>
    </row>
    <row r="429" spans="1:9" x14ac:dyDescent="0.3">
      <c r="A429" t="s">
        <v>171</v>
      </c>
      <c r="B429" t="s">
        <v>188</v>
      </c>
      <c r="C429" t="s">
        <v>206</v>
      </c>
      <c r="D429" s="3">
        <v>15</v>
      </c>
      <c r="E429" s="3">
        <v>107</v>
      </c>
      <c r="F429" s="3">
        <v>430</v>
      </c>
      <c r="G429" s="3">
        <v>130</v>
      </c>
      <c r="H429" t="str">
        <f t="shared" si="126"/>
        <v>15-107</v>
      </c>
      <c r="I429" t="b">
        <v>1</v>
      </c>
    </row>
    <row r="430" spans="1:9" x14ac:dyDescent="0.3">
      <c r="A430" t="s">
        <v>171</v>
      </c>
      <c r="B430" t="s">
        <v>188</v>
      </c>
      <c r="C430" t="s">
        <v>207</v>
      </c>
      <c r="D430" s="3">
        <v>15</v>
      </c>
      <c r="E430" s="3">
        <v>107</v>
      </c>
      <c r="F430" s="3">
        <v>431</v>
      </c>
      <c r="G430" s="3">
        <v>70</v>
      </c>
      <c r="H430" t="str">
        <f t="shared" si="126"/>
        <v>15-107</v>
      </c>
      <c r="I430" t="b">
        <v>1</v>
      </c>
    </row>
    <row r="431" spans="1:9" x14ac:dyDescent="0.3">
      <c r="A431" t="s">
        <v>171</v>
      </c>
      <c r="B431" t="s">
        <v>188</v>
      </c>
      <c r="C431" t="s">
        <v>208</v>
      </c>
      <c r="D431" s="3">
        <v>15</v>
      </c>
      <c r="E431" s="3">
        <v>107</v>
      </c>
      <c r="F431" s="3">
        <v>432</v>
      </c>
      <c r="G431" s="3">
        <v>130</v>
      </c>
      <c r="H431" t="str">
        <f t="shared" si="126"/>
        <v>15-107</v>
      </c>
      <c r="I431" t="b">
        <v>1</v>
      </c>
    </row>
    <row r="432" spans="1:9" x14ac:dyDescent="0.3">
      <c r="A432" t="s">
        <v>171</v>
      </c>
      <c r="B432" t="s">
        <v>188</v>
      </c>
      <c r="C432" t="s">
        <v>209</v>
      </c>
      <c r="D432" s="3">
        <v>15</v>
      </c>
      <c r="E432" s="3">
        <v>107</v>
      </c>
      <c r="F432" s="3">
        <v>433</v>
      </c>
      <c r="G432" s="3">
        <v>60</v>
      </c>
      <c r="H432" t="str">
        <f t="shared" si="126"/>
        <v>15-107</v>
      </c>
      <c r="I432" t="b">
        <v>1</v>
      </c>
    </row>
    <row r="433" spans="1:9" x14ac:dyDescent="0.3">
      <c r="A433" t="s">
        <v>171</v>
      </c>
      <c r="B433" t="s">
        <v>188</v>
      </c>
      <c r="C433" t="s">
        <v>210</v>
      </c>
      <c r="D433" s="3">
        <v>15</v>
      </c>
      <c r="E433" s="3">
        <v>107</v>
      </c>
      <c r="F433" s="3">
        <v>434</v>
      </c>
      <c r="G433" s="3">
        <v>280</v>
      </c>
      <c r="H433" t="str">
        <f t="shared" si="126"/>
        <v>15-107</v>
      </c>
      <c r="I433" t="b">
        <v>1</v>
      </c>
    </row>
    <row r="434" spans="1:9" x14ac:dyDescent="0.3">
      <c r="A434" t="s">
        <v>171</v>
      </c>
      <c r="B434" t="s">
        <v>188</v>
      </c>
      <c r="C434" t="s">
        <v>211</v>
      </c>
      <c r="D434" s="3">
        <v>15</v>
      </c>
      <c r="E434" s="3">
        <v>107</v>
      </c>
      <c r="F434" s="3">
        <v>435</v>
      </c>
      <c r="G434" s="3">
        <v>910</v>
      </c>
      <c r="H434" t="str">
        <f t="shared" si="126"/>
        <v>15-107</v>
      </c>
      <c r="I434" t="b">
        <v>1</v>
      </c>
    </row>
    <row r="435" spans="1:9" x14ac:dyDescent="0.3">
      <c r="A435" t="s">
        <v>171</v>
      </c>
      <c r="B435" t="s">
        <v>188</v>
      </c>
      <c r="C435" t="s">
        <v>212</v>
      </c>
      <c r="D435" s="3">
        <v>15</v>
      </c>
      <c r="E435" s="3">
        <v>107</v>
      </c>
      <c r="F435" s="3">
        <v>436</v>
      </c>
      <c r="G435" s="3">
        <v>70</v>
      </c>
      <c r="H435" t="str">
        <f t="shared" si="126"/>
        <v>15-107</v>
      </c>
      <c r="I435" t="b">
        <v>1</v>
      </c>
    </row>
    <row r="436" spans="1:9" x14ac:dyDescent="0.3">
      <c r="A436" t="s">
        <v>171</v>
      </c>
      <c r="B436" t="s">
        <v>188</v>
      </c>
      <c r="C436" t="s">
        <v>114</v>
      </c>
      <c r="D436" s="3">
        <v>15</v>
      </c>
      <c r="E436" s="3">
        <v>107</v>
      </c>
      <c r="F436" s="3">
        <v>437</v>
      </c>
      <c r="G436" s="3">
        <v>150</v>
      </c>
      <c r="H436" t="str">
        <f t="shared" si="126"/>
        <v>15-107</v>
      </c>
      <c r="I436" t="b">
        <v>1</v>
      </c>
    </row>
    <row r="437" spans="1:9" x14ac:dyDescent="0.3">
      <c r="A437" t="s">
        <v>171</v>
      </c>
      <c r="B437" t="s">
        <v>188</v>
      </c>
      <c r="C437" t="s">
        <v>213</v>
      </c>
      <c r="D437" s="3">
        <v>15</v>
      </c>
      <c r="E437" s="3">
        <v>107</v>
      </c>
      <c r="F437" s="3">
        <v>438</v>
      </c>
      <c r="G437" s="3">
        <v>80</v>
      </c>
      <c r="H437" t="str">
        <f t="shared" si="126"/>
        <v>15-107</v>
      </c>
      <c r="I437" t="b">
        <v>1</v>
      </c>
    </row>
    <row r="438" spans="1:9" x14ac:dyDescent="0.3">
      <c r="A438" t="s">
        <v>171</v>
      </c>
      <c r="B438" t="s">
        <v>188</v>
      </c>
      <c r="C438" t="s">
        <v>214</v>
      </c>
      <c r="D438" s="3">
        <v>15</v>
      </c>
      <c r="E438" s="3">
        <v>107</v>
      </c>
      <c r="F438" s="3">
        <v>439</v>
      </c>
      <c r="G438" s="3">
        <v>400</v>
      </c>
      <c r="H438" t="str">
        <f t="shared" si="126"/>
        <v>15-107</v>
      </c>
      <c r="I438" t="b">
        <v>1</v>
      </c>
    </row>
    <row r="439" spans="1:9" x14ac:dyDescent="0.3">
      <c r="A439" t="s">
        <v>171</v>
      </c>
      <c r="B439" t="s">
        <v>188</v>
      </c>
      <c r="C439" t="s">
        <v>215</v>
      </c>
      <c r="D439" s="3">
        <v>15</v>
      </c>
      <c r="E439" s="3">
        <v>107</v>
      </c>
      <c r="F439" s="3">
        <v>440</v>
      </c>
      <c r="G439" s="3">
        <v>40</v>
      </c>
      <c r="H439" t="str">
        <f t="shared" si="126"/>
        <v>15-107</v>
      </c>
      <c r="I439" t="b">
        <v>1</v>
      </c>
    </row>
    <row r="440" spans="1:9" x14ac:dyDescent="0.3">
      <c r="A440" t="s">
        <v>171</v>
      </c>
      <c r="B440" t="s">
        <v>188</v>
      </c>
      <c r="C440" t="s">
        <v>216</v>
      </c>
      <c r="D440" s="3">
        <v>15</v>
      </c>
      <c r="E440" s="3">
        <v>107</v>
      </c>
      <c r="F440" s="3">
        <v>441</v>
      </c>
      <c r="G440" s="3">
        <v>510</v>
      </c>
      <c r="H440" t="str">
        <f t="shared" si="126"/>
        <v>15-107</v>
      </c>
      <c r="I440" t="b">
        <v>1</v>
      </c>
    </row>
    <row r="441" spans="1:9" x14ac:dyDescent="0.3">
      <c r="A441" t="s">
        <v>171</v>
      </c>
      <c r="B441" t="s">
        <v>188</v>
      </c>
      <c r="C441" t="s">
        <v>184</v>
      </c>
      <c r="D441" s="3">
        <v>15</v>
      </c>
      <c r="E441" s="3">
        <v>107</v>
      </c>
      <c r="F441" s="3">
        <v>442</v>
      </c>
      <c r="G441" s="3">
        <v>180</v>
      </c>
      <c r="H441" t="str">
        <f t="shared" si="126"/>
        <v>15-107</v>
      </c>
      <c r="I441" t="b">
        <v>1</v>
      </c>
    </row>
    <row r="442" spans="1:9" x14ac:dyDescent="0.3">
      <c r="A442" t="s">
        <v>171</v>
      </c>
      <c r="B442" t="s">
        <v>188</v>
      </c>
      <c r="C442" t="s">
        <v>217</v>
      </c>
      <c r="D442" s="3">
        <v>15</v>
      </c>
      <c r="E442" s="3">
        <v>107</v>
      </c>
      <c r="F442" s="3">
        <v>443</v>
      </c>
      <c r="G442" s="3">
        <v>30</v>
      </c>
      <c r="H442" t="str">
        <f t="shared" si="126"/>
        <v>15-107</v>
      </c>
      <c r="I442" t="b">
        <v>1</v>
      </c>
    </row>
    <row r="443" spans="1:9" x14ac:dyDescent="0.3">
      <c r="A443" t="s">
        <v>171</v>
      </c>
      <c r="B443" t="s">
        <v>188</v>
      </c>
      <c r="C443" t="s">
        <v>218</v>
      </c>
      <c r="D443" s="3">
        <v>15</v>
      </c>
      <c r="E443" s="3">
        <v>107</v>
      </c>
      <c r="F443" s="3">
        <v>444</v>
      </c>
      <c r="G443" s="3">
        <v>40</v>
      </c>
      <c r="H443" t="str">
        <f t="shared" si="126"/>
        <v>15-107</v>
      </c>
      <c r="I443" t="b">
        <v>1</v>
      </c>
    </row>
    <row r="444" spans="1:9" x14ac:dyDescent="0.3">
      <c r="A444" t="s">
        <v>171</v>
      </c>
      <c r="B444" t="s">
        <v>188</v>
      </c>
      <c r="C444" t="s">
        <v>219</v>
      </c>
      <c r="D444" s="3">
        <v>15</v>
      </c>
      <c r="E444" s="3">
        <v>107</v>
      </c>
      <c r="F444" s="3">
        <v>445</v>
      </c>
      <c r="G444" s="3">
        <v>60</v>
      </c>
      <c r="H444" t="str">
        <f t="shared" si="126"/>
        <v>15-107</v>
      </c>
      <c r="I444" t="b">
        <v>1</v>
      </c>
    </row>
    <row r="445" spans="1:9" x14ac:dyDescent="0.3">
      <c r="A445" t="s">
        <v>171</v>
      </c>
      <c r="B445" t="s">
        <v>188</v>
      </c>
      <c r="C445" t="s">
        <v>60</v>
      </c>
      <c r="D445" s="3">
        <v>15</v>
      </c>
      <c r="E445" s="3">
        <v>107</v>
      </c>
      <c r="F445" s="3">
        <v>446</v>
      </c>
      <c r="G445" s="3">
        <v>800</v>
      </c>
      <c r="H445" t="str">
        <f t="shared" si="126"/>
        <v>15-107</v>
      </c>
      <c r="I445" t="b">
        <v>1</v>
      </c>
    </row>
    <row r="446" spans="1:9" x14ac:dyDescent="0.3">
      <c r="A446" t="s">
        <v>171</v>
      </c>
      <c r="B446" t="s">
        <v>188</v>
      </c>
      <c r="C446" t="s">
        <v>220</v>
      </c>
      <c r="D446" s="3">
        <v>15</v>
      </c>
      <c r="E446" s="3">
        <v>107</v>
      </c>
      <c r="F446" s="3">
        <v>447</v>
      </c>
      <c r="G446" s="3">
        <v>60</v>
      </c>
      <c r="H446" t="str">
        <f t="shared" si="126"/>
        <v>15-107</v>
      </c>
      <c r="I446" t="b">
        <v>1</v>
      </c>
    </row>
    <row r="447" spans="1:9" x14ac:dyDescent="0.3">
      <c r="A447" t="s">
        <v>171</v>
      </c>
      <c r="B447" t="s">
        <v>188</v>
      </c>
      <c r="C447" t="s">
        <v>221</v>
      </c>
      <c r="D447" s="3">
        <v>15</v>
      </c>
      <c r="E447" s="3">
        <v>107</v>
      </c>
      <c r="F447" s="3">
        <v>448</v>
      </c>
      <c r="G447" s="3">
        <v>200</v>
      </c>
      <c r="H447" t="str">
        <f t="shared" si="126"/>
        <v>15-107</v>
      </c>
      <c r="I447" t="b">
        <v>1</v>
      </c>
    </row>
    <row r="448" spans="1:9" x14ac:dyDescent="0.3">
      <c r="A448" t="s">
        <v>363</v>
      </c>
      <c r="B448" t="s">
        <v>366</v>
      </c>
      <c r="C448" t="s">
        <v>367</v>
      </c>
      <c r="D448" s="3">
        <v>26</v>
      </c>
      <c r="E448" s="3">
        <v>108</v>
      </c>
      <c r="F448" s="3">
        <v>449</v>
      </c>
      <c r="G448" s="3">
        <v>140</v>
      </c>
      <c r="H448" t="str">
        <f t="shared" si="126"/>
        <v>26-108</v>
      </c>
      <c r="I448" t="b">
        <v>1</v>
      </c>
    </row>
    <row r="449" spans="1:9" x14ac:dyDescent="0.3">
      <c r="A449" t="s">
        <v>363</v>
      </c>
      <c r="B449" t="s">
        <v>366</v>
      </c>
      <c r="C449" t="s">
        <v>368</v>
      </c>
      <c r="D449" s="3">
        <v>26</v>
      </c>
      <c r="E449" s="3">
        <v>108</v>
      </c>
      <c r="F449" s="3">
        <v>450</v>
      </c>
      <c r="G449" s="3">
        <v>100</v>
      </c>
      <c r="H449" t="str">
        <f t="shared" si="126"/>
        <v>26-108</v>
      </c>
      <c r="I449" t="b">
        <v>1</v>
      </c>
    </row>
    <row r="450" spans="1:9" x14ac:dyDescent="0.3">
      <c r="A450" t="s">
        <v>363</v>
      </c>
      <c r="B450" t="s">
        <v>366</v>
      </c>
      <c r="C450" t="s">
        <v>369</v>
      </c>
      <c r="D450" s="3">
        <v>26</v>
      </c>
      <c r="E450" s="3">
        <v>108</v>
      </c>
      <c r="F450" s="3">
        <v>451</v>
      </c>
      <c r="G450" s="3">
        <v>210</v>
      </c>
      <c r="H450" t="str">
        <f t="shared" si="126"/>
        <v>26-108</v>
      </c>
      <c r="I450" t="b">
        <v>1</v>
      </c>
    </row>
    <row r="451" spans="1:9" x14ac:dyDescent="0.3">
      <c r="A451" t="s">
        <v>363</v>
      </c>
      <c r="B451" t="s">
        <v>366</v>
      </c>
      <c r="C451" t="s">
        <v>85</v>
      </c>
      <c r="D451" s="3">
        <v>26</v>
      </c>
      <c r="E451" s="3">
        <v>108</v>
      </c>
      <c r="F451" s="3">
        <v>452</v>
      </c>
      <c r="G451" s="3">
        <v>260</v>
      </c>
      <c r="H451" t="str">
        <f t="shared" ref="H451:H514" si="127">_xlfn.CONCAT(D451,"-",E451)</f>
        <v>26-108</v>
      </c>
      <c r="I451" t="b">
        <v>1</v>
      </c>
    </row>
    <row r="452" spans="1:9" x14ac:dyDescent="0.3">
      <c r="A452" t="s">
        <v>363</v>
      </c>
      <c r="B452" t="s">
        <v>366</v>
      </c>
      <c r="C452" t="s">
        <v>370</v>
      </c>
      <c r="D452" s="3">
        <v>26</v>
      </c>
      <c r="E452" s="3">
        <v>108</v>
      </c>
      <c r="F452" s="3">
        <v>453</v>
      </c>
      <c r="G452" s="3">
        <v>300</v>
      </c>
      <c r="H452" t="str">
        <f t="shared" si="127"/>
        <v>26-108</v>
      </c>
      <c r="I452" t="b">
        <v>1</v>
      </c>
    </row>
    <row r="453" spans="1:9" x14ac:dyDescent="0.3">
      <c r="A453" t="s">
        <v>363</v>
      </c>
      <c r="B453" t="s">
        <v>366</v>
      </c>
      <c r="C453" t="s">
        <v>371</v>
      </c>
      <c r="D453" s="3">
        <v>26</v>
      </c>
      <c r="E453" s="3">
        <v>108</v>
      </c>
      <c r="F453" s="3">
        <v>454</v>
      </c>
      <c r="G453" s="3">
        <v>30</v>
      </c>
      <c r="H453" t="str">
        <f t="shared" si="127"/>
        <v>26-108</v>
      </c>
      <c r="I453" t="b">
        <v>1</v>
      </c>
    </row>
    <row r="454" spans="1:9" x14ac:dyDescent="0.3">
      <c r="A454" t="s">
        <v>363</v>
      </c>
      <c r="B454" t="s">
        <v>366</v>
      </c>
      <c r="C454" t="s">
        <v>372</v>
      </c>
      <c r="D454" s="3">
        <v>26</v>
      </c>
      <c r="E454" s="3">
        <v>108</v>
      </c>
      <c r="F454" s="3">
        <v>455</v>
      </c>
      <c r="G454" s="3">
        <v>90</v>
      </c>
      <c r="H454" t="str">
        <f t="shared" si="127"/>
        <v>26-108</v>
      </c>
      <c r="I454" t="b">
        <v>1</v>
      </c>
    </row>
    <row r="455" spans="1:9" x14ac:dyDescent="0.3">
      <c r="A455" t="s">
        <v>363</v>
      </c>
      <c r="B455" t="s">
        <v>366</v>
      </c>
      <c r="C455" t="s">
        <v>373</v>
      </c>
      <c r="D455" s="3">
        <v>26</v>
      </c>
      <c r="E455" s="3">
        <v>108</v>
      </c>
      <c r="F455" s="3">
        <v>456</v>
      </c>
      <c r="G455" s="3">
        <v>190</v>
      </c>
      <c r="H455" t="str">
        <f t="shared" si="127"/>
        <v>26-108</v>
      </c>
      <c r="I455" t="b">
        <v>1</v>
      </c>
    </row>
    <row r="456" spans="1:9" x14ac:dyDescent="0.3">
      <c r="A456" t="s">
        <v>363</v>
      </c>
      <c r="B456" t="s">
        <v>366</v>
      </c>
      <c r="C456" t="s">
        <v>60</v>
      </c>
      <c r="D456" s="3">
        <v>26</v>
      </c>
      <c r="E456" s="3">
        <v>108</v>
      </c>
      <c r="F456" s="3">
        <v>457</v>
      </c>
      <c r="G456" s="3">
        <v>270</v>
      </c>
      <c r="H456" t="str">
        <f t="shared" si="127"/>
        <v>26-108</v>
      </c>
      <c r="I456" t="b">
        <v>1</v>
      </c>
    </row>
    <row r="457" spans="1:9" x14ac:dyDescent="0.3">
      <c r="A457" t="s">
        <v>593</v>
      </c>
      <c r="B457" t="s">
        <v>626</v>
      </c>
      <c r="C457" t="s">
        <v>627</v>
      </c>
      <c r="D457" s="3">
        <v>31</v>
      </c>
      <c r="E457" s="3">
        <v>109</v>
      </c>
      <c r="F457" s="3">
        <v>458</v>
      </c>
      <c r="G457" s="3">
        <v>20</v>
      </c>
      <c r="H457" t="str">
        <f t="shared" si="127"/>
        <v>31-109</v>
      </c>
      <c r="I457" t="b">
        <v>1</v>
      </c>
    </row>
    <row r="458" spans="1:9" x14ac:dyDescent="0.3">
      <c r="A458" t="s">
        <v>593</v>
      </c>
      <c r="B458" t="s">
        <v>626</v>
      </c>
      <c r="C458" t="s">
        <v>628</v>
      </c>
      <c r="D458" s="3">
        <v>31</v>
      </c>
      <c r="E458" s="3">
        <v>109</v>
      </c>
      <c r="F458" s="3">
        <v>459</v>
      </c>
      <c r="G458" s="3">
        <v>70</v>
      </c>
      <c r="H458" t="str">
        <f t="shared" si="127"/>
        <v>31-109</v>
      </c>
      <c r="I458" t="b">
        <v>1</v>
      </c>
    </row>
    <row r="459" spans="1:9" x14ac:dyDescent="0.3">
      <c r="A459" t="s">
        <v>593</v>
      </c>
      <c r="B459" t="s">
        <v>626</v>
      </c>
      <c r="C459" t="s">
        <v>629</v>
      </c>
      <c r="D459" s="3">
        <v>31</v>
      </c>
      <c r="E459" s="3">
        <v>109</v>
      </c>
      <c r="F459" s="3">
        <v>460</v>
      </c>
      <c r="G459" s="3">
        <v>20</v>
      </c>
      <c r="H459" t="str">
        <f t="shared" si="127"/>
        <v>31-109</v>
      </c>
      <c r="I459" t="b">
        <v>1</v>
      </c>
    </row>
    <row r="460" spans="1:9" x14ac:dyDescent="0.3">
      <c r="A460" t="s">
        <v>593</v>
      </c>
      <c r="B460" t="s">
        <v>626</v>
      </c>
      <c r="C460" t="s">
        <v>630</v>
      </c>
      <c r="D460" s="3">
        <v>31</v>
      </c>
      <c r="E460" s="3">
        <v>109</v>
      </c>
      <c r="F460" s="3">
        <v>461</v>
      </c>
      <c r="G460" s="3">
        <v>100</v>
      </c>
      <c r="H460" t="str">
        <f t="shared" si="127"/>
        <v>31-109</v>
      </c>
      <c r="I460" t="b">
        <v>1</v>
      </c>
    </row>
    <row r="461" spans="1:9" x14ac:dyDescent="0.3">
      <c r="A461" t="s">
        <v>593</v>
      </c>
      <c r="B461" t="s">
        <v>626</v>
      </c>
      <c r="C461" t="s">
        <v>631</v>
      </c>
      <c r="D461" s="3">
        <v>31</v>
      </c>
      <c r="E461" s="3">
        <v>109</v>
      </c>
      <c r="F461" s="3">
        <v>462</v>
      </c>
      <c r="G461" s="3">
        <v>80</v>
      </c>
      <c r="H461" t="str">
        <f t="shared" si="127"/>
        <v>31-109</v>
      </c>
      <c r="I461" t="b">
        <v>1</v>
      </c>
    </row>
    <row r="462" spans="1:9" x14ac:dyDescent="0.3">
      <c r="A462" t="s">
        <v>593</v>
      </c>
      <c r="B462" t="s">
        <v>626</v>
      </c>
      <c r="C462" t="s">
        <v>632</v>
      </c>
      <c r="D462" s="3">
        <v>31</v>
      </c>
      <c r="E462" s="3">
        <v>109</v>
      </c>
      <c r="F462" s="3">
        <v>463</v>
      </c>
      <c r="G462" s="3">
        <v>50</v>
      </c>
      <c r="H462" t="str">
        <f t="shared" si="127"/>
        <v>31-109</v>
      </c>
      <c r="I462" t="b">
        <v>1</v>
      </c>
    </row>
    <row r="463" spans="1:9" x14ac:dyDescent="0.3">
      <c r="A463" t="s">
        <v>593</v>
      </c>
      <c r="B463" t="s">
        <v>626</v>
      </c>
      <c r="C463" t="s">
        <v>633</v>
      </c>
      <c r="D463" s="3">
        <v>31</v>
      </c>
      <c r="E463" s="3">
        <v>109</v>
      </c>
      <c r="F463" s="3">
        <v>464</v>
      </c>
      <c r="G463" s="3">
        <v>140</v>
      </c>
      <c r="H463" t="str">
        <f t="shared" si="127"/>
        <v>31-109</v>
      </c>
      <c r="I463" t="b">
        <v>1</v>
      </c>
    </row>
    <row r="464" spans="1:9" x14ac:dyDescent="0.3">
      <c r="A464" t="s">
        <v>593</v>
      </c>
      <c r="B464" t="s">
        <v>626</v>
      </c>
      <c r="C464" t="s">
        <v>634</v>
      </c>
      <c r="D464" s="3">
        <v>31</v>
      </c>
      <c r="E464" s="3">
        <v>109</v>
      </c>
      <c r="F464" s="3">
        <v>465</v>
      </c>
      <c r="G464" s="3">
        <v>50</v>
      </c>
      <c r="H464" t="str">
        <f t="shared" si="127"/>
        <v>31-109</v>
      </c>
      <c r="I464" t="b">
        <v>1</v>
      </c>
    </row>
    <row r="465" spans="1:9" x14ac:dyDescent="0.3">
      <c r="A465" t="s">
        <v>593</v>
      </c>
      <c r="B465" t="s">
        <v>626</v>
      </c>
      <c r="C465" t="s">
        <v>635</v>
      </c>
      <c r="D465" s="3">
        <v>31</v>
      </c>
      <c r="E465" s="3">
        <v>109</v>
      </c>
      <c r="F465" s="3">
        <v>466</v>
      </c>
      <c r="G465" s="3">
        <v>120</v>
      </c>
      <c r="H465" t="str">
        <f t="shared" si="127"/>
        <v>31-109</v>
      </c>
      <c r="I465" t="b">
        <v>1</v>
      </c>
    </row>
    <row r="466" spans="1:9" x14ac:dyDescent="0.3">
      <c r="A466" t="s">
        <v>593</v>
      </c>
      <c r="B466" t="s">
        <v>626</v>
      </c>
      <c r="C466" t="s">
        <v>636</v>
      </c>
      <c r="D466" s="3">
        <v>31</v>
      </c>
      <c r="E466" s="3">
        <v>109</v>
      </c>
      <c r="F466" s="3">
        <v>467</v>
      </c>
      <c r="G466" s="3">
        <v>40</v>
      </c>
      <c r="H466" t="str">
        <f t="shared" si="127"/>
        <v>31-109</v>
      </c>
      <c r="I466" t="b">
        <v>1</v>
      </c>
    </row>
    <row r="467" spans="1:9" x14ac:dyDescent="0.3">
      <c r="A467" t="s">
        <v>593</v>
      </c>
      <c r="B467" t="s">
        <v>626</v>
      </c>
      <c r="C467" t="s">
        <v>637</v>
      </c>
      <c r="D467" s="3">
        <v>31</v>
      </c>
      <c r="E467" s="3">
        <v>109</v>
      </c>
      <c r="F467" s="3">
        <v>468</v>
      </c>
      <c r="G467" s="3">
        <v>50</v>
      </c>
      <c r="H467" t="str">
        <f t="shared" si="127"/>
        <v>31-109</v>
      </c>
      <c r="I467" t="b">
        <v>1</v>
      </c>
    </row>
    <row r="468" spans="1:9" x14ac:dyDescent="0.3">
      <c r="A468" t="s">
        <v>593</v>
      </c>
      <c r="B468" t="s">
        <v>626</v>
      </c>
      <c r="C468" t="s">
        <v>638</v>
      </c>
      <c r="D468" s="3">
        <v>31</v>
      </c>
      <c r="E468" s="3">
        <v>109</v>
      </c>
      <c r="F468" s="3">
        <v>469</v>
      </c>
      <c r="G468" s="3">
        <v>90</v>
      </c>
      <c r="H468" t="str">
        <f t="shared" si="127"/>
        <v>31-109</v>
      </c>
      <c r="I468" t="b">
        <v>1</v>
      </c>
    </row>
    <row r="469" spans="1:9" x14ac:dyDescent="0.3">
      <c r="A469" t="s">
        <v>593</v>
      </c>
      <c r="B469" t="s">
        <v>626</v>
      </c>
      <c r="C469" t="s">
        <v>639</v>
      </c>
      <c r="D469" s="3">
        <v>31</v>
      </c>
      <c r="E469" s="3">
        <v>109</v>
      </c>
      <c r="F469" s="3">
        <v>470</v>
      </c>
      <c r="G469" s="3">
        <v>70</v>
      </c>
      <c r="H469" t="str">
        <f t="shared" si="127"/>
        <v>31-109</v>
      </c>
      <c r="I469" t="b">
        <v>1</v>
      </c>
    </row>
    <row r="470" spans="1:9" x14ac:dyDescent="0.3">
      <c r="A470" t="s">
        <v>593</v>
      </c>
      <c r="B470" t="s">
        <v>626</v>
      </c>
      <c r="C470" t="s">
        <v>640</v>
      </c>
      <c r="D470" s="3">
        <v>31</v>
      </c>
      <c r="E470" s="3">
        <v>109</v>
      </c>
      <c r="F470" s="3">
        <v>471</v>
      </c>
      <c r="G470" s="3">
        <v>60</v>
      </c>
      <c r="H470" t="str">
        <f t="shared" si="127"/>
        <v>31-109</v>
      </c>
      <c r="I470" t="b">
        <v>1</v>
      </c>
    </row>
    <row r="471" spans="1:9" x14ac:dyDescent="0.3">
      <c r="A471" t="s">
        <v>593</v>
      </c>
      <c r="B471" t="s">
        <v>626</v>
      </c>
      <c r="C471" t="s">
        <v>641</v>
      </c>
      <c r="D471" s="3">
        <v>31</v>
      </c>
      <c r="E471" s="3">
        <v>109</v>
      </c>
      <c r="F471" s="3">
        <v>472</v>
      </c>
      <c r="G471" s="3">
        <v>210</v>
      </c>
      <c r="H471" t="str">
        <f t="shared" si="127"/>
        <v>31-109</v>
      </c>
      <c r="I471" t="b">
        <v>1</v>
      </c>
    </row>
    <row r="472" spans="1:9" x14ac:dyDescent="0.3">
      <c r="A472" t="s">
        <v>593</v>
      </c>
      <c r="B472" t="s">
        <v>626</v>
      </c>
      <c r="C472" t="s">
        <v>642</v>
      </c>
      <c r="D472" s="3">
        <v>31</v>
      </c>
      <c r="E472" s="3">
        <v>109</v>
      </c>
      <c r="F472" s="3">
        <v>473</v>
      </c>
      <c r="G472" s="3">
        <v>50</v>
      </c>
      <c r="H472" t="str">
        <f t="shared" si="127"/>
        <v>31-109</v>
      </c>
      <c r="I472" t="b">
        <v>1</v>
      </c>
    </row>
    <row r="473" spans="1:9" x14ac:dyDescent="0.3">
      <c r="A473" t="s">
        <v>593</v>
      </c>
      <c r="B473" t="s">
        <v>626</v>
      </c>
      <c r="C473" t="s">
        <v>643</v>
      </c>
      <c r="D473" s="3">
        <v>31</v>
      </c>
      <c r="E473" s="3">
        <v>109</v>
      </c>
      <c r="F473" s="3">
        <v>474</v>
      </c>
      <c r="G473" s="3">
        <v>320</v>
      </c>
      <c r="H473" t="str">
        <f t="shared" si="127"/>
        <v>31-109</v>
      </c>
      <c r="I473" t="b">
        <v>1</v>
      </c>
    </row>
    <row r="474" spans="1:9" x14ac:dyDescent="0.3">
      <c r="A474" t="s">
        <v>593</v>
      </c>
      <c r="B474" t="s">
        <v>626</v>
      </c>
      <c r="C474" t="s">
        <v>644</v>
      </c>
      <c r="D474" s="3">
        <v>31</v>
      </c>
      <c r="E474" s="3">
        <v>109</v>
      </c>
      <c r="F474" s="3">
        <v>475</v>
      </c>
      <c r="G474" s="3">
        <v>170</v>
      </c>
      <c r="H474" t="str">
        <f t="shared" si="127"/>
        <v>31-109</v>
      </c>
      <c r="I474" t="b">
        <v>1</v>
      </c>
    </row>
    <row r="475" spans="1:9" x14ac:dyDescent="0.3">
      <c r="A475" t="s">
        <v>593</v>
      </c>
      <c r="B475" t="s">
        <v>626</v>
      </c>
      <c r="C475" t="s">
        <v>645</v>
      </c>
      <c r="D475" s="3">
        <v>31</v>
      </c>
      <c r="E475" s="3">
        <v>109</v>
      </c>
      <c r="F475" s="3">
        <v>476</v>
      </c>
      <c r="G475" s="3">
        <v>70</v>
      </c>
      <c r="H475" t="str">
        <f t="shared" si="127"/>
        <v>31-109</v>
      </c>
      <c r="I475" t="b">
        <v>1</v>
      </c>
    </row>
    <row r="476" spans="1:9" x14ac:dyDescent="0.3">
      <c r="A476" t="s">
        <v>593</v>
      </c>
      <c r="B476" t="s">
        <v>626</v>
      </c>
      <c r="C476" t="s">
        <v>646</v>
      </c>
      <c r="D476" s="3">
        <v>31</v>
      </c>
      <c r="E476" s="3">
        <v>109</v>
      </c>
      <c r="F476" s="3">
        <v>477</v>
      </c>
      <c r="G476" s="3">
        <v>80</v>
      </c>
      <c r="H476" t="str">
        <f t="shared" si="127"/>
        <v>31-109</v>
      </c>
      <c r="I476" t="b">
        <v>1</v>
      </c>
    </row>
    <row r="477" spans="1:9" x14ac:dyDescent="0.3">
      <c r="A477" t="s">
        <v>593</v>
      </c>
      <c r="B477" t="s">
        <v>626</v>
      </c>
      <c r="C477" t="s">
        <v>647</v>
      </c>
      <c r="D477" s="3">
        <v>31</v>
      </c>
      <c r="E477" s="3">
        <v>109</v>
      </c>
      <c r="F477" s="3">
        <v>478</v>
      </c>
      <c r="G477" s="3">
        <v>30</v>
      </c>
      <c r="H477" t="str">
        <f t="shared" si="127"/>
        <v>31-109</v>
      </c>
      <c r="I477" t="b">
        <v>1</v>
      </c>
    </row>
    <row r="478" spans="1:9" x14ac:dyDescent="0.3">
      <c r="A478" t="s">
        <v>593</v>
      </c>
      <c r="B478" t="s">
        <v>626</v>
      </c>
      <c r="C478" t="s">
        <v>648</v>
      </c>
      <c r="D478" s="3">
        <v>31</v>
      </c>
      <c r="E478" s="3">
        <v>109</v>
      </c>
      <c r="F478" s="3">
        <v>479</v>
      </c>
      <c r="G478" s="3">
        <v>30</v>
      </c>
      <c r="H478" t="str">
        <f t="shared" si="127"/>
        <v>31-109</v>
      </c>
      <c r="I478" t="b">
        <v>1</v>
      </c>
    </row>
    <row r="479" spans="1:9" x14ac:dyDescent="0.3">
      <c r="A479" t="s">
        <v>593</v>
      </c>
      <c r="B479" t="s">
        <v>626</v>
      </c>
      <c r="C479" t="s">
        <v>649</v>
      </c>
      <c r="D479" s="3">
        <v>31</v>
      </c>
      <c r="E479" s="3">
        <v>109</v>
      </c>
      <c r="F479" s="3">
        <v>480</v>
      </c>
      <c r="G479" s="3">
        <v>20</v>
      </c>
      <c r="H479" t="str">
        <f t="shared" si="127"/>
        <v>31-109</v>
      </c>
      <c r="I479" t="b">
        <v>1</v>
      </c>
    </row>
    <row r="480" spans="1:9" x14ac:dyDescent="0.3">
      <c r="A480" t="s">
        <v>593</v>
      </c>
      <c r="B480" t="s">
        <v>626</v>
      </c>
      <c r="C480" t="s">
        <v>650</v>
      </c>
      <c r="D480" s="3">
        <v>31</v>
      </c>
      <c r="E480" s="3">
        <v>109</v>
      </c>
      <c r="F480" s="3">
        <v>481</v>
      </c>
      <c r="G480" s="3">
        <v>60</v>
      </c>
      <c r="H480" t="str">
        <f t="shared" si="127"/>
        <v>31-109</v>
      </c>
      <c r="I480" t="b">
        <v>1</v>
      </c>
    </row>
    <row r="481" spans="1:9" x14ac:dyDescent="0.3">
      <c r="A481" t="s">
        <v>593</v>
      </c>
      <c r="B481" t="s">
        <v>626</v>
      </c>
      <c r="C481" t="s">
        <v>651</v>
      </c>
      <c r="D481" s="3">
        <v>31</v>
      </c>
      <c r="E481" s="3">
        <v>109</v>
      </c>
      <c r="F481" s="3">
        <v>482</v>
      </c>
      <c r="G481" s="3">
        <v>20</v>
      </c>
      <c r="H481" t="str">
        <f t="shared" si="127"/>
        <v>31-109</v>
      </c>
      <c r="I481" t="b">
        <v>1</v>
      </c>
    </row>
    <row r="482" spans="1:9" x14ac:dyDescent="0.3">
      <c r="A482" t="s">
        <v>593</v>
      </c>
      <c r="B482" t="s">
        <v>626</v>
      </c>
      <c r="C482" t="s">
        <v>652</v>
      </c>
      <c r="D482" s="3">
        <v>31</v>
      </c>
      <c r="E482" s="3">
        <v>109</v>
      </c>
      <c r="F482" s="3">
        <v>483</v>
      </c>
      <c r="G482" s="3">
        <v>30</v>
      </c>
      <c r="H482" t="str">
        <f t="shared" si="127"/>
        <v>31-109</v>
      </c>
      <c r="I482" t="b">
        <v>1</v>
      </c>
    </row>
    <row r="483" spans="1:9" x14ac:dyDescent="0.3">
      <c r="A483" t="s">
        <v>593</v>
      </c>
      <c r="B483" t="s">
        <v>626</v>
      </c>
      <c r="C483" t="s">
        <v>653</v>
      </c>
      <c r="D483" s="3">
        <v>31</v>
      </c>
      <c r="E483" s="3">
        <v>109</v>
      </c>
      <c r="F483" s="3">
        <v>484</v>
      </c>
      <c r="G483" s="3">
        <v>50</v>
      </c>
      <c r="H483" t="str">
        <f t="shared" si="127"/>
        <v>31-109</v>
      </c>
      <c r="I483" t="b">
        <v>1</v>
      </c>
    </row>
    <row r="484" spans="1:9" x14ac:dyDescent="0.3">
      <c r="A484" t="s">
        <v>593</v>
      </c>
      <c r="B484" t="s">
        <v>626</v>
      </c>
      <c r="C484" t="s">
        <v>654</v>
      </c>
      <c r="D484" s="3">
        <v>31</v>
      </c>
      <c r="E484" s="3">
        <v>109</v>
      </c>
      <c r="F484" s="3">
        <v>485</v>
      </c>
      <c r="G484" s="3">
        <v>100</v>
      </c>
      <c r="H484" t="str">
        <f t="shared" si="127"/>
        <v>31-109</v>
      </c>
      <c r="I484" t="b">
        <v>1</v>
      </c>
    </row>
    <row r="485" spans="1:9" x14ac:dyDescent="0.3">
      <c r="A485" t="s">
        <v>593</v>
      </c>
      <c r="B485" t="s">
        <v>626</v>
      </c>
      <c r="C485" t="s">
        <v>655</v>
      </c>
      <c r="D485" s="3">
        <v>31</v>
      </c>
      <c r="E485" s="3">
        <v>109</v>
      </c>
      <c r="F485" s="3">
        <v>486</v>
      </c>
      <c r="G485" s="3">
        <v>290</v>
      </c>
      <c r="H485" t="str">
        <f t="shared" si="127"/>
        <v>31-109</v>
      </c>
      <c r="I485" t="b">
        <v>1</v>
      </c>
    </row>
    <row r="486" spans="1:9" x14ac:dyDescent="0.3">
      <c r="A486" s="9" t="s">
        <v>950</v>
      </c>
      <c r="B486" s="9" t="s">
        <v>953</v>
      </c>
      <c r="C486" s="9" t="s">
        <v>836</v>
      </c>
      <c r="D486" s="3">
        <v>57</v>
      </c>
      <c r="E486" s="3">
        <v>111</v>
      </c>
      <c r="F486" s="3">
        <v>487</v>
      </c>
      <c r="G486" s="3">
        <v>130</v>
      </c>
      <c r="H486" t="str">
        <f t="shared" si="127"/>
        <v>57-111</v>
      </c>
      <c r="I486" t="b">
        <v>1</v>
      </c>
    </row>
    <row r="487" spans="1:9" x14ac:dyDescent="0.3">
      <c r="A487" s="9" t="s">
        <v>593</v>
      </c>
      <c r="B487" s="9" t="s">
        <v>656</v>
      </c>
      <c r="C487" s="9" t="s">
        <v>657</v>
      </c>
      <c r="D487" s="3">
        <v>31</v>
      </c>
      <c r="E487" s="3">
        <v>112</v>
      </c>
      <c r="F487" s="3">
        <v>488</v>
      </c>
      <c r="G487" s="3">
        <v>80</v>
      </c>
      <c r="H487" t="str">
        <f t="shared" si="127"/>
        <v>31-112</v>
      </c>
      <c r="I487" t="b">
        <v>1</v>
      </c>
    </row>
    <row r="488" spans="1:9" x14ac:dyDescent="0.3">
      <c r="A488" t="s">
        <v>593</v>
      </c>
      <c r="B488" t="s">
        <v>656</v>
      </c>
      <c r="C488" t="s">
        <v>658</v>
      </c>
      <c r="D488" s="3">
        <v>31</v>
      </c>
      <c r="E488" s="3">
        <v>112</v>
      </c>
      <c r="F488" s="3">
        <v>489</v>
      </c>
      <c r="G488" s="3">
        <v>60</v>
      </c>
      <c r="H488" t="str">
        <f t="shared" si="127"/>
        <v>31-112</v>
      </c>
      <c r="I488" t="b">
        <v>1</v>
      </c>
    </row>
    <row r="489" spans="1:9" x14ac:dyDescent="0.3">
      <c r="A489" t="s">
        <v>593</v>
      </c>
      <c r="B489" t="s">
        <v>656</v>
      </c>
      <c r="C489" t="s">
        <v>659</v>
      </c>
      <c r="D489" s="3">
        <v>31</v>
      </c>
      <c r="E489" s="3">
        <v>112</v>
      </c>
      <c r="F489" s="3">
        <v>490</v>
      </c>
      <c r="G489" s="3">
        <v>30</v>
      </c>
      <c r="H489" t="str">
        <f t="shared" si="127"/>
        <v>31-112</v>
      </c>
      <c r="I489" t="b">
        <v>1</v>
      </c>
    </row>
    <row r="490" spans="1:9" x14ac:dyDescent="0.3">
      <c r="A490" t="s">
        <v>593</v>
      </c>
      <c r="B490" t="s">
        <v>656</v>
      </c>
      <c r="C490" t="s">
        <v>660</v>
      </c>
      <c r="D490" s="3">
        <v>31</v>
      </c>
      <c r="E490" s="3">
        <v>112</v>
      </c>
      <c r="F490" s="3">
        <v>491</v>
      </c>
      <c r="G490" s="3">
        <v>40</v>
      </c>
      <c r="H490" t="str">
        <f t="shared" si="127"/>
        <v>31-112</v>
      </c>
      <c r="I490" t="b">
        <v>1</v>
      </c>
    </row>
    <row r="491" spans="1:9" x14ac:dyDescent="0.3">
      <c r="A491" t="s">
        <v>593</v>
      </c>
      <c r="B491" t="s">
        <v>656</v>
      </c>
      <c r="C491" t="s">
        <v>661</v>
      </c>
      <c r="D491" s="3">
        <v>31</v>
      </c>
      <c r="E491" s="3">
        <v>112</v>
      </c>
      <c r="F491" s="3">
        <v>492</v>
      </c>
      <c r="G491" s="3">
        <v>60</v>
      </c>
      <c r="H491" t="str">
        <f t="shared" si="127"/>
        <v>31-112</v>
      </c>
      <c r="I491" t="b">
        <v>1</v>
      </c>
    </row>
    <row r="492" spans="1:9" x14ac:dyDescent="0.3">
      <c r="A492" t="s">
        <v>593</v>
      </c>
      <c r="B492" t="s">
        <v>656</v>
      </c>
      <c r="C492" t="s">
        <v>234</v>
      </c>
      <c r="D492" s="3">
        <v>31</v>
      </c>
      <c r="E492" s="3">
        <v>112</v>
      </c>
      <c r="F492" s="3">
        <v>493</v>
      </c>
      <c r="G492" s="3">
        <v>60</v>
      </c>
      <c r="H492" t="str">
        <f t="shared" si="127"/>
        <v>31-112</v>
      </c>
      <c r="I492" t="b">
        <v>1</v>
      </c>
    </row>
    <row r="493" spans="1:9" x14ac:dyDescent="0.3">
      <c r="A493" t="s">
        <v>593</v>
      </c>
      <c r="B493" t="s">
        <v>656</v>
      </c>
      <c r="C493" t="s">
        <v>662</v>
      </c>
      <c r="D493" s="3">
        <v>31</v>
      </c>
      <c r="E493" s="3">
        <v>112</v>
      </c>
      <c r="F493" s="3">
        <v>494</v>
      </c>
      <c r="G493" s="3">
        <v>60</v>
      </c>
      <c r="H493" t="str">
        <f t="shared" si="127"/>
        <v>31-112</v>
      </c>
      <c r="I493" t="b">
        <v>1</v>
      </c>
    </row>
    <row r="494" spans="1:9" x14ac:dyDescent="0.3">
      <c r="A494" t="s">
        <v>593</v>
      </c>
      <c r="B494" t="s">
        <v>656</v>
      </c>
      <c r="C494" t="s">
        <v>663</v>
      </c>
      <c r="D494" s="3">
        <v>31</v>
      </c>
      <c r="E494" s="3">
        <v>112</v>
      </c>
      <c r="F494" s="3">
        <v>495</v>
      </c>
      <c r="G494" s="3">
        <v>30</v>
      </c>
      <c r="H494" t="str">
        <f t="shared" si="127"/>
        <v>31-112</v>
      </c>
      <c r="I494" t="b">
        <v>1</v>
      </c>
    </row>
    <row r="495" spans="1:9" x14ac:dyDescent="0.3">
      <c r="A495" t="s">
        <v>593</v>
      </c>
      <c r="B495" t="s">
        <v>656</v>
      </c>
      <c r="C495" t="s">
        <v>664</v>
      </c>
      <c r="D495" s="3">
        <v>31</v>
      </c>
      <c r="E495" s="3">
        <v>112</v>
      </c>
      <c r="F495" s="3">
        <v>496</v>
      </c>
      <c r="G495" s="3">
        <v>30</v>
      </c>
      <c r="H495" t="str">
        <f t="shared" si="127"/>
        <v>31-112</v>
      </c>
      <c r="I495" t="b">
        <v>1</v>
      </c>
    </row>
    <row r="496" spans="1:9" x14ac:dyDescent="0.3">
      <c r="A496" t="s">
        <v>593</v>
      </c>
      <c r="B496" t="s">
        <v>656</v>
      </c>
      <c r="C496" t="s">
        <v>665</v>
      </c>
      <c r="D496" s="3">
        <v>31</v>
      </c>
      <c r="E496" s="3">
        <v>112</v>
      </c>
      <c r="F496" s="3">
        <v>497</v>
      </c>
      <c r="G496" s="3">
        <v>90</v>
      </c>
      <c r="H496" t="str">
        <f t="shared" si="127"/>
        <v>31-112</v>
      </c>
      <c r="I496" t="b">
        <v>1</v>
      </c>
    </row>
    <row r="497" spans="1:9" x14ac:dyDescent="0.3">
      <c r="A497" t="s">
        <v>593</v>
      </c>
      <c r="B497" t="s">
        <v>656</v>
      </c>
      <c r="C497" t="s">
        <v>666</v>
      </c>
      <c r="D497" s="3">
        <v>31</v>
      </c>
      <c r="E497" s="3">
        <v>112</v>
      </c>
      <c r="F497" s="3">
        <v>498</v>
      </c>
      <c r="G497" s="3">
        <v>30</v>
      </c>
      <c r="H497" t="str">
        <f t="shared" si="127"/>
        <v>31-112</v>
      </c>
      <c r="I497" t="b">
        <v>1</v>
      </c>
    </row>
    <row r="498" spans="1:9" x14ac:dyDescent="0.3">
      <c r="A498" t="s">
        <v>593</v>
      </c>
      <c r="B498" t="s">
        <v>656</v>
      </c>
      <c r="C498" t="s">
        <v>667</v>
      </c>
      <c r="D498" s="3">
        <v>31</v>
      </c>
      <c r="E498" s="3">
        <v>112</v>
      </c>
      <c r="F498" s="3">
        <v>499</v>
      </c>
      <c r="G498" s="3">
        <v>110</v>
      </c>
      <c r="H498" t="str">
        <f t="shared" si="127"/>
        <v>31-112</v>
      </c>
      <c r="I498" t="b">
        <v>1</v>
      </c>
    </row>
    <row r="499" spans="1:9" x14ac:dyDescent="0.3">
      <c r="A499" t="s">
        <v>593</v>
      </c>
      <c r="B499" t="s">
        <v>656</v>
      </c>
      <c r="C499" t="s">
        <v>668</v>
      </c>
      <c r="D499" s="3">
        <v>31</v>
      </c>
      <c r="E499" s="3">
        <v>112</v>
      </c>
      <c r="F499" s="3">
        <v>500</v>
      </c>
      <c r="G499" s="3">
        <v>110</v>
      </c>
      <c r="H499" t="str">
        <f t="shared" si="127"/>
        <v>31-112</v>
      </c>
      <c r="I499" t="b">
        <v>1</v>
      </c>
    </row>
    <row r="500" spans="1:9" x14ac:dyDescent="0.3">
      <c r="A500" t="s">
        <v>593</v>
      </c>
      <c r="B500" t="s">
        <v>656</v>
      </c>
      <c r="C500" t="s">
        <v>669</v>
      </c>
      <c r="D500" s="3">
        <v>31</v>
      </c>
      <c r="E500" s="3">
        <v>112</v>
      </c>
      <c r="F500" s="3">
        <v>501</v>
      </c>
      <c r="G500" s="3">
        <v>60</v>
      </c>
      <c r="H500" t="str">
        <f t="shared" si="127"/>
        <v>31-112</v>
      </c>
      <c r="I500" t="b">
        <v>1</v>
      </c>
    </row>
    <row r="501" spans="1:9" x14ac:dyDescent="0.3">
      <c r="A501" t="s">
        <v>593</v>
      </c>
      <c r="B501" t="s">
        <v>656</v>
      </c>
      <c r="C501" t="s">
        <v>670</v>
      </c>
      <c r="D501" s="3">
        <v>31</v>
      </c>
      <c r="E501" s="3">
        <v>112</v>
      </c>
      <c r="F501" s="3">
        <v>502</v>
      </c>
      <c r="G501" s="3">
        <v>140</v>
      </c>
      <c r="H501" t="str">
        <f t="shared" si="127"/>
        <v>31-112</v>
      </c>
      <c r="I501" t="b">
        <v>1</v>
      </c>
    </row>
    <row r="502" spans="1:9" x14ac:dyDescent="0.3">
      <c r="A502" t="s">
        <v>593</v>
      </c>
      <c r="B502" t="s">
        <v>656</v>
      </c>
      <c r="C502" t="s">
        <v>671</v>
      </c>
      <c r="D502" s="3">
        <v>31</v>
      </c>
      <c r="E502" s="3">
        <v>112</v>
      </c>
      <c r="F502" s="3">
        <v>503</v>
      </c>
      <c r="G502" s="3">
        <v>130</v>
      </c>
      <c r="H502" t="str">
        <f t="shared" si="127"/>
        <v>31-112</v>
      </c>
      <c r="I502" t="b">
        <v>1</v>
      </c>
    </row>
    <row r="503" spans="1:9" x14ac:dyDescent="0.3">
      <c r="A503" t="s">
        <v>593</v>
      </c>
      <c r="B503" t="s">
        <v>656</v>
      </c>
      <c r="C503" t="s">
        <v>672</v>
      </c>
      <c r="D503" s="3">
        <v>31</v>
      </c>
      <c r="E503" s="3">
        <v>112</v>
      </c>
      <c r="F503" s="3">
        <v>504</v>
      </c>
      <c r="G503" s="3">
        <v>150</v>
      </c>
      <c r="H503" t="str">
        <f t="shared" si="127"/>
        <v>31-112</v>
      </c>
      <c r="I503" t="b">
        <v>1</v>
      </c>
    </row>
    <row r="504" spans="1:9" x14ac:dyDescent="0.3">
      <c r="A504" t="s">
        <v>593</v>
      </c>
      <c r="B504" t="s">
        <v>656</v>
      </c>
      <c r="C504" t="s">
        <v>60</v>
      </c>
      <c r="D504" s="3">
        <v>31</v>
      </c>
      <c r="E504" s="3">
        <v>112</v>
      </c>
      <c r="F504" s="3">
        <v>505</v>
      </c>
      <c r="G504" s="3">
        <v>120</v>
      </c>
      <c r="H504" t="str">
        <f t="shared" si="127"/>
        <v>31-112</v>
      </c>
      <c r="I504" t="b">
        <v>1</v>
      </c>
    </row>
    <row r="505" spans="1:9" x14ac:dyDescent="0.3">
      <c r="A505" t="s">
        <v>593</v>
      </c>
      <c r="B505" t="s">
        <v>656</v>
      </c>
      <c r="C505" t="s">
        <v>673</v>
      </c>
      <c r="D505" s="3">
        <v>31</v>
      </c>
      <c r="E505" s="3">
        <v>112</v>
      </c>
      <c r="F505" s="3">
        <v>506</v>
      </c>
      <c r="G505" s="3">
        <v>60</v>
      </c>
      <c r="H505" t="str">
        <f t="shared" si="127"/>
        <v>31-112</v>
      </c>
      <c r="I505" t="b">
        <v>1</v>
      </c>
    </row>
    <row r="506" spans="1:9" x14ac:dyDescent="0.3">
      <c r="A506" t="s">
        <v>593</v>
      </c>
      <c r="B506" t="s">
        <v>656</v>
      </c>
      <c r="C506" t="s">
        <v>157</v>
      </c>
      <c r="D506" s="3">
        <v>31</v>
      </c>
      <c r="E506" s="3">
        <v>112</v>
      </c>
      <c r="F506" s="3">
        <v>507</v>
      </c>
      <c r="G506" s="3">
        <v>360</v>
      </c>
      <c r="H506" t="str">
        <f t="shared" si="127"/>
        <v>31-112</v>
      </c>
      <c r="I506" t="b">
        <v>1</v>
      </c>
    </row>
    <row r="507" spans="1:9" x14ac:dyDescent="0.3">
      <c r="A507" t="s">
        <v>593</v>
      </c>
      <c r="B507" t="s">
        <v>656</v>
      </c>
      <c r="C507" t="s">
        <v>674</v>
      </c>
      <c r="D507" s="3">
        <v>31</v>
      </c>
      <c r="E507" s="3">
        <v>112</v>
      </c>
      <c r="F507" s="3">
        <v>508</v>
      </c>
      <c r="G507" s="3">
        <v>140</v>
      </c>
      <c r="H507" t="str">
        <f t="shared" si="127"/>
        <v>31-112</v>
      </c>
      <c r="I507" t="b">
        <v>1</v>
      </c>
    </row>
    <row r="508" spans="1:9" x14ac:dyDescent="0.3">
      <c r="A508" t="s">
        <v>593</v>
      </c>
      <c r="B508" t="s">
        <v>656</v>
      </c>
      <c r="C508" t="s">
        <v>675</v>
      </c>
      <c r="D508" s="3">
        <v>31</v>
      </c>
      <c r="E508" s="3">
        <v>112</v>
      </c>
      <c r="F508" s="3">
        <v>509</v>
      </c>
      <c r="G508" s="3">
        <v>20</v>
      </c>
      <c r="H508" t="str">
        <f t="shared" si="127"/>
        <v>31-112</v>
      </c>
      <c r="I508" t="b">
        <v>1</v>
      </c>
    </row>
    <row r="509" spans="1:9" x14ac:dyDescent="0.3">
      <c r="A509" t="s">
        <v>875</v>
      </c>
      <c r="B509" t="s">
        <v>888</v>
      </c>
      <c r="C509" t="s">
        <v>889</v>
      </c>
      <c r="D509" s="3">
        <v>50</v>
      </c>
      <c r="E509" s="3">
        <v>113</v>
      </c>
      <c r="F509" s="3">
        <v>510</v>
      </c>
      <c r="G509" s="3">
        <v>1710</v>
      </c>
      <c r="H509" t="str">
        <f t="shared" si="127"/>
        <v>50-113</v>
      </c>
      <c r="I509" t="b">
        <v>1</v>
      </c>
    </row>
    <row r="510" spans="1:9" x14ac:dyDescent="0.3">
      <c r="A510" t="s">
        <v>875</v>
      </c>
      <c r="B510" t="s">
        <v>888</v>
      </c>
      <c r="C510" t="s">
        <v>685</v>
      </c>
      <c r="D510" s="3">
        <v>50</v>
      </c>
      <c r="E510" s="3">
        <v>113</v>
      </c>
      <c r="F510" s="3">
        <v>511</v>
      </c>
      <c r="G510" s="3">
        <v>100</v>
      </c>
      <c r="H510" t="str">
        <f t="shared" si="127"/>
        <v>50-113</v>
      </c>
      <c r="I510" t="b">
        <v>1</v>
      </c>
    </row>
    <row r="511" spans="1:9" x14ac:dyDescent="0.3">
      <c r="A511" t="s">
        <v>875</v>
      </c>
      <c r="B511" t="s">
        <v>888</v>
      </c>
      <c r="C511" t="s">
        <v>890</v>
      </c>
      <c r="D511" s="3">
        <v>50</v>
      </c>
      <c r="E511" s="3">
        <v>113</v>
      </c>
      <c r="F511" s="3">
        <v>512</v>
      </c>
      <c r="G511" s="3">
        <v>260</v>
      </c>
      <c r="H511" t="str">
        <f t="shared" si="127"/>
        <v>50-113</v>
      </c>
      <c r="I511" t="b">
        <v>1</v>
      </c>
    </row>
    <row r="512" spans="1:9" x14ac:dyDescent="0.3">
      <c r="A512" t="s">
        <v>875</v>
      </c>
      <c r="B512" t="s">
        <v>888</v>
      </c>
      <c r="C512" t="s">
        <v>891</v>
      </c>
      <c r="D512" s="3">
        <v>50</v>
      </c>
      <c r="E512" s="3">
        <v>113</v>
      </c>
      <c r="F512" s="3">
        <v>513</v>
      </c>
      <c r="G512" s="3">
        <v>50</v>
      </c>
      <c r="H512" t="str">
        <f t="shared" si="127"/>
        <v>50-113</v>
      </c>
      <c r="I512" t="b">
        <v>1</v>
      </c>
    </row>
    <row r="513" spans="1:9" x14ac:dyDescent="0.3">
      <c r="A513" t="s">
        <v>875</v>
      </c>
      <c r="B513" t="s">
        <v>888</v>
      </c>
      <c r="C513" t="s">
        <v>892</v>
      </c>
      <c r="D513" s="3">
        <v>50</v>
      </c>
      <c r="E513" s="3">
        <v>113</v>
      </c>
      <c r="F513" s="3">
        <v>514</v>
      </c>
      <c r="G513" s="3">
        <v>2290</v>
      </c>
      <c r="H513" t="str">
        <f t="shared" si="127"/>
        <v>50-113</v>
      </c>
      <c r="I513" t="b">
        <v>1</v>
      </c>
    </row>
    <row r="514" spans="1:9" x14ac:dyDescent="0.3">
      <c r="A514" t="s">
        <v>456</v>
      </c>
      <c r="B514" t="s">
        <v>517</v>
      </c>
      <c r="C514" t="s">
        <v>518</v>
      </c>
      <c r="D514" s="3">
        <v>29</v>
      </c>
      <c r="E514" s="3">
        <v>114</v>
      </c>
      <c r="F514" s="3">
        <v>515</v>
      </c>
      <c r="G514" s="3">
        <v>190</v>
      </c>
      <c r="H514" t="str">
        <f t="shared" si="127"/>
        <v>29-114</v>
      </c>
      <c r="I514" t="b">
        <v>1</v>
      </c>
    </row>
    <row r="515" spans="1:9" x14ac:dyDescent="0.3">
      <c r="A515" t="s">
        <v>363</v>
      </c>
      <c r="B515" t="s">
        <v>374</v>
      </c>
      <c r="C515" t="s">
        <v>375</v>
      </c>
      <c r="D515" s="3">
        <v>26</v>
      </c>
      <c r="E515" s="3">
        <v>115</v>
      </c>
      <c r="F515" s="3">
        <v>516</v>
      </c>
      <c r="G515" s="3">
        <v>110</v>
      </c>
      <c r="H515" t="str">
        <f t="shared" ref="H515:H578" si="128">_xlfn.CONCAT(D515,"-",E515)</f>
        <v>26-115</v>
      </c>
      <c r="I515" t="b">
        <v>1</v>
      </c>
    </row>
    <row r="516" spans="1:9" x14ac:dyDescent="0.3">
      <c r="A516" t="s">
        <v>363</v>
      </c>
      <c r="B516" t="s">
        <v>374</v>
      </c>
      <c r="C516" t="s">
        <v>376</v>
      </c>
      <c r="D516" s="3">
        <v>26</v>
      </c>
      <c r="E516" s="3">
        <v>115</v>
      </c>
      <c r="F516" s="3">
        <v>517</v>
      </c>
      <c r="G516" s="3">
        <v>160</v>
      </c>
      <c r="H516" t="str">
        <f t="shared" si="128"/>
        <v>26-115</v>
      </c>
      <c r="I516" t="b">
        <v>1</v>
      </c>
    </row>
    <row r="517" spans="1:9" x14ac:dyDescent="0.3">
      <c r="A517" t="s">
        <v>363</v>
      </c>
      <c r="B517" t="s">
        <v>374</v>
      </c>
      <c r="C517" t="s">
        <v>377</v>
      </c>
      <c r="D517" s="3">
        <v>26</v>
      </c>
      <c r="E517" s="3">
        <v>115</v>
      </c>
      <c r="F517" s="3">
        <v>518</v>
      </c>
      <c r="G517" s="3">
        <v>240</v>
      </c>
      <c r="H517" t="str">
        <f t="shared" si="128"/>
        <v>26-115</v>
      </c>
      <c r="I517" t="b">
        <v>1</v>
      </c>
    </row>
    <row r="518" spans="1:9" x14ac:dyDescent="0.3">
      <c r="A518" t="s">
        <v>363</v>
      </c>
      <c r="B518" t="s">
        <v>374</v>
      </c>
      <c r="C518" t="s">
        <v>378</v>
      </c>
      <c r="D518" s="3">
        <v>26</v>
      </c>
      <c r="E518" s="3">
        <v>115</v>
      </c>
      <c r="F518" s="3">
        <v>519</v>
      </c>
      <c r="G518" s="3">
        <v>340</v>
      </c>
      <c r="H518" t="str">
        <f t="shared" si="128"/>
        <v>26-115</v>
      </c>
      <c r="I518" t="b">
        <v>1</v>
      </c>
    </row>
    <row r="519" spans="1:9" x14ac:dyDescent="0.3">
      <c r="A519" t="s">
        <v>875</v>
      </c>
      <c r="B519" t="s">
        <v>893</v>
      </c>
      <c r="C519" t="s">
        <v>176</v>
      </c>
      <c r="D519" s="3">
        <v>50</v>
      </c>
      <c r="E519" s="3">
        <v>116</v>
      </c>
      <c r="F519" s="3">
        <v>520</v>
      </c>
      <c r="G519" s="3">
        <v>130</v>
      </c>
      <c r="H519" t="str">
        <f t="shared" si="128"/>
        <v>50-116</v>
      </c>
      <c r="I519" t="b">
        <v>1</v>
      </c>
    </row>
    <row r="520" spans="1:9" x14ac:dyDescent="0.3">
      <c r="A520" t="s">
        <v>875</v>
      </c>
      <c r="B520" t="s">
        <v>893</v>
      </c>
      <c r="C520" t="s">
        <v>235</v>
      </c>
      <c r="D520" s="3">
        <v>50</v>
      </c>
      <c r="E520" s="3">
        <v>116</v>
      </c>
      <c r="F520" s="3">
        <v>521</v>
      </c>
      <c r="G520" s="3">
        <v>90</v>
      </c>
      <c r="H520" t="str">
        <f t="shared" si="128"/>
        <v>50-116</v>
      </c>
      <c r="I520" t="b">
        <v>1</v>
      </c>
    </row>
    <row r="521" spans="1:9" x14ac:dyDescent="0.3">
      <c r="A521" t="s">
        <v>875</v>
      </c>
      <c r="B521" t="s">
        <v>893</v>
      </c>
      <c r="C521" t="s">
        <v>894</v>
      </c>
      <c r="D521" s="3">
        <v>50</v>
      </c>
      <c r="E521" s="3">
        <v>116</v>
      </c>
      <c r="F521" s="3">
        <v>522</v>
      </c>
      <c r="G521" s="3">
        <v>250</v>
      </c>
      <c r="H521" t="str">
        <f t="shared" si="128"/>
        <v>50-116</v>
      </c>
      <c r="I521" t="b">
        <v>1</v>
      </c>
    </row>
    <row r="522" spans="1:9" x14ac:dyDescent="0.3">
      <c r="A522" t="s">
        <v>875</v>
      </c>
      <c r="B522" t="s">
        <v>893</v>
      </c>
      <c r="C522" t="s">
        <v>895</v>
      </c>
      <c r="D522" s="3">
        <v>50</v>
      </c>
      <c r="E522" s="3">
        <v>116</v>
      </c>
      <c r="F522" s="3">
        <v>523</v>
      </c>
      <c r="G522" s="3">
        <v>140</v>
      </c>
      <c r="H522" t="str">
        <f t="shared" si="128"/>
        <v>50-116</v>
      </c>
      <c r="I522" t="b">
        <v>1</v>
      </c>
    </row>
    <row r="523" spans="1:9" x14ac:dyDescent="0.3">
      <c r="A523" t="s">
        <v>536</v>
      </c>
      <c r="B523" t="s">
        <v>560</v>
      </c>
      <c r="C523" t="s">
        <v>561</v>
      </c>
      <c r="D523" s="3">
        <v>30</v>
      </c>
      <c r="E523" s="3">
        <v>117</v>
      </c>
      <c r="F523" s="3">
        <v>524</v>
      </c>
      <c r="G523" s="3">
        <v>70</v>
      </c>
      <c r="H523" t="str">
        <f t="shared" si="128"/>
        <v>30-117</v>
      </c>
      <c r="I523" t="b">
        <v>1</v>
      </c>
    </row>
    <row r="524" spans="1:9" x14ac:dyDescent="0.3">
      <c r="A524" t="s">
        <v>536</v>
      </c>
      <c r="B524" t="s">
        <v>560</v>
      </c>
      <c r="C524" t="s">
        <v>557</v>
      </c>
      <c r="D524" s="3">
        <v>30</v>
      </c>
      <c r="E524" s="3">
        <v>117</v>
      </c>
      <c r="F524" s="3">
        <v>525</v>
      </c>
      <c r="G524" s="3">
        <v>50</v>
      </c>
      <c r="H524" t="str">
        <f t="shared" si="128"/>
        <v>30-117</v>
      </c>
      <c r="I524" t="b">
        <v>1</v>
      </c>
    </row>
    <row r="525" spans="1:9" x14ac:dyDescent="0.3">
      <c r="A525" t="s">
        <v>536</v>
      </c>
      <c r="B525" t="s">
        <v>560</v>
      </c>
      <c r="C525" t="s">
        <v>60</v>
      </c>
      <c r="D525" s="3">
        <v>30</v>
      </c>
      <c r="E525" s="3">
        <v>117</v>
      </c>
      <c r="F525" s="3">
        <v>526</v>
      </c>
      <c r="G525" s="3">
        <v>60</v>
      </c>
      <c r="H525" t="str">
        <f t="shared" si="128"/>
        <v>30-117</v>
      </c>
      <c r="I525" t="b">
        <v>1</v>
      </c>
    </row>
    <row r="526" spans="1:9" x14ac:dyDescent="0.3">
      <c r="A526" t="s">
        <v>843</v>
      </c>
      <c r="B526" t="s">
        <v>844</v>
      </c>
      <c r="C526" t="s">
        <v>21</v>
      </c>
      <c r="D526" s="3">
        <v>40</v>
      </c>
      <c r="E526" s="3">
        <v>118</v>
      </c>
      <c r="F526" s="3">
        <v>527</v>
      </c>
      <c r="G526" s="3">
        <v>350</v>
      </c>
      <c r="H526" t="str">
        <f t="shared" si="128"/>
        <v>40-118</v>
      </c>
      <c r="I526" t="b">
        <v>1</v>
      </c>
    </row>
    <row r="527" spans="1:9" x14ac:dyDescent="0.3">
      <c r="A527" t="s">
        <v>843</v>
      </c>
      <c r="B527" t="s">
        <v>844</v>
      </c>
      <c r="C527" t="s">
        <v>505</v>
      </c>
      <c r="D527" s="3">
        <v>40</v>
      </c>
      <c r="E527" s="3">
        <v>118</v>
      </c>
      <c r="F527" s="3">
        <v>528</v>
      </c>
      <c r="G527" s="3">
        <v>130</v>
      </c>
      <c r="H527" t="str">
        <f t="shared" si="128"/>
        <v>40-118</v>
      </c>
      <c r="I527" t="b">
        <v>1</v>
      </c>
    </row>
    <row r="528" spans="1:9" x14ac:dyDescent="0.3">
      <c r="A528" t="s">
        <v>843</v>
      </c>
      <c r="B528" t="s">
        <v>844</v>
      </c>
      <c r="C528" t="s">
        <v>515</v>
      </c>
      <c r="D528" s="3">
        <v>40</v>
      </c>
      <c r="E528" s="3">
        <v>118</v>
      </c>
      <c r="F528" s="3">
        <v>529</v>
      </c>
      <c r="G528" s="3">
        <v>40</v>
      </c>
      <c r="H528" t="str">
        <f t="shared" si="128"/>
        <v>40-118</v>
      </c>
      <c r="I528" t="b">
        <v>1</v>
      </c>
    </row>
    <row r="529" spans="1:9" x14ac:dyDescent="0.3">
      <c r="A529" t="s">
        <v>456</v>
      </c>
      <c r="B529" t="s">
        <v>519</v>
      </c>
      <c r="C529" t="s">
        <v>213</v>
      </c>
      <c r="D529" s="3">
        <v>29</v>
      </c>
      <c r="E529" s="3">
        <v>119</v>
      </c>
      <c r="F529" s="3">
        <v>530</v>
      </c>
      <c r="G529" s="3">
        <v>140</v>
      </c>
      <c r="H529" t="str">
        <f t="shared" si="128"/>
        <v>29-119</v>
      </c>
      <c r="I529" t="b">
        <v>1</v>
      </c>
    </row>
    <row r="530" spans="1:9" x14ac:dyDescent="0.3">
      <c r="A530" t="s">
        <v>456</v>
      </c>
      <c r="B530" t="s">
        <v>519</v>
      </c>
      <c r="C530" t="s">
        <v>60</v>
      </c>
      <c r="D530" s="3">
        <v>29</v>
      </c>
      <c r="E530" s="3">
        <v>119</v>
      </c>
      <c r="F530" s="3">
        <v>531</v>
      </c>
      <c r="G530" s="3">
        <v>60</v>
      </c>
      <c r="H530" t="str">
        <f t="shared" si="128"/>
        <v>29-119</v>
      </c>
      <c r="I530" t="b">
        <v>1</v>
      </c>
    </row>
    <row r="531" spans="1:9" x14ac:dyDescent="0.3">
      <c r="A531" t="s">
        <v>722</v>
      </c>
      <c r="B531" t="s">
        <v>723</v>
      </c>
      <c r="C531" t="s">
        <v>724</v>
      </c>
      <c r="D531" s="3">
        <v>34</v>
      </c>
      <c r="E531" s="3">
        <v>120</v>
      </c>
      <c r="F531" s="3">
        <v>532</v>
      </c>
      <c r="G531" s="3">
        <v>120</v>
      </c>
      <c r="H531" t="str">
        <f t="shared" si="128"/>
        <v>34-120</v>
      </c>
      <c r="I531" t="b">
        <v>1</v>
      </c>
    </row>
    <row r="532" spans="1:9" x14ac:dyDescent="0.3">
      <c r="A532" t="s">
        <v>593</v>
      </c>
      <c r="B532" t="s">
        <v>676</v>
      </c>
      <c r="C532" t="s">
        <v>677</v>
      </c>
      <c r="D532" s="3">
        <v>31</v>
      </c>
      <c r="E532" s="3">
        <v>121</v>
      </c>
      <c r="F532" s="3">
        <v>533</v>
      </c>
      <c r="G532" s="3">
        <v>310</v>
      </c>
      <c r="H532" t="str">
        <f t="shared" si="128"/>
        <v>31-121</v>
      </c>
      <c r="I532" t="b">
        <v>1</v>
      </c>
    </row>
    <row r="533" spans="1:9" x14ac:dyDescent="0.3">
      <c r="A533" t="s">
        <v>593</v>
      </c>
      <c r="B533" t="s">
        <v>676</v>
      </c>
      <c r="C533" t="s">
        <v>678</v>
      </c>
      <c r="D533" s="3">
        <v>31</v>
      </c>
      <c r="E533" s="3">
        <v>121</v>
      </c>
      <c r="F533" s="3">
        <v>534</v>
      </c>
      <c r="G533" s="3">
        <v>270</v>
      </c>
      <c r="H533" t="str">
        <f t="shared" si="128"/>
        <v>31-121</v>
      </c>
      <c r="I533" t="b">
        <v>1</v>
      </c>
    </row>
    <row r="534" spans="1:9" x14ac:dyDescent="0.3">
      <c r="A534" t="s">
        <v>593</v>
      </c>
      <c r="B534" t="s">
        <v>676</v>
      </c>
      <c r="C534" t="s">
        <v>60</v>
      </c>
      <c r="D534" s="3">
        <v>31</v>
      </c>
      <c r="E534" s="3">
        <v>121</v>
      </c>
      <c r="F534" s="3">
        <v>535</v>
      </c>
      <c r="G534" s="3">
        <v>250</v>
      </c>
      <c r="H534" t="str">
        <f t="shared" si="128"/>
        <v>31-121</v>
      </c>
      <c r="I534" t="b">
        <v>1</v>
      </c>
    </row>
    <row r="535" spans="1:9" x14ac:dyDescent="0.3">
      <c r="A535" t="s">
        <v>593</v>
      </c>
      <c r="B535" t="s">
        <v>679</v>
      </c>
      <c r="C535" t="s">
        <v>680</v>
      </c>
      <c r="D535" s="3">
        <v>31</v>
      </c>
      <c r="E535" s="3">
        <v>122</v>
      </c>
      <c r="F535" s="3">
        <v>536</v>
      </c>
      <c r="G535" s="3">
        <v>440</v>
      </c>
      <c r="H535" t="str">
        <f t="shared" si="128"/>
        <v>31-122</v>
      </c>
      <c r="I535" t="b">
        <v>1</v>
      </c>
    </row>
    <row r="536" spans="1:9" x14ac:dyDescent="0.3">
      <c r="A536" t="s">
        <v>363</v>
      </c>
      <c r="B536" t="s">
        <v>379</v>
      </c>
      <c r="C536" t="s">
        <v>380</v>
      </c>
      <c r="D536" s="3">
        <v>26</v>
      </c>
      <c r="E536" s="3">
        <v>123</v>
      </c>
      <c r="F536" s="3">
        <v>537</v>
      </c>
      <c r="G536" s="3">
        <v>210</v>
      </c>
      <c r="H536" t="str">
        <f t="shared" si="128"/>
        <v>26-123</v>
      </c>
      <c r="I536" t="b">
        <v>1</v>
      </c>
    </row>
    <row r="537" spans="1:9" x14ac:dyDescent="0.3">
      <c r="A537" t="s">
        <v>363</v>
      </c>
      <c r="B537" t="s">
        <v>379</v>
      </c>
      <c r="C537" t="s">
        <v>381</v>
      </c>
      <c r="D537" s="3">
        <v>26</v>
      </c>
      <c r="E537" s="3">
        <v>123</v>
      </c>
      <c r="F537" s="3">
        <v>538</v>
      </c>
      <c r="G537" s="3">
        <v>40</v>
      </c>
      <c r="H537" t="str">
        <f t="shared" si="128"/>
        <v>26-123</v>
      </c>
      <c r="I537" t="b">
        <v>1</v>
      </c>
    </row>
    <row r="538" spans="1:9" x14ac:dyDescent="0.3">
      <c r="A538" t="s">
        <v>363</v>
      </c>
      <c r="B538" t="s">
        <v>379</v>
      </c>
      <c r="C538" t="s">
        <v>382</v>
      </c>
      <c r="D538" s="3">
        <v>26</v>
      </c>
      <c r="E538" s="3">
        <v>123</v>
      </c>
      <c r="F538" s="3">
        <v>539</v>
      </c>
      <c r="G538" s="3">
        <v>60</v>
      </c>
      <c r="H538" t="str">
        <f t="shared" si="128"/>
        <v>26-123</v>
      </c>
      <c r="I538" t="b">
        <v>1</v>
      </c>
    </row>
    <row r="539" spans="1:9" x14ac:dyDescent="0.3">
      <c r="A539" t="s">
        <v>363</v>
      </c>
      <c r="B539" t="s">
        <v>379</v>
      </c>
      <c r="C539" t="s">
        <v>383</v>
      </c>
      <c r="D539" s="3">
        <v>26</v>
      </c>
      <c r="E539" s="3">
        <v>123</v>
      </c>
      <c r="F539" s="3">
        <v>540</v>
      </c>
      <c r="G539" s="3">
        <v>120</v>
      </c>
      <c r="H539" t="str">
        <f t="shared" si="128"/>
        <v>26-123</v>
      </c>
      <c r="I539" t="b">
        <v>1</v>
      </c>
    </row>
    <row r="540" spans="1:9" x14ac:dyDescent="0.3">
      <c r="A540" t="s">
        <v>363</v>
      </c>
      <c r="B540" t="s">
        <v>379</v>
      </c>
      <c r="C540" t="s">
        <v>384</v>
      </c>
      <c r="D540" s="3">
        <v>26</v>
      </c>
      <c r="E540" s="3">
        <v>123</v>
      </c>
      <c r="F540" s="3">
        <v>541</v>
      </c>
      <c r="G540" s="3">
        <v>170</v>
      </c>
      <c r="H540" t="str">
        <f t="shared" si="128"/>
        <v>26-123</v>
      </c>
      <c r="I540" t="b">
        <v>1</v>
      </c>
    </row>
    <row r="541" spans="1:9" x14ac:dyDescent="0.3">
      <c r="A541" t="s">
        <v>363</v>
      </c>
      <c r="B541" t="s">
        <v>379</v>
      </c>
      <c r="C541" t="s">
        <v>326</v>
      </c>
      <c r="D541" s="3">
        <v>26</v>
      </c>
      <c r="E541" s="3">
        <v>123</v>
      </c>
      <c r="F541" s="3">
        <v>542</v>
      </c>
      <c r="G541" s="3">
        <v>60</v>
      </c>
      <c r="H541" t="str">
        <f t="shared" si="128"/>
        <v>26-123</v>
      </c>
      <c r="I541" t="b">
        <v>1</v>
      </c>
    </row>
    <row r="542" spans="1:9" x14ac:dyDescent="0.3">
      <c r="A542" t="s">
        <v>363</v>
      </c>
      <c r="B542" t="s">
        <v>379</v>
      </c>
      <c r="C542" t="s">
        <v>385</v>
      </c>
      <c r="D542" s="3">
        <v>26</v>
      </c>
      <c r="E542" s="3">
        <v>123</v>
      </c>
      <c r="F542" s="3">
        <v>543</v>
      </c>
      <c r="G542" s="3">
        <v>120</v>
      </c>
      <c r="H542" t="str">
        <f t="shared" si="128"/>
        <v>26-123</v>
      </c>
      <c r="I542" t="b">
        <v>1</v>
      </c>
    </row>
    <row r="543" spans="1:9" x14ac:dyDescent="0.3">
      <c r="A543" t="s">
        <v>363</v>
      </c>
      <c r="B543" t="s">
        <v>379</v>
      </c>
      <c r="C543" t="s">
        <v>27</v>
      </c>
      <c r="D543" s="3">
        <v>26</v>
      </c>
      <c r="E543" s="3">
        <v>123</v>
      </c>
      <c r="F543" s="3">
        <v>544</v>
      </c>
      <c r="G543" s="3">
        <v>70</v>
      </c>
      <c r="H543" t="str">
        <f t="shared" si="128"/>
        <v>26-123</v>
      </c>
      <c r="I543" t="b">
        <v>1</v>
      </c>
    </row>
    <row r="544" spans="1:9" x14ac:dyDescent="0.3">
      <c r="A544" t="s">
        <v>363</v>
      </c>
      <c r="B544" t="s">
        <v>379</v>
      </c>
      <c r="C544" t="s">
        <v>276</v>
      </c>
      <c r="D544" s="3">
        <v>26</v>
      </c>
      <c r="E544" s="3">
        <v>123</v>
      </c>
      <c r="F544" s="3">
        <v>545</v>
      </c>
      <c r="G544" s="3">
        <v>170</v>
      </c>
      <c r="H544" t="str">
        <f t="shared" si="128"/>
        <v>26-123</v>
      </c>
      <c r="I544" t="b">
        <v>1</v>
      </c>
    </row>
    <row r="545" spans="1:9" x14ac:dyDescent="0.3">
      <c r="A545" t="s">
        <v>363</v>
      </c>
      <c r="B545" t="s">
        <v>379</v>
      </c>
      <c r="C545" t="s">
        <v>386</v>
      </c>
      <c r="D545" s="3">
        <v>26</v>
      </c>
      <c r="E545" s="3">
        <v>123</v>
      </c>
      <c r="F545" s="3">
        <v>546</v>
      </c>
      <c r="G545" s="3">
        <v>50</v>
      </c>
      <c r="H545" t="str">
        <f t="shared" si="128"/>
        <v>26-123</v>
      </c>
      <c r="I545" t="b">
        <v>1</v>
      </c>
    </row>
    <row r="546" spans="1:9" x14ac:dyDescent="0.3">
      <c r="A546" t="s">
        <v>363</v>
      </c>
      <c r="B546" t="s">
        <v>379</v>
      </c>
      <c r="C546" t="s">
        <v>387</v>
      </c>
      <c r="D546" s="3">
        <v>26</v>
      </c>
      <c r="E546" s="3">
        <v>123</v>
      </c>
      <c r="F546" s="3">
        <v>547</v>
      </c>
      <c r="G546" s="3">
        <v>60</v>
      </c>
      <c r="H546" t="str">
        <f t="shared" si="128"/>
        <v>26-123</v>
      </c>
      <c r="I546" t="b">
        <v>1</v>
      </c>
    </row>
    <row r="547" spans="1:9" x14ac:dyDescent="0.3">
      <c r="A547" t="s">
        <v>363</v>
      </c>
      <c r="B547" t="s">
        <v>379</v>
      </c>
      <c r="C547" t="s">
        <v>388</v>
      </c>
      <c r="D547" s="3">
        <v>26</v>
      </c>
      <c r="E547" s="3">
        <v>123</v>
      </c>
      <c r="F547" s="3">
        <v>548</v>
      </c>
      <c r="G547" s="3">
        <v>100</v>
      </c>
      <c r="H547" t="str">
        <f t="shared" si="128"/>
        <v>26-123</v>
      </c>
      <c r="I547" t="b">
        <v>1</v>
      </c>
    </row>
    <row r="548" spans="1:9" x14ac:dyDescent="0.3">
      <c r="A548" t="s">
        <v>363</v>
      </c>
      <c r="B548" t="s">
        <v>379</v>
      </c>
      <c r="C548" t="s">
        <v>329</v>
      </c>
      <c r="D548" s="3">
        <v>26</v>
      </c>
      <c r="E548" s="3">
        <v>123</v>
      </c>
      <c r="F548" s="3">
        <v>549</v>
      </c>
      <c r="G548" s="3">
        <v>100</v>
      </c>
      <c r="H548" t="str">
        <f t="shared" si="128"/>
        <v>26-123</v>
      </c>
      <c r="I548" t="b">
        <v>1</v>
      </c>
    </row>
    <row r="549" spans="1:9" x14ac:dyDescent="0.3">
      <c r="A549" t="s">
        <v>363</v>
      </c>
      <c r="B549" t="s">
        <v>379</v>
      </c>
      <c r="C549" t="s">
        <v>217</v>
      </c>
      <c r="D549" s="3">
        <v>26</v>
      </c>
      <c r="E549" s="3">
        <v>123</v>
      </c>
      <c r="F549" s="3">
        <v>550</v>
      </c>
      <c r="G549" s="3">
        <v>150</v>
      </c>
      <c r="H549" t="str">
        <f t="shared" si="128"/>
        <v>26-123</v>
      </c>
      <c r="I549" t="b">
        <v>1</v>
      </c>
    </row>
    <row r="550" spans="1:9" x14ac:dyDescent="0.3">
      <c r="A550" t="s">
        <v>363</v>
      </c>
      <c r="B550" t="s">
        <v>379</v>
      </c>
      <c r="C550" t="s">
        <v>60</v>
      </c>
      <c r="D550" s="3">
        <v>26</v>
      </c>
      <c r="E550" s="3">
        <v>123</v>
      </c>
      <c r="F550" s="3">
        <v>551</v>
      </c>
      <c r="G550" s="3">
        <v>210</v>
      </c>
      <c r="H550" t="str">
        <f t="shared" si="128"/>
        <v>26-123</v>
      </c>
      <c r="I550" t="b">
        <v>1</v>
      </c>
    </row>
    <row r="551" spans="1:9" x14ac:dyDescent="0.3">
      <c r="A551" t="s">
        <v>363</v>
      </c>
      <c r="B551" t="s">
        <v>379</v>
      </c>
      <c r="C551" t="s">
        <v>303</v>
      </c>
      <c r="D551" s="3">
        <v>26</v>
      </c>
      <c r="E551" s="3">
        <v>123</v>
      </c>
      <c r="F551" s="3">
        <v>552</v>
      </c>
      <c r="G551" s="3">
        <v>60</v>
      </c>
      <c r="H551" t="str">
        <f t="shared" si="128"/>
        <v>26-123</v>
      </c>
      <c r="I551" t="b">
        <v>1</v>
      </c>
    </row>
    <row r="552" spans="1:9" x14ac:dyDescent="0.3">
      <c r="A552" t="s">
        <v>363</v>
      </c>
      <c r="B552" t="s">
        <v>379</v>
      </c>
      <c r="C552" t="s">
        <v>389</v>
      </c>
      <c r="D552" s="3">
        <v>26</v>
      </c>
      <c r="E552" s="3">
        <v>123</v>
      </c>
      <c r="F552" s="3">
        <v>553</v>
      </c>
      <c r="G552" s="3">
        <v>190</v>
      </c>
      <c r="H552" t="str">
        <f t="shared" si="128"/>
        <v>26-123</v>
      </c>
      <c r="I552" t="b">
        <v>1</v>
      </c>
    </row>
    <row r="553" spans="1:9" x14ac:dyDescent="0.3">
      <c r="A553" t="s">
        <v>832</v>
      </c>
      <c r="B553" t="s">
        <v>833</v>
      </c>
      <c r="C553" t="s">
        <v>834</v>
      </c>
      <c r="D553" s="3">
        <v>39</v>
      </c>
      <c r="E553" s="3">
        <v>124</v>
      </c>
      <c r="F553" s="3">
        <v>554</v>
      </c>
      <c r="G553" s="3">
        <v>30</v>
      </c>
      <c r="H553" t="str">
        <f t="shared" si="128"/>
        <v>39-124</v>
      </c>
      <c r="I553" t="b">
        <v>1</v>
      </c>
    </row>
    <row r="554" spans="1:9" x14ac:dyDescent="0.3">
      <c r="A554" t="s">
        <v>832</v>
      </c>
      <c r="B554" t="s">
        <v>833</v>
      </c>
      <c r="C554" t="s">
        <v>247</v>
      </c>
      <c r="D554" s="3">
        <v>39</v>
      </c>
      <c r="E554" s="3">
        <v>124</v>
      </c>
      <c r="F554" s="3">
        <v>555</v>
      </c>
      <c r="G554" s="3">
        <v>80</v>
      </c>
      <c r="H554" t="str">
        <f t="shared" si="128"/>
        <v>39-124</v>
      </c>
      <c r="I554" t="b">
        <v>1</v>
      </c>
    </row>
    <row r="555" spans="1:9" x14ac:dyDescent="0.3">
      <c r="A555" t="s">
        <v>832</v>
      </c>
      <c r="B555" t="s">
        <v>833</v>
      </c>
      <c r="C555" t="s">
        <v>835</v>
      </c>
      <c r="D555" s="3">
        <v>39</v>
      </c>
      <c r="E555" s="3">
        <v>124</v>
      </c>
      <c r="F555" s="3">
        <v>556</v>
      </c>
      <c r="G555" s="3">
        <v>50</v>
      </c>
      <c r="H555" t="str">
        <f t="shared" si="128"/>
        <v>39-124</v>
      </c>
      <c r="I555" t="b">
        <v>1</v>
      </c>
    </row>
    <row r="556" spans="1:9" x14ac:dyDescent="0.3">
      <c r="A556" t="s">
        <v>832</v>
      </c>
      <c r="B556" t="s">
        <v>833</v>
      </c>
      <c r="C556" t="s">
        <v>836</v>
      </c>
      <c r="D556" s="3">
        <v>39</v>
      </c>
      <c r="E556" s="3">
        <v>124</v>
      </c>
      <c r="F556" s="3">
        <v>557</v>
      </c>
      <c r="G556" s="3">
        <v>170</v>
      </c>
      <c r="H556" t="str">
        <f t="shared" si="128"/>
        <v>39-124</v>
      </c>
      <c r="I556" t="b">
        <v>1</v>
      </c>
    </row>
    <row r="557" spans="1:9" x14ac:dyDescent="0.3">
      <c r="A557" t="s">
        <v>832</v>
      </c>
      <c r="B557" t="s">
        <v>833</v>
      </c>
      <c r="C557" t="s">
        <v>196</v>
      </c>
      <c r="D557" s="3">
        <v>39</v>
      </c>
      <c r="E557" s="3">
        <v>124</v>
      </c>
      <c r="F557" s="3">
        <v>558</v>
      </c>
      <c r="G557" s="3">
        <v>110</v>
      </c>
      <c r="H557" t="str">
        <f t="shared" si="128"/>
        <v>39-124</v>
      </c>
      <c r="I557" t="b">
        <v>1</v>
      </c>
    </row>
    <row r="558" spans="1:9" x14ac:dyDescent="0.3">
      <c r="A558" t="s">
        <v>832</v>
      </c>
      <c r="B558" t="s">
        <v>833</v>
      </c>
      <c r="C558" t="s">
        <v>414</v>
      </c>
      <c r="D558" s="3">
        <v>39</v>
      </c>
      <c r="E558" s="3">
        <v>124</v>
      </c>
      <c r="F558" s="3">
        <v>559</v>
      </c>
      <c r="G558" s="3">
        <v>40</v>
      </c>
      <c r="H558" t="str">
        <f t="shared" si="128"/>
        <v>39-124</v>
      </c>
      <c r="I558" t="b">
        <v>1</v>
      </c>
    </row>
    <row r="559" spans="1:9" x14ac:dyDescent="0.3">
      <c r="A559" t="s">
        <v>832</v>
      </c>
      <c r="B559" t="s">
        <v>833</v>
      </c>
      <c r="C559" t="s">
        <v>204</v>
      </c>
      <c r="D559" s="3">
        <v>39</v>
      </c>
      <c r="E559" s="3">
        <v>124</v>
      </c>
      <c r="F559" s="3">
        <v>560</v>
      </c>
      <c r="G559" s="3">
        <v>50</v>
      </c>
      <c r="H559" t="str">
        <f t="shared" si="128"/>
        <v>39-124</v>
      </c>
      <c r="I559" t="b">
        <v>1</v>
      </c>
    </row>
    <row r="560" spans="1:9" x14ac:dyDescent="0.3">
      <c r="A560" t="s">
        <v>832</v>
      </c>
      <c r="B560" t="s">
        <v>833</v>
      </c>
      <c r="C560" t="s">
        <v>837</v>
      </c>
      <c r="D560" s="3">
        <v>39</v>
      </c>
      <c r="E560" s="3">
        <v>124</v>
      </c>
      <c r="F560" s="3">
        <v>561</v>
      </c>
      <c r="G560" s="3">
        <v>180</v>
      </c>
      <c r="H560" t="str">
        <f t="shared" si="128"/>
        <v>39-124</v>
      </c>
      <c r="I560" t="b">
        <v>1</v>
      </c>
    </row>
    <row r="561" spans="1:9" x14ac:dyDescent="0.3">
      <c r="A561" t="s">
        <v>832</v>
      </c>
      <c r="B561" t="s">
        <v>833</v>
      </c>
      <c r="C561" t="s">
        <v>212</v>
      </c>
      <c r="D561" s="3">
        <v>39</v>
      </c>
      <c r="E561" s="3">
        <v>124</v>
      </c>
      <c r="F561" s="3">
        <v>562</v>
      </c>
      <c r="G561" s="3">
        <v>390</v>
      </c>
      <c r="H561" t="str">
        <f t="shared" si="128"/>
        <v>39-124</v>
      </c>
      <c r="I561" t="b">
        <v>1</v>
      </c>
    </row>
    <row r="562" spans="1:9" x14ac:dyDescent="0.3">
      <c r="A562" t="s">
        <v>832</v>
      </c>
      <c r="B562" t="s">
        <v>833</v>
      </c>
      <c r="C562" t="s">
        <v>60</v>
      </c>
      <c r="D562" s="3">
        <v>39</v>
      </c>
      <c r="E562" s="3">
        <v>124</v>
      </c>
      <c r="F562" s="3">
        <v>563</v>
      </c>
      <c r="G562" s="3">
        <v>50</v>
      </c>
      <c r="H562" t="str">
        <f t="shared" si="128"/>
        <v>39-124</v>
      </c>
      <c r="I562" t="b">
        <v>1</v>
      </c>
    </row>
    <row r="563" spans="1:9" x14ac:dyDescent="0.3">
      <c r="A563" t="s">
        <v>832</v>
      </c>
      <c r="B563" t="s">
        <v>833</v>
      </c>
      <c r="C563" t="s">
        <v>838</v>
      </c>
      <c r="D563" s="3">
        <v>39</v>
      </c>
      <c r="E563" s="3">
        <v>124</v>
      </c>
      <c r="F563" s="3">
        <v>564</v>
      </c>
      <c r="G563" s="3">
        <v>20</v>
      </c>
      <c r="H563" t="str">
        <f t="shared" si="128"/>
        <v>39-124</v>
      </c>
      <c r="I563" t="b">
        <v>1</v>
      </c>
    </row>
    <row r="564" spans="1:9" x14ac:dyDescent="0.3">
      <c r="A564" t="s">
        <v>832</v>
      </c>
      <c r="B564" t="s">
        <v>833</v>
      </c>
      <c r="C564" t="s">
        <v>839</v>
      </c>
      <c r="D564" s="3">
        <v>39</v>
      </c>
      <c r="E564" s="3">
        <v>124</v>
      </c>
      <c r="F564" s="3">
        <v>565</v>
      </c>
      <c r="G564" s="3">
        <v>50</v>
      </c>
      <c r="H564" t="str">
        <f t="shared" si="128"/>
        <v>39-124</v>
      </c>
      <c r="I564" t="b">
        <v>1</v>
      </c>
    </row>
    <row r="565" spans="1:9" x14ac:dyDescent="0.3">
      <c r="A565" t="s">
        <v>832</v>
      </c>
      <c r="B565" t="s">
        <v>833</v>
      </c>
      <c r="C565" t="s">
        <v>840</v>
      </c>
      <c r="D565" s="3">
        <v>39</v>
      </c>
      <c r="E565" s="3">
        <v>124</v>
      </c>
      <c r="F565" s="3">
        <v>566</v>
      </c>
      <c r="G565" s="3">
        <v>30</v>
      </c>
      <c r="H565" t="str">
        <f t="shared" si="128"/>
        <v>39-124</v>
      </c>
      <c r="I565" t="b">
        <v>1</v>
      </c>
    </row>
    <row r="566" spans="1:9" x14ac:dyDescent="0.3">
      <c r="A566" t="s">
        <v>536</v>
      </c>
      <c r="B566" t="s">
        <v>562</v>
      </c>
      <c r="C566" t="s">
        <v>546</v>
      </c>
      <c r="D566" s="3">
        <v>30</v>
      </c>
      <c r="E566" s="3">
        <v>125</v>
      </c>
      <c r="F566" s="3">
        <v>567</v>
      </c>
      <c r="G566" s="3">
        <v>70</v>
      </c>
      <c r="H566" t="str">
        <f t="shared" si="128"/>
        <v>30-125</v>
      </c>
      <c r="I566" t="b">
        <v>1</v>
      </c>
    </row>
    <row r="567" spans="1:9" x14ac:dyDescent="0.3">
      <c r="A567" t="s">
        <v>363</v>
      </c>
      <c r="B567" t="s">
        <v>390</v>
      </c>
      <c r="C567" t="s">
        <v>391</v>
      </c>
      <c r="D567" s="3">
        <v>26</v>
      </c>
      <c r="E567" s="3">
        <v>126</v>
      </c>
      <c r="F567" s="3">
        <v>568</v>
      </c>
      <c r="G567" s="3">
        <v>140</v>
      </c>
      <c r="H567" t="str">
        <f t="shared" si="128"/>
        <v>26-126</v>
      </c>
      <c r="I567" t="b">
        <v>1</v>
      </c>
    </row>
    <row r="568" spans="1:9" x14ac:dyDescent="0.3">
      <c r="A568" t="s">
        <v>363</v>
      </c>
      <c r="B568" t="s">
        <v>390</v>
      </c>
      <c r="C568" t="s">
        <v>392</v>
      </c>
      <c r="D568" s="3">
        <v>26</v>
      </c>
      <c r="E568" s="3">
        <v>126</v>
      </c>
      <c r="F568" s="3">
        <v>569</v>
      </c>
      <c r="G568" s="3">
        <v>120</v>
      </c>
      <c r="H568" t="str">
        <f t="shared" si="128"/>
        <v>26-126</v>
      </c>
      <c r="I568" t="b">
        <v>1</v>
      </c>
    </row>
    <row r="569" spans="1:9" x14ac:dyDescent="0.3">
      <c r="A569" t="s">
        <v>363</v>
      </c>
      <c r="B569" t="s">
        <v>390</v>
      </c>
      <c r="C569" t="s">
        <v>393</v>
      </c>
      <c r="D569" s="3">
        <v>26</v>
      </c>
      <c r="E569" s="3">
        <v>126</v>
      </c>
      <c r="F569" s="3">
        <v>570</v>
      </c>
      <c r="G569" s="3">
        <v>40</v>
      </c>
      <c r="H569" t="str">
        <f t="shared" si="128"/>
        <v>26-126</v>
      </c>
      <c r="I569" t="b">
        <v>1</v>
      </c>
    </row>
    <row r="570" spans="1:9" x14ac:dyDescent="0.3">
      <c r="A570" t="s">
        <v>363</v>
      </c>
      <c r="B570" t="s">
        <v>390</v>
      </c>
      <c r="C570" t="s">
        <v>394</v>
      </c>
      <c r="D570" s="3">
        <v>26</v>
      </c>
      <c r="E570" s="3">
        <v>126</v>
      </c>
      <c r="F570" s="3">
        <v>571</v>
      </c>
      <c r="G570" s="3">
        <v>40</v>
      </c>
      <c r="H570" t="str">
        <f t="shared" si="128"/>
        <v>26-126</v>
      </c>
      <c r="I570" t="b">
        <v>1</v>
      </c>
    </row>
    <row r="571" spans="1:9" x14ac:dyDescent="0.3">
      <c r="A571" t="s">
        <v>363</v>
      </c>
      <c r="B571" t="s">
        <v>390</v>
      </c>
      <c r="C571" t="s">
        <v>64</v>
      </c>
      <c r="D571" s="3">
        <v>26</v>
      </c>
      <c r="E571" s="3">
        <v>126</v>
      </c>
      <c r="F571" s="3">
        <v>572</v>
      </c>
      <c r="G571" s="3">
        <v>390</v>
      </c>
      <c r="H571" t="str">
        <f t="shared" si="128"/>
        <v>26-126</v>
      </c>
      <c r="I571" t="b">
        <v>1</v>
      </c>
    </row>
    <row r="572" spans="1:9" x14ac:dyDescent="0.3">
      <c r="A572" t="s">
        <v>363</v>
      </c>
      <c r="B572" t="s">
        <v>390</v>
      </c>
      <c r="C572" t="s">
        <v>395</v>
      </c>
      <c r="D572" s="3">
        <v>26</v>
      </c>
      <c r="E572" s="3">
        <v>126</v>
      </c>
      <c r="F572" s="3">
        <v>573</v>
      </c>
      <c r="G572" s="3">
        <v>120</v>
      </c>
      <c r="H572" t="str">
        <f t="shared" si="128"/>
        <v>26-126</v>
      </c>
      <c r="I572" t="b">
        <v>1</v>
      </c>
    </row>
    <row r="573" spans="1:9" x14ac:dyDescent="0.3">
      <c r="A573" t="s">
        <v>363</v>
      </c>
      <c r="B573" t="s">
        <v>390</v>
      </c>
      <c r="C573" t="s">
        <v>396</v>
      </c>
      <c r="D573" s="3">
        <v>26</v>
      </c>
      <c r="E573" s="3">
        <v>126</v>
      </c>
      <c r="F573" s="3">
        <v>574</v>
      </c>
      <c r="G573" s="3">
        <v>80</v>
      </c>
      <c r="H573" t="str">
        <f t="shared" si="128"/>
        <v>26-126</v>
      </c>
      <c r="I573" t="b">
        <v>1</v>
      </c>
    </row>
    <row r="574" spans="1:9" x14ac:dyDescent="0.3">
      <c r="A574" t="s">
        <v>363</v>
      </c>
      <c r="B574" t="s">
        <v>390</v>
      </c>
      <c r="C574" t="s">
        <v>397</v>
      </c>
      <c r="D574" s="3">
        <v>26</v>
      </c>
      <c r="E574" s="3">
        <v>126</v>
      </c>
      <c r="F574" s="3">
        <v>575</v>
      </c>
      <c r="G574" s="3">
        <v>190</v>
      </c>
      <c r="H574" t="str">
        <f t="shared" si="128"/>
        <v>26-126</v>
      </c>
      <c r="I574" t="b">
        <v>1</v>
      </c>
    </row>
    <row r="575" spans="1:9" x14ac:dyDescent="0.3">
      <c r="A575" t="s">
        <v>363</v>
      </c>
      <c r="B575" t="s">
        <v>390</v>
      </c>
      <c r="C575" t="s">
        <v>398</v>
      </c>
      <c r="D575" s="3">
        <v>26</v>
      </c>
      <c r="E575" s="3">
        <v>126</v>
      </c>
      <c r="F575" s="3">
        <v>576</v>
      </c>
      <c r="G575" s="3">
        <v>50</v>
      </c>
      <c r="H575" t="str">
        <f t="shared" si="128"/>
        <v>26-126</v>
      </c>
      <c r="I575" t="b">
        <v>1</v>
      </c>
    </row>
    <row r="576" spans="1:9" x14ac:dyDescent="0.3">
      <c r="A576" t="s">
        <v>363</v>
      </c>
      <c r="B576" t="s">
        <v>390</v>
      </c>
      <c r="C576" t="s">
        <v>399</v>
      </c>
      <c r="D576" s="3">
        <v>26</v>
      </c>
      <c r="E576" s="3">
        <v>126</v>
      </c>
      <c r="F576" s="3">
        <v>577</v>
      </c>
      <c r="G576" s="3">
        <v>50</v>
      </c>
      <c r="H576" t="str">
        <f t="shared" si="128"/>
        <v>26-126</v>
      </c>
      <c r="I576" t="b">
        <v>1</v>
      </c>
    </row>
    <row r="577" spans="1:9" x14ac:dyDescent="0.3">
      <c r="A577" t="s">
        <v>363</v>
      </c>
      <c r="B577" t="s">
        <v>390</v>
      </c>
      <c r="C577" t="s">
        <v>400</v>
      </c>
      <c r="D577" s="3">
        <v>26</v>
      </c>
      <c r="E577" s="3">
        <v>126</v>
      </c>
      <c r="F577" s="3">
        <v>578</v>
      </c>
      <c r="G577" s="3">
        <v>30</v>
      </c>
      <c r="H577" t="str">
        <f t="shared" si="128"/>
        <v>26-126</v>
      </c>
      <c r="I577" t="b">
        <v>1</v>
      </c>
    </row>
    <row r="578" spans="1:9" x14ac:dyDescent="0.3">
      <c r="A578" t="s">
        <v>363</v>
      </c>
      <c r="B578" t="s">
        <v>390</v>
      </c>
      <c r="C578" t="s">
        <v>21</v>
      </c>
      <c r="D578" s="3">
        <v>26</v>
      </c>
      <c r="E578" s="3">
        <v>126</v>
      </c>
      <c r="F578" s="3">
        <v>579</v>
      </c>
      <c r="G578" s="3">
        <v>360</v>
      </c>
      <c r="H578" t="str">
        <f t="shared" si="128"/>
        <v>26-126</v>
      </c>
      <c r="I578" t="b">
        <v>1</v>
      </c>
    </row>
    <row r="579" spans="1:9" x14ac:dyDescent="0.3">
      <c r="A579" t="s">
        <v>363</v>
      </c>
      <c r="B579" t="s">
        <v>390</v>
      </c>
      <c r="C579" t="s">
        <v>236</v>
      </c>
      <c r="D579" s="3">
        <v>26</v>
      </c>
      <c r="E579" s="3">
        <v>126</v>
      </c>
      <c r="F579" s="3">
        <v>580</v>
      </c>
      <c r="G579" s="3">
        <v>130</v>
      </c>
      <c r="H579" t="str">
        <f t="shared" ref="H579:H642" si="129">_xlfn.CONCAT(D579,"-",E579)</f>
        <v>26-126</v>
      </c>
      <c r="I579" t="b">
        <v>1</v>
      </c>
    </row>
    <row r="580" spans="1:9" x14ac:dyDescent="0.3">
      <c r="A580" t="s">
        <v>363</v>
      </c>
      <c r="B580" t="s">
        <v>390</v>
      </c>
      <c r="C580" t="s">
        <v>401</v>
      </c>
      <c r="D580" s="3">
        <v>26</v>
      </c>
      <c r="E580" s="3">
        <v>126</v>
      </c>
      <c r="F580" s="3">
        <v>581</v>
      </c>
      <c r="G580" s="3">
        <v>80</v>
      </c>
      <c r="H580" t="str">
        <f t="shared" si="129"/>
        <v>26-126</v>
      </c>
      <c r="I580" t="b">
        <v>1</v>
      </c>
    </row>
    <row r="581" spans="1:9" x14ac:dyDescent="0.3">
      <c r="A581" t="s">
        <v>363</v>
      </c>
      <c r="B581" t="s">
        <v>390</v>
      </c>
      <c r="C581" t="s">
        <v>402</v>
      </c>
      <c r="D581" s="3">
        <v>26</v>
      </c>
      <c r="E581" s="3">
        <v>126</v>
      </c>
      <c r="F581" s="3">
        <v>582</v>
      </c>
      <c r="G581" s="3">
        <v>40</v>
      </c>
      <c r="H581" t="str">
        <f t="shared" si="129"/>
        <v>26-126</v>
      </c>
      <c r="I581" t="b">
        <v>1</v>
      </c>
    </row>
    <row r="582" spans="1:9" x14ac:dyDescent="0.3">
      <c r="A582" t="s">
        <v>363</v>
      </c>
      <c r="B582" t="s">
        <v>390</v>
      </c>
      <c r="C582" t="s">
        <v>403</v>
      </c>
      <c r="D582" s="3">
        <v>26</v>
      </c>
      <c r="E582" s="3">
        <v>126</v>
      </c>
      <c r="F582" s="3">
        <v>583</v>
      </c>
      <c r="G582" s="3">
        <v>50</v>
      </c>
      <c r="H582" t="str">
        <f t="shared" si="129"/>
        <v>26-126</v>
      </c>
      <c r="I582" t="b">
        <v>1</v>
      </c>
    </row>
    <row r="583" spans="1:9" x14ac:dyDescent="0.3">
      <c r="A583" t="s">
        <v>363</v>
      </c>
      <c r="B583" t="s">
        <v>390</v>
      </c>
      <c r="C583" t="s">
        <v>404</v>
      </c>
      <c r="D583" s="3">
        <v>26</v>
      </c>
      <c r="E583" s="3">
        <v>126</v>
      </c>
      <c r="F583" s="3">
        <v>584</v>
      </c>
      <c r="G583" s="3">
        <v>170</v>
      </c>
      <c r="H583" t="str">
        <f t="shared" si="129"/>
        <v>26-126</v>
      </c>
      <c r="I583" t="b">
        <v>1</v>
      </c>
    </row>
    <row r="584" spans="1:9" x14ac:dyDescent="0.3">
      <c r="A584" t="s">
        <v>363</v>
      </c>
      <c r="B584" t="s">
        <v>390</v>
      </c>
      <c r="C584" t="s">
        <v>114</v>
      </c>
      <c r="D584" s="3">
        <v>26</v>
      </c>
      <c r="E584" s="3">
        <v>126</v>
      </c>
      <c r="F584" s="3">
        <v>585</v>
      </c>
      <c r="G584" s="3">
        <v>130</v>
      </c>
      <c r="H584" t="str">
        <f t="shared" si="129"/>
        <v>26-126</v>
      </c>
      <c r="I584" t="b">
        <v>1</v>
      </c>
    </row>
    <row r="585" spans="1:9" x14ac:dyDescent="0.3">
      <c r="A585" t="s">
        <v>363</v>
      </c>
      <c r="B585" t="s">
        <v>390</v>
      </c>
      <c r="C585" t="s">
        <v>405</v>
      </c>
      <c r="D585" s="3">
        <v>26</v>
      </c>
      <c r="E585" s="3">
        <v>126</v>
      </c>
      <c r="F585" s="3">
        <v>586</v>
      </c>
      <c r="G585" s="3">
        <v>80</v>
      </c>
      <c r="H585" t="str">
        <f t="shared" si="129"/>
        <v>26-126</v>
      </c>
      <c r="I585" t="b">
        <v>1</v>
      </c>
    </row>
    <row r="586" spans="1:9" x14ac:dyDescent="0.3">
      <c r="A586" t="s">
        <v>363</v>
      </c>
      <c r="B586" t="s">
        <v>390</v>
      </c>
      <c r="C586" t="s">
        <v>406</v>
      </c>
      <c r="D586" s="3">
        <v>26</v>
      </c>
      <c r="E586" s="3">
        <v>126</v>
      </c>
      <c r="F586" s="3">
        <v>587</v>
      </c>
      <c r="G586" s="3">
        <v>170</v>
      </c>
      <c r="H586" t="str">
        <f t="shared" si="129"/>
        <v>26-126</v>
      </c>
      <c r="I586" t="b">
        <v>1</v>
      </c>
    </row>
    <row r="587" spans="1:9" x14ac:dyDescent="0.3">
      <c r="A587" t="s">
        <v>363</v>
      </c>
      <c r="B587" t="s">
        <v>390</v>
      </c>
      <c r="C587" t="s">
        <v>407</v>
      </c>
      <c r="D587" s="3">
        <v>26</v>
      </c>
      <c r="E587" s="3">
        <v>126</v>
      </c>
      <c r="F587" s="3">
        <v>588</v>
      </c>
      <c r="G587" s="3">
        <v>950</v>
      </c>
      <c r="H587" t="str">
        <f t="shared" si="129"/>
        <v>26-126</v>
      </c>
      <c r="I587" t="b">
        <v>1</v>
      </c>
    </row>
    <row r="588" spans="1:9" x14ac:dyDescent="0.3">
      <c r="A588" t="s">
        <v>363</v>
      </c>
      <c r="B588" t="s">
        <v>390</v>
      </c>
      <c r="C588" t="s">
        <v>408</v>
      </c>
      <c r="D588" s="3">
        <v>26</v>
      </c>
      <c r="E588" s="3">
        <v>126</v>
      </c>
      <c r="F588" s="3">
        <v>589</v>
      </c>
      <c r="G588" s="3">
        <v>1090</v>
      </c>
      <c r="H588" t="str">
        <f t="shared" si="129"/>
        <v>26-126</v>
      </c>
      <c r="I588" t="b">
        <v>1</v>
      </c>
    </row>
    <row r="589" spans="1:9" x14ac:dyDescent="0.3">
      <c r="A589" t="s">
        <v>363</v>
      </c>
      <c r="B589" t="s">
        <v>390</v>
      </c>
      <c r="C589" t="s">
        <v>409</v>
      </c>
      <c r="D589" s="3">
        <v>26</v>
      </c>
      <c r="E589" s="3">
        <v>126</v>
      </c>
      <c r="F589" s="3">
        <v>590</v>
      </c>
      <c r="G589" s="3">
        <v>240</v>
      </c>
      <c r="H589" t="str">
        <f t="shared" si="129"/>
        <v>26-126</v>
      </c>
      <c r="I589" t="b">
        <v>1</v>
      </c>
    </row>
    <row r="590" spans="1:9" x14ac:dyDescent="0.3">
      <c r="A590" t="s">
        <v>363</v>
      </c>
      <c r="B590" t="s">
        <v>390</v>
      </c>
      <c r="C590" t="s">
        <v>410</v>
      </c>
      <c r="D590" s="3">
        <v>26</v>
      </c>
      <c r="E590" s="3">
        <v>126</v>
      </c>
      <c r="F590" s="3">
        <v>591</v>
      </c>
      <c r="G590" s="3">
        <v>40</v>
      </c>
      <c r="H590" t="str">
        <f t="shared" si="129"/>
        <v>26-126</v>
      </c>
      <c r="I590" t="b">
        <v>1</v>
      </c>
    </row>
    <row r="591" spans="1:9" x14ac:dyDescent="0.3">
      <c r="A591" t="s">
        <v>363</v>
      </c>
      <c r="B591" t="s">
        <v>390</v>
      </c>
      <c r="C591" t="s">
        <v>60</v>
      </c>
      <c r="D591" s="3">
        <v>26</v>
      </c>
      <c r="E591" s="3">
        <v>126</v>
      </c>
      <c r="F591" s="3">
        <v>592</v>
      </c>
      <c r="G591" s="3">
        <v>1420</v>
      </c>
      <c r="H591" t="str">
        <f t="shared" si="129"/>
        <v>26-126</v>
      </c>
      <c r="I591" t="b">
        <v>1</v>
      </c>
    </row>
    <row r="592" spans="1:9" x14ac:dyDescent="0.3">
      <c r="A592" t="s">
        <v>593</v>
      </c>
      <c r="B592" t="s">
        <v>681</v>
      </c>
      <c r="C592" t="s">
        <v>682</v>
      </c>
      <c r="D592" s="3">
        <v>31</v>
      </c>
      <c r="E592" s="3">
        <v>127</v>
      </c>
      <c r="F592" s="3">
        <v>593</v>
      </c>
      <c r="G592" s="3">
        <v>220</v>
      </c>
      <c r="H592" t="str">
        <f t="shared" si="129"/>
        <v>31-127</v>
      </c>
      <c r="I592" t="b">
        <v>1</v>
      </c>
    </row>
    <row r="593" spans="1:9" x14ac:dyDescent="0.3">
      <c r="A593" t="s">
        <v>354</v>
      </c>
      <c r="B593" t="s">
        <v>360</v>
      </c>
      <c r="C593" t="s">
        <v>361</v>
      </c>
      <c r="D593" s="3">
        <v>25</v>
      </c>
      <c r="E593" s="3">
        <v>128</v>
      </c>
      <c r="F593" s="3">
        <v>594</v>
      </c>
      <c r="G593" s="3">
        <v>140</v>
      </c>
      <c r="H593" t="str">
        <f t="shared" si="129"/>
        <v>25-128</v>
      </c>
      <c r="I593" t="b">
        <v>1</v>
      </c>
    </row>
    <row r="594" spans="1:9" x14ac:dyDescent="0.3">
      <c r="A594" t="s">
        <v>354</v>
      </c>
      <c r="B594" t="s">
        <v>360</v>
      </c>
      <c r="C594" t="s">
        <v>362</v>
      </c>
      <c r="D594" s="3">
        <v>25</v>
      </c>
      <c r="E594" s="3">
        <v>128</v>
      </c>
      <c r="F594" s="3">
        <v>595</v>
      </c>
      <c r="G594" s="3">
        <v>120</v>
      </c>
      <c r="H594" t="str">
        <f t="shared" si="129"/>
        <v>25-128</v>
      </c>
      <c r="I594" t="b">
        <v>1</v>
      </c>
    </row>
    <row r="595" spans="1:9" x14ac:dyDescent="0.3">
      <c r="A595" t="s">
        <v>869</v>
      </c>
      <c r="B595" t="s">
        <v>870</v>
      </c>
      <c r="C595" t="s">
        <v>126</v>
      </c>
      <c r="D595" s="3">
        <v>48</v>
      </c>
      <c r="E595" s="3">
        <v>129</v>
      </c>
      <c r="F595" s="3">
        <v>596</v>
      </c>
      <c r="G595" s="3">
        <v>50</v>
      </c>
      <c r="H595" t="str">
        <f t="shared" si="129"/>
        <v>48-129</v>
      </c>
      <c r="I595" t="b">
        <v>1</v>
      </c>
    </row>
    <row r="596" spans="1:9" x14ac:dyDescent="0.3">
      <c r="A596" t="s">
        <v>869</v>
      </c>
      <c r="B596" t="s">
        <v>870</v>
      </c>
      <c r="C596" t="s">
        <v>871</v>
      </c>
      <c r="D596" s="3">
        <v>48</v>
      </c>
      <c r="E596" s="3">
        <v>129</v>
      </c>
      <c r="F596" s="3">
        <v>597</v>
      </c>
      <c r="G596" s="3">
        <v>70</v>
      </c>
      <c r="H596" t="str">
        <f t="shared" si="129"/>
        <v>48-129</v>
      </c>
      <c r="I596" t="b">
        <v>1</v>
      </c>
    </row>
    <row r="597" spans="1:9" x14ac:dyDescent="0.3">
      <c r="A597" t="s">
        <v>869</v>
      </c>
      <c r="B597" t="s">
        <v>870</v>
      </c>
      <c r="C597" t="s">
        <v>872</v>
      </c>
      <c r="D597" s="3">
        <v>48</v>
      </c>
      <c r="E597" s="3">
        <v>129</v>
      </c>
      <c r="F597" s="3">
        <v>598</v>
      </c>
      <c r="G597" s="3">
        <v>40</v>
      </c>
      <c r="H597" t="str">
        <f t="shared" si="129"/>
        <v>48-129</v>
      </c>
      <c r="I597" t="b">
        <v>1</v>
      </c>
    </row>
    <row r="598" spans="1:9" x14ac:dyDescent="0.3">
      <c r="A598" t="s">
        <v>75</v>
      </c>
      <c r="B598" t="s">
        <v>80</v>
      </c>
      <c r="C598" t="s">
        <v>81</v>
      </c>
      <c r="D598" s="3">
        <v>7</v>
      </c>
      <c r="E598" s="3">
        <v>130</v>
      </c>
      <c r="F598" s="3">
        <v>599</v>
      </c>
      <c r="G598" s="3">
        <v>1300</v>
      </c>
      <c r="H598" t="str">
        <f t="shared" si="129"/>
        <v>7-130</v>
      </c>
      <c r="I598" t="b">
        <v>1</v>
      </c>
    </row>
    <row r="599" spans="1:9" x14ac:dyDescent="0.3">
      <c r="A599" t="s">
        <v>536</v>
      </c>
      <c r="B599" t="s">
        <v>563</v>
      </c>
      <c r="C599" t="s">
        <v>564</v>
      </c>
      <c r="D599" s="3">
        <v>30</v>
      </c>
      <c r="E599" s="3">
        <v>131</v>
      </c>
      <c r="F599" s="3">
        <v>600</v>
      </c>
      <c r="G599" s="3">
        <v>10</v>
      </c>
      <c r="H599" t="str">
        <f t="shared" si="129"/>
        <v>30-131</v>
      </c>
      <c r="I599" t="b">
        <v>1</v>
      </c>
    </row>
    <row r="600" spans="1:9" x14ac:dyDescent="0.3">
      <c r="A600" t="s">
        <v>536</v>
      </c>
      <c r="B600" t="s">
        <v>563</v>
      </c>
      <c r="C600" t="s">
        <v>565</v>
      </c>
      <c r="D600" s="3">
        <v>30</v>
      </c>
      <c r="E600" s="3">
        <v>131</v>
      </c>
      <c r="F600" s="3">
        <v>601</v>
      </c>
      <c r="G600" s="3">
        <v>130</v>
      </c>
      <c r="H600" t="str">
        <f t="shared" si="129"/>
        <v>30-131</v>
      </c>
      <c r="I600" t="b">
        <v>1</v>
      </c>
    </row>
    <row r="601" spans="1:9" x14ac:dyDescent="0.3">
      <c r="A601" t="s">
        <v>536</v>
      </c>
      <c r="B601" t="s">
        <v>563</v>
      </c>
      <c r="C601" t="s">
        <v>566</v>
      </c>
      <c r="D601" s="3">
        <v>30</v>
      </c>
      <c r="E601" s="3">
        <v>131</v>
      </c>
      <c r="F601" s="3">
        <v>602</v>
      </c>
      <c r="G601" s="3">
        <v>80</v>
      </c>
      <c r="H601" t="str">
        <f t="shared" si="129"/>
        <v>30-131</v>
      </c>
      <c r="I601" t="b">
        <v>1</v>
      </c>
    </row>
    <row r="602" spans="1:9" x14ac:dyDescent="0.3">
      <c r="A602" t="s">
        <v>536</v>
      </c>
      <c r="B602" t="s">
        <v>563</v>
      </c>
      <c r="C602" t="s">
        <v>567</v>
      </c>
      <c r="D602" s="3">
        <v>30</v>
      </c>
      <c r="E602" s="3">
        <v>131</v>
      </c>
      <c r="F602" s="3">
        <v>603</v>
      </c>
      <c r="G602" s="3">
        <v>60</v>
      </c>
      <c r="H602" t="str">
        <f t="shared" si="129"/>
        <v>30-131</v>
      </c>
      <c r="I602" t="b">
        <v>1</v>
      </c>
    </row>
    <row r="603" spans="1:9" x14ac:dyDescent="0.3">
      <c r="A603" t="s">
        <v>536</v>
      </c>
      <c r="B603" t="s">
        <v>563</v>
      </c>
      <c r="C603" t="s">
        <v>487</v>
      </c>
      <c r="D603" s="3">
        <v>30</v>
      </c>
      <c r="E603" s="3">
        <v>131</v>
      </c>
      <c r="F603" s="3">
        <v>604</v>
      </c>
      <c r="G603" s="3">
        <v>180</v>
      </c>
      <c r="H603" t="str">
        <f t="shared" si="129"/>
        <v>30-131</v>
      </c>
      <c r="I603" t="b">
        <v>1</v>
      </c>
    </row>
    <row r="604" spans="1:9" x14ac:dyDescent="0.3">
      <c r="A604" t="s">
        <v>536</v>
      </c>
      <c r="B604" t="s">
        <v>563</v>
      </c>
      <c r="C604" t="s">
        <v>386</v>
      </c>
      <c r="D604" s="3">
        <v>30</v>
      </c>
      <c r="E604" s="3">
        <v>131</v>
      </c>
      <c r="F604" s="3">
        <v>605</v>
      </c>
      <c r="G604" s="3">
        <v>160</v>
      </c>
      <c r="H604" t="str">
        <f t="shared" si="129"/>
        <v>30-131</v>
      </c>
      <c r="I604" t="b">
        <v>1</v>
      </c>
    </row>
    <row r="605" spans="1:9" x14ac:dyDescent="0.3">
      <c r="A605" t="s">
        <v>536</v>
      </c>
      <c r="B605" t="s">
        <v>563</v>
      </c>
      <c r="C605" t="s">
        <v>568</v>
      </c>
      <c r="D605" s="3">
        <v>30</v>
      </c>
      <c r="E605" s="3">
        <v>131</v>
      </c>
      <c r="F605" s="3">
        <v>606</v>
      </c>
      <c r="G605" s="3">
        <v>140</v>
      </c>
      <c r="H605" t="str">
        <f t="shared" si="129"/>
        <v>30-131</v>
      </c>
      <c r="I605" t="b">
        <v>1</v>
      </c>
    </row>
    <row r="606" spans="1:9" x14ac:dyDescent="0.3">
      <c r="A606" t="s">
        <v>536</v>
      </c>
      <c r="B606" t="s">
        <v>563</v>
      </c>
      <c r="C606" t="s">
        <v>569</v>
      </c>
      <c r="D606" s="3">
        <v>30</v>
      </c>
      <c r="E606" s="3">
        <v>131</v>
      </c>
      <c r="F606" s="3">
        <v>607</v>
      </c>
      <c r="G606" s="3">
        <v>250</v>
      </c>
      <c r="H606" t="str">
        <f t="shared" si="129"/>
        <v>30-131</v>
      </c>
      <c r="I606" t="b">
        <v>1</v>
      </c>
    </row>
    <row r="607" spans="1:9" x14ac:dyDescent="0.3">
      <c r="A607" t="s">
        <v>536</v>
      </c>
      <c r="B607" t="s">
        <v>563</v>
      </c>
      <c r="C607" t="s">
        <v>570</v>
      </c>
      <c r="D607" s="3">
        <v>30</v>
      </c>
      <c r="E607" s="3">
        <v>131</v>
      </c>
      <c r="F607" s="3">
        <v>608</v>
      </c>
      <c r="G607" s="3">
        <v>30</v>
      </c>
      <c r="H607" t="str">
        <f t="shared" si="129"/>
        <v>30-131</v>
      </c>
      <c r="I607" t="b">
        <v>1</v>
      </c>
    </row>
    <row r="608" spans="1:9" x14ac:dyDescent="0.3">
      <c r="A608" t="s">
        <v>536</v>
      </c>
      <c r="B608" t="s">
        <v>563</v>
      </c>
      <c r="C608" t="s">
        <v>18</v>
      </c>
      <c r="D608" s="3">
        <v>30</v>
      </c>
      <c r="E608" s="3">
        <v>131</v>
      </c>
      <c r="F608" s="3">
        <v>609</v>
      </c>
      <c r="G608" s="3">
        <v>140</v>
      </c>
      <c r="H608" t="str">
        <f t="shared" si="129"/>
        <v>30-131</v>
      </c>
      <c r="I608" t="b">
        <v>1</v>
      </c>
    </row>
    <row r="609" spans="1:9" x14ac:dyDescent="0.3">
      <c r="A609" t="s">
        <v>536</v>
      </c>
      <c r="B609" t="s">
        <v>563</v>
      </c>
      <c r="C609" t="s">
        <v>307</v>
      </c>
      <c r="D609" s="3">
        <v>30</v>
      </c>
      <c r="E609" s="3">
        <v>131</v>
      </c>
      <c r="F609" s="3">
        <v>610</v>
      </c>
      <c r="G609" s="3">
        <v>100</v>
      </c>
      <c r="H609" t="str">
        <f t="shared" si="129"/>
        <v>30-131</v>
      </c>
      <c r="I609" t="b">
        <v>1</v>
      </c>
    </row>
    <row r="610" spans="1:9" x14ac:dyDescent="0.3">
      <c r="A610" t="s">
        <v>134</v>
      </c>
      <c r="B610" t="s">
        <v>142</v>
      </c>
      <c r="C610" t="s">
        <v>143</v>
      </c>
      <c r="D610" s="3">
        <v>10</v>
      </c>
      <c r="E610" s="3">
        <v>132</v>
      </c>
      <c r="F610" s="3">
        <v>611</v>
      </c>
      <c r="G610" s="3">
        <v>910</v>
      </c>
      <c r="H610" t="str">
        <f t="shared" si="129"/>
        <v>10-132</v>
      </c>
      <c r="I610" t="b">
        <v>1</v>
      </c>
    </row>
    <row r="611" spans="1:9" x14ac:dyDescent="0.3">
      <c r="A611" t="s">
        <v>456</v>
      </c>
      <c r="B611" t="s">
        <v>520</v>
      </c>
      <c r="C611" t="s">
        <v>521</v>
      </c>
      <c r="D611" s="3">
        <v>29</v>
      </c>
      <c r="E611" s="3">
        <v>133</v>
      </c>
      <c r="F611" s="3">
        <v>612</v>
      </c>
      <c r="G611" s="3">
        <v>30</v>
      </c>
      <c r="H611" t="str">
        <f t="shared" si="129"/>
        <v>29-133</v>
      </c>
      <c r="I611" t="b">
        <v>1</v>
      </c>
    </row>
    <row r="612" spans="1:9" x14ac:dyDescent="0.3">
      <c r="A612" t="s">
        <v>456</v>
      </c>
      <c r="B612" t="s">
        <v>520</v>
      </c>
      <c r="C612" t="s">
        <v>287</v>
      </c>
      <c r="D612" s="3">
        <v>29</v>
      </c>
      <c r="E612" s="3">
        <v>133</v>
      </c>
      <c r="F612" s="3">
        <v>613</v>
      </c>
      <c r="G612" s="3">
        <v>80</v>
      </c>
      <c r="H612" t="str">
        <f t="shared" si="129"/>
        <v>29-133</v>
      </c>
      <c r="I612" t="b">
        <v>1</v>
      </c>
    </row>
    <row r="613" spans="1:9" x14ac:dyDescent="0.3">
      <c r="A613" t="s">
        <v>456</v>
      </c>
      <c r="B613" t="s">
        <v>522</v>
      </c>
      <c r="C613" t="s">
        <v>523</v>
      </c>
      <c r="D613" s="3">
        <v>29</v>
      </c>
      <c r="E613" s="3">
        <v>134</v>
      </c>
      <c r="F613" s="3">
        <v>614</v>
      </c>
      <c r="G613" s="3">
        <v>70</v>
      </c>
      <c r="H613" t="str">
        <f t="shared" si="129"/>
        <v>29-134</v>
      </c>
      <c r="I613" t="b">
        <v>1</v>
      </c>
    </row>
    <row r="614" spans="1:9" x14ac:dyDescent="0.3">
      <c r="A614" t="s">
        <v>536</v>
      </c>
      <c r="B614" t="s">
        <v>571</v>
      </c>
      <c r="C614" t="s">
        <v>572</v>
      </c>
      <c r="D614" s="3">
        <v>30</v>
      </c>
      <c r="E614" s="3">
        <v>135</v>
      </c>
      <c r="F614" s="3">
        <v>615</v>
      </c>
      <c r="G614" s="3">
        <v>1130</v>
      </c>
      <c r="H614" t="str">
        <f t="shared" si="129"/>
        <v>30-135</v>
      </c>
      <c r="I614" t="b">
        <v>1</v>
      </c>
    </row>
    <row r="615" spans="1:9" x14ac:dyDescent="0.3">
      <c r="A615" t="s">
        <v>593</v>
      </c>
      <c r="B615" t="s">
        <v>683</v>
      </c>
      <c r="C615" t="s">
        <v>684</v>
      </c>
      <c r="D615" s="3">
        <v>31</v>
      </c>
      <c r="E615" s="3">
        <v>136</v>
      </c>
      <c r="F615" s="3">
        <v>616</v>
      </c>
      <c r="G615" s="3">
        <v>590</v>
      </c>
      <c r="H615" t="str">
        <f t="shared" si="129"/>
        <v>31-136</v>
      </c>
      <c r="I615" t="b">
        <v>1</v>
      </c>
    </row>
    <row r="616" spans="1:9" x14ac:dyDescent="0.3">
      <c r="A616" t="s">
        <v>593</v>
      </c>
      <c r="B616" t="s">
        <v>683</v>
      </c>
      <c r="C616" t="s">
        <v>685</v>
      </c>
      <c r="D616" s="3">
        <v>31</v>
      </c>
      <c r="E616" s="3">
        <v>136</v>
      </c>
      <c r="F616" s="3">
        <v>617</v>
      </c>
      <c r="G616" s="3">
        <v>390</v>
      </c>
      <c r="H616" t="str">
        <f t="shared" si="129"/>
        <v>31-136</v>
      </c>
      <c r="I616" t="b">
        <v>1</v>
      </c>
    </row>
    <row r="617" spans="1:9" x14ac:dyDescent="0.3">
      <c r="A617" t="s">
        <v>593</v>
      </c>
      <c r="B617" t="s">
        <v>683</v>
      </c>
      <c r="C617" t="s">
        <v>686</v>
      </c>
      <c r="D617" s="3">
        <v>31</v>
      </c>
      <c r="E617" s="3">
        <v>136</v>
      </c>
      <c r="F617" s="3">
        <v>618</v>
      </c>
      <c r="G617" s="3">
        <v>60</v>
      </c>
      <c r="H617" t="str">
        <f t="shared" si="129"/>
        <v>31-136</v>
      </c>
      <c r="I617" t="b">
        <v>1</v>
      </c>
    </row>
    <row r="618" spans="1:9" x14ac:dyDescent="0.3">
      <c r="A618" t="s">
        <v>593</v>
      </c>
      <c r="B618" t="s">
        <v>683</v>
      </c>
      <c r="C618" t="s">
        <v>687</v>
      </c>
      <c r="D618" s="3">
        <v>31</v>
      </c>
      <c r="E618" s="3">
        <v>136</v>
      </c>
      <c r="F618" s="3">
        <v>619</v>
      </c>
      <c r="G618" s="3">
        <v>150</v>
      </c>
      <c r="H618" t="str">
        <f t="shared" si="129"/>
        <v>31-136</v>
      </c>
      <c r="I618" t="b">
        <v>1</v>
      </c>
    </row>
    <row r="619" spans="1:9" x14ac:dyDescent="0.3">
      <c r="A619" t="s">
        <v>363</v>
      </c>
      <c r="B619" t="s">
        <v>411</v>
      </c>
      <c r="C619" t="s">
        <v>412</v>
      </c>
      <c r="D619" s="3">
        <v>26</v>
      </c>
      <c r="E619" s="3">
        <v>137</v>
      </c>
      <c r="F619" s="3">
        <v>620</v>
      </c>
      <c r="G619" s="3">
        <v>1420</v>
      </c>
      <c r="H619" t="str">
        <f t="shared" si="129"/>
        <v>26-137</v>
      </c>
      <c r="I619" t="b">
        <v>1</v>
      </c>
    </row>
    <row r="620" spans="1:9" x14ac:dyDescent="0.3">
      <c r="A620" t="s">
        <v>808</v>
      </c>
      <c r="B620" t="s">
        <v>829</v>
      </c>
      <c r="C620" t="s">
        <v>830</v>
      </c>
      <c r="D620" s="3">
        <v>38</v>
      </c>
      <c r="E620" s="3">
        <v>138</v>
      </c>
      <c r="F620" s="3">
        <v>621</v>
      </c>
      <c r="G620" s="3">
        <v>50</v>
      </c>
      <c r="H620" t="str">
        <f t="shared" si="129"/>
        <v>38-138</v>
      </c>
      <c r="I620" t="b">
        <v>1</v>
      </c>
    </row>
    <row r="621" spans="1:9" x14ac:dyDescent="0.3">
      <c r="A621" t="s">
        <v>308</v>
      </c>
      <c r="B621" t="s">
        <v>313</v>
      </c>
      <c r="C621" t="s">
        <v>314</v>
      </c>
      <c r="D621" s="3">
        <v>18</v>
      </c>
      <c r="E621" s="3">
        <v>139</v>
      </c>
      <c r="F621" s="3">
        <v>622</v>
      </c>
      <c r="G621" s="3">
        <v>120</v>
      </c>
      <c r="H621" t="str">
        <f t="shared" si="129"/>
        <v>18-139</v>
      </c>
      <c r="I621" t="b">
        <v>1</v>
      </c>
    </row>
    <row r="622" spans="1:9" x14ac:dyDescent="0.3">
      <c r="A622" t="s">
        <v>848</v>
      </c>
      <c r="B622" t="s">
        <v>849</v>
      </c>
      <c r="C622" t="s">
        <v>850</v>
      </c>
      <c r="D622" s="3">
        <v>42</v>
      </c>
      <c r="E622" s="3">
        <v>140</v>
      </c>
      <c r="F622" s="3">
        <v>623</v>
      </c>
      <c r="G622" s="3">
        <v>60</v>
      </c>
      <c r="H622" t="str">
        <f t="shared" si="129"/>
        <v>42-140</v>
      </c>
      <c r="I622" t="b">
        <v>1</v>
      </c>
    </row>
    <row r="623" spans="1:9" x14ac:dyDescent="0.3">
      <c r="A623" t="s">
        <v>848</v>
      </c>
      <c r="B623" t="s">
        <v>849</v>
      </c>
      <c r="C623" t="s">
        <v>543</v>
      </c>
      <c r="D623" s="3">
        <v>42</v>
      </c>
      <c r="E623" s="3">
        <v>140</v>
      </c>
      <c r="F623" s="3">
        <v>624</v>
      </c>
      <c r="G623" s="3">
        <v>60</v>
      </c>
      <c r="H623" t="str">
        <f t="shared" si="129"/>
        <v>42-140</v>
      </c>
      <c r="I623" t="b">
        <v>1</v>
      </c>
    </row>
    <row r="624" spans="1:9" x14ac:dyDescent="0.3">
      <c r="A624" t="s">
        <v>848</v>
      </c>
      <c r="B624" t="s">
        <v>849</v>
      </c>
      <c r="C624" t="s">
        <v>851</v>
      </c>
      <c r="D624" s="3">
        <v>42</v>
      </c>
      <c r="E624" s="3">
        <v>140</v>
      </c>
      <c r="F624" s="3">
        <v>625</v>
      </c>
      <c r="G624" s="3">
        <v>40</v>
      </c>
      <c r="H624" t="str">
        <f t="shared" si="129"/>
        <v>42-140</v>
      </c>
      <c r="I624" t="b">
        <v>1</v>
      </c>
    </row>
    <row r="625" spans="1:9" x14ac:dyDescent="0.3">
      <c r="A625" t="s">
        <v>536</v>
      </c>
      <c r="B625" t="s">
        <v>573</v>
      </c>
      <c r="C625" t="s">
        <v>546</v>
      </c>
      <c r="D625" s="3">
        <v>30</v>
      </c>
      <c r="E625" s="3">
        <v>142</v>
      </c>
      <c r="F625" s="3">
        <v>626</v>
      </c>
      <c r="G625" s="3">
        <v>60</v>
      </c>
      <c r="H625" t="str">
        <f t="shared" si="129"/>
        <v>30-142</v>
      </c>
      <c r="I625" t="b">
        <v>1</v>
      </c>
    </row>
    <row r="626" spans="1:9" x14ac:dyDescent="0.3">
      <c r="A626" t="s">
        <v>536</v>
      </c>
      <c r="B626" t="s">
        <v>573</v>
      </c>
      <c r="C626" t="s">
        <v>117</v>
      </c>
      <c r="D626" s="3">
        <v>30</v>
      </c>
      <c r="E626" s="3">
        <v>142</v>
      </c>
      <c r="F626" s="3">
        <v>627</v>
      </c>
      <c r="G626" s="3">
        <v>110</v>
      </c>
      <c r="H626" t="str">
        <f t="shared" si="129"/>
        <v>30-142</v>
      </c>
      <c r="I626" t="b">
        <v>1</v>
      </c>
    </row>
    <row r="627" spans="1:9" x14ac:dyDescent="0.3">
      <c r="A627" t="s">
        <v>536</v>
      </c>
      <c r="B627" t="s">
        <v>573</v>
      </c>
      <c r="C627" t="s">
        <v>574</v>
      </c>
      <c r="D627" s="3">
        <v>30</v>
      </c>
      <c r="E627" s="3">
        <v>142</v>
      </c>
      <c r="F627" s="3">
        <v>628</v>
      </c>
      <c r="G627" s="3">
        <v>130</v>
      </c>
      <c r="H627" t="str">
        <f t="shared" si="129"/>
        <v>30-142</v>
      </c>
      <c r="I627" t="b">
        <v>1</v>
      </c>
    </row>
    <row r="628" spans="1:9" x14ac:dyDescent="0.3">
      <c r="A628" t="s">
        <v>832</v>
      </c>
      <c r="B628" t="s">
        <v>841</v>
      </c>
      <c r="C628" t="s">
        <v>842</v>
      </c>
      <c r="D628" s="3">
        <v>39</v>
      </c>
      <c r="E628" s="3">
        <v>143</v>
      </c>
      <c r="F628" s="3">
        <v>629</v>
      </c>
      <c r="G628" s="3">
        <v>50</v>
      </c>
      <c r="H628" t="str">
        <f t="shared" si="129"/>
        <v>39-143</v>
      </c>
      <c r="I628" t="b">
        <v>1</v>
      </c>
    </row>
    <row r="629" spans="1:9" x14ac:dyDescent="0.3">
      <c r="A629" t="s">
        <v>536</v>
      </c>
      <c r="B629" t="s">
        <v>575</v>
      </c>
      <c r="C629" t="s">
        <v>576</v>
      </c>
      <c r="D629" s="3">
        <v>30</v>
      </c>
      <c r="E629" s="3">
        <v>144</v>
      </c>
      <c r="F629" s="3">
        <v>630</v>
      </c>
      <c r="G629" s="3">
        <v>50</v>
      </c>
      <c r="H629" t="str">
        <f t="shared" si="129"/>
        <v>30-144</v>
      </c>
      <c r="I629" t="b">
        <v>1</v>
      </c>
    </row>
    <row r="630" spans="1:9" x14ac:dyDescent="0.3">
      <c r="A630" t="s">
        <v>536</v>
      </c>
      <c r="B630" t="s">
        <v>577</v>
      </c>
      <c r="C630" t="s">
        <v>578</v>
      </c>
      <c r="D630" s="3">
        <v>30</v>
      </c>
      <c r="E630" s="3">
        <v>145</v>
      </c>
      <c r="F630" s="3">
        <v>631</v>
      </c>
      <c r="G630" s="3">
        <v>40</v>
      </c>
      <c r="H630" t="str">
        <f t="shared" si="129"/>
        <v>30-145</v>
      </c>
      <c r="I630" t="b">
        <v>1</v>
      </c>
    </row>
    <row r="631" spans="1:9" x14ac:dyDescent="0.3">
      <c r="A631" t="s">
        <v>536</v>
      </c>
      <c r="B631" t="s">
        <v>577</v>
      </c>
      <c r="C631" t="s">
        <v>579</v>
      </c>
      <c r="D631" s="3">
        <v>30</v>
      </c>
      <c r="E631" s="3">
        <v>145</v>
      </c>
      <c r="F631" s="3">
        <v>632</v>
      </c>
      <c r="G631" s="3">
        <v>120</v>
      </c>
      <c r="H631" t="str">
        <f t="shared" si="129"/>
        <v>30-145</v>
      </c>
      <c r="I631" t="b">
        <v>1</v>
      </c>
    </row>
    <row r="632" spans="1:9" x14ac:dyDescent="0.3">
      <c r="A632" t="s">
        <v>536</v>
      </c>
      <c r="B632" t="s">
        <v>577</v>
      </c>
      <c r="C632" t="s">
        <v>580</v>
      </c>
      <c r="D632" s="3">
        <v>30</v>
      </c>
      <c r="E632" s="3">
        <v>145</v>
      </c>
      <c r="F632" s="3">
        <v>633</v>
      </c>
      <c r="G632" s="3">
        <v>90</v>
      </c>
      <c r="H632" t="str">
        <f t="shared" si="129"/>
        <v>30-145</v>
      </c>
      <c r="I632" t="b">
        <v>1</v>
      </c>
    </row>
    <row r="633" spans="1:9" x14ac:dyDescent="0.3">
      <c r="A633" t="s">
        <v>536</v>
      </c>
      <c r="B633" t="s">
        <v>581</v>
      </c>
      <c r="C633" t="s">
        <v>582</v>
      </c>
      <c r="D633" s="3">
        <v>30</v>
      </c>
      <c r="E633" s="3">
        <v>146</v>
      </c>
      <c r="F633" s="3">
        <v>634</v>
      </c>
      <c r="G633" s="3">
        <v>30</v>
      </c>
      <c r="H633" t="str">
        <f t="shared" si="129"/>
        <v>30-146</v>
      </c>
      <c r="I633" t="b">
        <v>1</v>
      </c>
    </row>
    <row r="634" spans="1:9" x14ac:dyDescent="0.3">
      <c r="A634" t="s">
        <v>222</v>
      </c>
      <c r="B634" t="s">
        <v>229</v>
      </c>
      <c r="C634" t="s">
        <v>230</v>
      </c>
      <c r="D634" s="3">
        <v>16</v>
      </c>
      <c r="E634" s="3">
        <v>147</v>
      </c>
      <c r="F634" s="3">
        <v>635</v>
      </c>
      <c r="G634" s="3">
        <v>200</v>
      </c>
      <c r="H634" t="str">
        <f t="shared" si="129"/>
        <v>16-147</v>
      </c>
      <c r="I634" t="b">
        <v>1</v>
      </c>
    </row>
    <row r="635" spans="1:9" x14ac:dyDescent="0.3">
      <c r="A635" t="s">
        <v>222</v>
      </c>
      <c r="B635" t="s">
        <v>229</v>
      </c>
      <c r="C635" t="s">
        <v>107</v>
      </c>
      <c r="D635" s="3">
        <v>16</v>
      </c>
      <c r="E635" s="3">
        <v>147</v>
      </c>
      <c r="F635" s="3">
        <v>636</v>
      </c>
      <c r="G635" s="3">
        <v>870</v>
      </c>
      <c r="H635" t="str">
        <f t="shared" si="129"/>
        <v>16-147</v>
      </c>
      <c r="I635" t="b">
        <v>1</v>
      </c>
    </row>
    <row r="636" spans="1:9" x14ac:dyDescent="0.3">
      <c r="A636" t="s">
        <v>593</v>
      </c>
      <c r="B636" t="s">
        <v>688</v>
      </c>
      <c r="C636" t="s">
        <v>689</v>
      </c>
      <c r="D636" s="3">
        <v>31</v>
      </c>
      <c r="E636" s="3">
        <v>148</v>
      </c>
      <c r="F636" s="3">
        <v>637</v>
      </c>
      <c r="G636" s="3">
        <v>200</v>
      </c>
      <c r="H636" t="str">
        <f t="shared" si="129"/>
        <v>31-148</v>
      </c>
      <c r="I636" t="b">
        <v>1</v>
      </c>
    </row>
    <row r="637" spans="1:9" x14ac:dyDescent="0.3">
      <c r="A637" t="s">
        <v>593</v>
      </c>
      <c r="B637" t="s">
        <v>688</v>
      </c>
      <c r="C637" t="s">
        <v>690</v>
      </c>
      <c r="D637" s="3">
        <v>31</v>
      </c>
      <c r="E637" s="3">
        <v>148</v>
      </c>
      <c r="F637" s="3">
        <v>638</v>
      </c>
      <c r="G637" s="3">
        <v>130</v>
      </c>
      <c r="H637" t="str">
        <f t="shared" si="129"/>
        <v>31-148</v>
      </c>
      <c r="I637" t="b">
        <v>1</v>
      </c>
    </row>
    <row r="638" spans="1:9" x14ac:dyDescent="0.3">
      <c r="A638" t="s">
        <v>593</v>
      </c>
      <c r="B638" t="s">
        <v>688</v>
      </c>
      <c r="C638" t="s">
        <v>691</v>
      </c>
      <c r="D638" s="3">
        <v>31</v>
      </c>
      <c r="E638" s="3">
        <v>148</v>
      </c>
      <c r="F638" s="3">
        <v>639</v>
      </c>
      <c r="G638" s="3">
        <v>600</v>
      </c>
      <c r="H638" t="str">
        <f t="shared" si="129"/>
        <v>31-148</v>
      </c>
      <c r="I638" t="b">
        <v>1</v>
      </c>
    </row>
    <row r="639" spans="1:9" x14ac:dyDescent="0.3">
      <c r="A639" t="s">
        <v>593</v>
      </c>
      <c r="B639" t="s">
        <v>688</v>
      </c>
      <c r="C639" t="s">
        <v>692</v>
      </c>
      <c r="D639" s="3">
        <v>31</v>
      </c>
      <c r="E639" s="3">
        <v>148</v>
      </c>
      <c r="F639" s="3">
        <v>640</v>
      </c>
      <c r="G639" s="3">
        <v>990</v>
      </c>
      <c r="H639" t="str">
        <f t="shared" si="129"/>
        <v>31-148</v>
      </c>
      <c r="I639" t="b">
        <v>1</v>
      </c>
    </row>
    <row r="640" spans="1:9" x14ac:dyDescent="0.3">
      <c r="A640" t="s">
        <v>593</v>
      </c>
      <c r="B640" t="s">
        <v>688</v>
      </c>
      <c r="C640" t="s">
        <v>18</v>
      </c>
      <c r="D640" s="3">
        <v>31</v>
      </c>
      <c r="E640" s="3">
        <v>148</v>
      </c>
      <c r="F640" s="3">
        <v>641</v>
      </c>
      <c r="G640" s="3">
        <v>30</v>
      </c>
      <c r="H640" t="str">
        <f t="shared" si="129"/>
        <v>31-148</v>
      </c>
      <c r="I640" t="b">
        <v>1</v>
      </c>
    </row>
    <row r="641" spans="1:9" x14ac:dyDescent="0.3">
      <c r="A641" t="s">
        <v>363</v>
      </c>
      <c r="B641" t="s">
        <v>413</v>
      </c>
      <c r="C641" t="s">
        <v>414</v>
      </c>
      <c r="D641" s="3">
        <v>26</v>
      </c>
      <c r="E641" s="3">
        <v>149</v>
      </c>
      <c r="F641" s="3">
        <v>642</v>
      </c>
      <c r="G641" s="3">
        <v>70</v>
      </c>
      <c r="H641" t="str">
        <f t="shared" si="129"/>
        <v>26-149</v>
      </c>
      <c r="I641" t="b">
        <v>1</v>
      </c>
    </row>
    <row r="642" spans="1:9" x14ac:dyDescent="0.3">
      <c r="A642" t="s">
        <v>363</v>
      </c>
      <c r="B642" t="s">
        <v>413</v>
      </c>
      <c r="C642" t="s">
        <v>415</v>
      </c>
      <c r="D642" s="3">
        <v>26</v>
      </c>
      <c r="E642" s="3">
        <v>149</v>
      </c>
      <c r="F642" s="3">
        <v>643</v>
      </c>
      <c r="G642" s="3">
        <v>80</v>
      </c>
      <c r="H642" t="str">
        <f t="shared" si="129"/>
        <v>26-149</v>
      </c>
      <c r="I642" t="b">
        <v>1</v>
      </c>
    </row>
    <row r="643" spans="1:9" x14ac:dyDescent="0.3">
      <c r="A643" t="s">
        <v>363</v>
      </c>
      <c r="B643" t="s">
        <v>413</v>
      </c>
      <c r="C643" t="s">
        <v>60</v>
      </c>
      <c r="D643" s="3">
        <v>26</v>
      </c>
      <c r="E643" s="3">
        <v>149</v>
      </c>
      <c r="F643" s="3">
        <v>644</v>
      </c>
      <c r="G643" s="3">
        <v>30</v>
      </c>
      <c r="H643" t="str">
        <f t="shared" ref="H643:H706" si="130">_xlfn.CONCAT(D643,"-",E643)</f>
        <v>26-149</v>
      </c>
      <c r="I643" t="b">
        <v>1</v>
      </c>
    </row>
    <row r="644" spans="1:9" x14ac:dyDescent="0.3">
      <c r="A644" t="s">
        <v>852</v>
      </c>
      <c r="B644" t="s">
        <v>853</v>
      </c>
      <c r="C644" t="s">
        <v>854</v>
      </c>
      <c r="D644" s="3">
        <v>43</v>
      </c>
      <c r="E644" s="3">
        <v>150</v>
      </c>
      <c r="F644" s="3">
        <v>645</v>
      </c>
      <c r="G644" s="3">
        <v>10</v>
      </c>
      <c r="H644" t="str">
        <f t="shared" si="130"/>
        <v>43-150</v>
      </c>
      <c r="I644" t="b">
        <v>1</v>
      </c>
    </row>
    <row r="645" spans="1:9" x14ac:dyDescent="0.3">
      <c r="A645" t="s">
        <v>852</v>
      </c>
      <c r="B645" t="s">
        <v>853</v>
      </c>
      <c r="C645" t="s">
        <v>855</v>
      </c>
      <c r="D645" s="3">
        <v>43</v>
      </c>
      <c r="E645" s="3">
        <v>150</v>
      </c>
      <c r="F645" s="3">
        <v>646</v>
      </c>
      <c r="G645" s="3">
        <v>200</v>
      </c>
      <c r="H645" t="str">
        <f t="shared" si="130"/>
        <v>43-150</v>
      </c>
      <c r="I645" t="b">
        <v>1</v>
      </c>
    </row>
    <row r="646" spans="1:9" x14ac:dyDescent="0.3">
      <c r="A646" t="s">
        <v>593</v>
      </c>
      <c r="B646" t="s">
        <v>693</v>
      </c>
      <c r="C646" t="s">
        <v>214</v>
      </c>
      <c r="D646" s="3">
        <v>31</v>
      </c>
      <c r="E646" s="3">
        <v>151</v>
      </c>
      <c r="F646" s="3">
        <v>647</v>
      </c>
      <c r="G646" s="3">
        <v>120</v>
      </c>
      <c r="H646" t="str">
        <f t="shared" si="130"/>
        <v>31-151</v>
      </c>
      <c r="I646" t="b">
        <v>1</v>
      </c>
    </row>
    <row r="647" spans="1:9" x14ac:dyDescent="0.3">
      <c r="A647" t="s">
        <v>875</v>
      </c>
      <c r="B647" t="s">
        <v>896</v>
      </c>
      <c r="C647" t="s">
        <v>897</v>
      </c>
      <c r="D647" s="3">
        <v>50</v>
      </c>
      <c r="E647" s="3">
        <v>152</v>
      </c>
      <c r="F647" s="3">
        <v>648</v>
      </c>
      <c r="G647" s="3">
        <v>70</v>
      </c>
      <c r="H647" t="str">
        <f t="shared" si="130"/>
        <v>50-152</v>
      </c>
      <c r="I647" t="b">
        <v>1</v>
      </c>
    </row>
    <row r="648" spans="1:9" x14ac:dyDescent="0.3">
      <c r="A648" t="s">
        <v>875</v>
      </c>
      <c r="B648" t="s">
        <v>896</v>
      </c>
      <c r="C648" t="s">
        <v>898</v>
      </c>
      <c r="D648" s="3">
        <v>50</v>
      </c>
      <c r="E648" s="3">
        <v>152</v>
      </c>
      <c r="F648" s="3">
        <v>649</v>
      </c>
      <c r="G648" s="3">
        <v>40</v>
      </c>
      <c r="H648" t="str">
        <f t="shared" si="130"/>
        <v>50-152</v>
      </c>
      <c r="I648" t="b">
        <v>1</v>
      </c>
    </row>
    <row r="649" spans="1:9" x14ac:dyDescent="0.3">
      <c r="A649" t="s">
        <v>875</v>
      </c>
      <c r="B649" t="s">
        <v>896</v>
      </c>
      <c r="C649" t="s">
        <v>899</v>
      </c>
      <c r="D649" s="3">
        <v>50</v>
      </c>
      <c r="E649" s="3">
        <v>152</v>
      </c>
      <c r="F649" s="3">
        <v>650</v>
      </c>
      <c r="G649" s="3">
        <v>40</v>
      </c>
      <c r="H649" t="str">
        <f t="shared" si="130"/>
        <v>50-152</v>
      </c>
      <c r="I649" t="b">
        <v>1</v>
      </c>
    </row>
    <row r="650" spans="1:9" x14ac:dyDescent="0.3">
      <c r="A650" t="s">
        <v>875</v>
      </c>
      <c r="B650" t="s">
        <v>896</v>
      </c>
      <c r="C650" t="s">
        <v>900</v>
      </c>
      <c r="D650" s="3">
        <v>50</v>
      </c>
      <c r="E650" s="3">
        <v>152</v>
      </c>
      <c r="F650" s="3">
        <v>651</v>
      </c>
      <c r="G650" s="3">
        <v>20</v>
      </c>
      <c r="H650" t="str">
        <f t="shared" si="130"/>
        <v>50-152</v>
      </c>
      <c r="I650" t="b">
        <v>1</v>
      </c>
    </row>
    <row r="651" spans="1:9" x14ac:dyDescent="0.3">
      <c r="A651" t="s">
        <v>875</v>
      </c>
      <c r="B651" t="s">
        <v>896</v>
      </c>
      <c r="C651" t="s">
        <v>901</v>
      </c>
      <c r="D651" s="3">
        <v>50</v>
      </c>
      <c r="E651" s="3">
        <v>152</v>
      </c>
      <c r="F651" s="3">
        <v>652</v>
      </c>
      <c r="G651" s="3">
        <v>100</v>
      </c>
      <c r="H651" t="str">
        <f t="shared" si="130"/>
        <v>50-152</v>
      </c>
      <c r="I651" t="b">
        <v>1</v>
      </c>
    </row>
    <row r="652" spans="1:9" x14ac:dyDescent="0.3">
      <c r="A652" t="s">
        <v>875</v>
      </c>
      <c r="B652" t="s">
        <v>896</v>
      </c>
      <c r="C652" t="s">
        <v>902</v>
      </c>
      <c r="D652" s="3">
        <v>50</v>
      </c>
      <c r="E652" s="3">
        <v>152</v>
      </c>
      <c r="F652" s="3">
        <v>653</v>
      </c>
      <c r="G652" s="3">
        <v>30</v>
      </c>
      <c r="H652" t="str">
        <f t="shared" si="130"/>
        <v>50-152</v>
      </c>
      <c r="I652" t="b">
        <v>1</v>
      </c>
    </row>
    <row r="653" spans="1:9" x14ac:dyDescent="0.3">
      <c r="A653" t="s">
        <v>875</v>
      </c>
      <c r="B653" t="s">
        <v>896</v>
      </c>
      <c r="C653" t="s">
        <v>903</v>
      </c>
      <c r="D653" s="3">
        <v>50</v>
      </c>
      <c r="E653" s="3">
        <v>152</v>
      </c>
      <c r="F653" s="3">
        <v>654</v>
      </c>
      <c r="G653" s="3">
        <v>560</v>
      </c>
      <c r="H653" t="str">
        <f t="shared" si="130"/>
        <v>50-152</v>
      </c>
      <c r="I653" t="b">
        <v>1</v>
      </c>
    </row>
    <row r="654" spans="1:9" x14ac:dyDescent="0.3">
      <c r="A654" t="s">
        <v>875</v>
      </c>
      <c r="B654" t="s">
        <v>896</v>
      </c>
      <c r="C654" t="s">
        <v>400</v>
      </c>
      <c r="D654" s="3">
        <v>50</v>
      </c>
      <c r="E654" s="3">
        <v>152</v>
      </c>
      <c r="F654" s="3">
        <v>655</v>
      </c>
      <c r="G654" s="3">
        <v>270</v>
      </c>
      <c r="H654" t="str">
        <f t="shared" si="130"/>
        <v>50-152</v>
      </c>
      <c r="I654" t="b">
        <v>1</v>
      </c>
    </row>
    <row r="655" spans="1:9" x14ac:dyDescent="0.3">
      <c r="A655" t="s">
        <v>875</v>
      </c>
      <c r="B655" t="s">
        <v>896</v>
      </c>
      <c r="C655" t="s">
        <v>904</v>
      </c>
      <c r="D655" s="3">
        <v>50</v>
      </c>
      <c r="E655" s="3">
        <v>152</v>
      </c>
      <c r="F655" s="3">
        <v>656</v>
      </c>
      <c r="G655" s="3">
        <v>30</v>
      </c>
      <c r="H655" t="str">
        <f t="shared" si="130"/>
        <v>50-152</v>
      </c>
      <c r="I655" t="b">
        <v>1</v>
      </c>
    </row>
    <row r="656" spans="1:9" x14ac:dyDescent="0.3">
      <c r="A656" t="s">
        <v>875</v>
      </c>
      <c r="B656" t="s">
        <v>896</v>
      </c>
      <c r="C656" t="s">
        <v>21</v>
      </c>
      <c r="D656" s="3">
        <v>50</v>
      </c>
      <c r="E656" s="3">
        <v>152</v>
      </c>
      <c r="F656" s="3">
        <v>657</v>
      </c>
      <c r="G656" s="3">
        <v>200</v>
      </c>
      <c r="H656" t="str">
        <f t="shared" si="130"/>
        <v>50-152</v>
      </c>
      <c r="I656" t="b">
        <v>1</v>
      </c>
    </row>
    <row r="657" spans="1:9" x14ac:dyDescent="0.3">
      <c r="A657" t="s">
        <v>875</v>
      </c>
      <c r="B657" t="s">
        <v>896</v>
      </c>
      <c r="C657" t="s">
        <v>905</v>
      </c>
      <c r="D657" s="3">
        <v>50</v>
      </c>
      <c r="E657" s="3">
        <v>152</v>
      </c>
      <c r="F657" s="3">
        <v>658</v>
      </c>
      <c r="G657" s="3">
        <v>200</v>
      </c>
      <c r="H657" t="str">
        <f t="shared" si="130"/>
        <v>50-152</v>
      </c>
      <c r="I657" t="b">
        <v>1</v>
      </c>
    </row>
    <row r="658" spans="1:9" x14ac:dyDescent="0.3">
      <c r="A658" t="s">
        <v>875</v>
      </c>
      <c r="B658" t="s">
        <v>896</v>
      </c>
      <c r="C658" t="s">
        <v>906</v>
      </c>
      <c r="D658" s="3">
        <v>50</v>
      </c>
      <c r="E658" s="3">
        <v>152</v>
      </c>
      <c r="F658" s="3">
        <v>659</v>
      </c>
      <c r="G658" s="3">
        <v>120</v>
      </c>
      <c r="H658" t="str">
        <f t="shared" si="130"/>
        <v>50-152</v>
      </c>
      <c r="I658" t="b">
        <v>1</v>
      </c>
    </row>
    <row r="659" spans="1:9" x14ac:dyDescent="0.3">
      <c r="A659" t="s">
        <v>875</v>
      </c>
      <c r="B659" t="s">
        <v>896</v>
      </c>
      <c r="C659" t="s">
        <v>907</v>
      </c>
      <c r="D659" s="3">
        <v>50</v>
      </c>
      <c r="E659" s="3">
        <v>152</v>
      </c>
      <c r="F659" s="3">
        <v>660</v>
      </c>
      <c r="G659" s="3">
        <v>70</v>
      </c>
      <c r="H659" t="str">
        <f t="shared" si="130"/>
        <v>50-152</v>
      </c>
      <c r="I659" t="b">
        <v>1</v>
      </c>
    </row>
    <row r="660" spans="1:9" x14ac:dyDescent="0.3">
      <c r="A660" t="s">
        <v>875</v>
      </c>
      <c r="B660" t="s">
        <v>896</v>
      </c>
      <c r="C660" t="s">
        <v>414</v>
      </c>
      <c r="D660" s="3">
        <v>50</v>
      </c>
      <c r="E660" s="3">
        <v>152</v>
      </c>
      <c r="F660" s="3">
        <v>661</v>
      </c>
      <c r="G660" s="3">
        <v>80</v>
      </c>
      <c r="H660" t="str">
        <f t="shared" si="130"/>
        <v>50-152</v>
      </c>
      <c r="I660" t="b">
        <v>1</v>
      </c>
    </row>
    <row r="661" spans="1:9" x14ac:dyDescent="0.3">
      <c r="A661" t="s">
        <v>875</v>
      </c>
      <c r="B661" t="s">
        <v>896</v>
      </c>
      <c r="C661" t="s">
        <v>908</v>
      </c>
      <c r="D661" s="3">
        <v>50</v>
      </c>
      <c r="E661" s="3">
        <v>152</v>
      </c>
      <c r="F661" s="3">
        <v>662</v>
      </c>
      <c r="G661" s="3">
        <v>180</v>
      </c>
      <c r="H661" t="str">
        <f t="shared" si="130"/>
        <v>50-152</v>
      </c>
      <c r="I661" t="b">
        <v>1</v>
      </c>
    </row>
    <row r="662" spans="1:9" x14ac:dyDescent="0.3">
      <c r="A662" t="s">
        <v>875</v>
      </c>
      <c r="B662" t="s">
        <v>896</v>
      </c>
      <c r="C662" t="s">
        <v>909</v>
      </c>
      <c r="D662" s="3">
        <v>50</v>
      </c>
      <c r="E662" s="3">
        <v>152</v>
      </c>
      <c r="F662" s="3">
        <v>663</v>
      </c>
      <c r="G662" s="3">
        <v>40</v>
      </c>
      <c r="H662" t="str">
        <f t="shared" si="130"/>
        <v>50-152</v>
      </c>
      <c r="I662" t="b">
        <v>1</v>
      </c>
    </row>
    <row r="663" spans="1:9" x14ac:dyDescent="0.3">
      <c r="A663" t="s">
        <v>875</v>
      </c>
      <c r="B663" t="s">
        <v>896</v>
      </c>
      <c r="C663" t="s">
        <v>910</v>
      </c>
      <c r="D663" s="3">
        <v>50</v>
      </c>
      <c r="E663" s="3">
        <v>152</v>
      </c>
      <c r="F663" s="3">
        <v>664</v>
      </c>
      <c r="G663" s="3">
        <v>30</v>
      </c>
      <c r="H663" t="str">
        <f t="shared" si="130"/>
        <v>50-152</v>
      </c>
      <c r="I663" t="b">
        <v>1</v>
      </c>
    </row>
    <row r="664" spans="1:9" x14ac:dyDescent="0.3">
      <c r="A664" t="s">
        <v>875</v>
      </c>
      <c r="B664" t="s">
        <v>896</v>
      </c>
      <c r="C664" t="s">
        <v>204</v>
      </c>
      <c r="D664" s="3">
        <v>50</v>
      </c>
      <c r="E664" s="3">
        <v>152</v>
      </c>
      <c r="F664" s="3">
        <v>665</v>
      </c>
      <c r="G664" s="3">
        <v>250</v>
      </c>
      <c r="H664" t="str">
        <f t="shared" si="130"/>
        <v>50-152</v>
      </c>
      <c r="I664" t="b">
        <v>1</v>
      </c>
    </row>
    <row r="665" spans="1:9" x14ac:dyDescent="0.3">
      <c r="A665" t="s">
        <v>875</v>
      </c>
      <c r="B665" t="s">
        <v>896</v>
      </c>
      <c r="C665" t="s">
        <v>711</v>
      </c>
      <c r="D665" s="3">
        <v>50</v>
      </c>
      <c r="E665" s="3">
        <v>152</v>
      </c>
      <c r="F665" s="3">
        <v>666</v>
      </c>
      <c r="G665" s="3">
        <v>20</v>
      </c>
      <c r="H665" t="str">
        <f t="shared" si="130"/>
        <v>50-152</v>
      </c>
      <c r="I665" t="b">
        <v>1</v>
      </c>
    </row>
    <row r="666" spans="1:9" x14ac:dyDescent="0.3">
      <c r="A666" t="s">
        <v>875</v>
      </c>
      <c r="B666" t="s">
        <v>896</v>
      </c>
      <c r="C666" t="s">
        <v>911</v>
      </c>
      <c r="D666" s="3">
        <v>50</v>
      </c>
      <c r="E666" s="3">
        <v>152</v>
      </c>
      <c r="F666" s="3">
        <v>667</v>
      </c>
      <c r="G666" s="3">
        <v>120</v>
      </c>
      <c r="H666" t="str">
        <f t="shared" si="130"/>
        <v>50-152</v>
      </c>
      <c r="I666" t="b">
        <v>1</v>
      </c>
    </row>
    <row r="667" spans="1:9" x14ac:dyDescent="0.3">
      <c r="A667" t="s">
        <v>875</v>
      </c>
      <c r="B667" t="s">
        <v>896</v>
      </c>
      <c r="C667" t="s">
        <v>290</v>
      </c>
      <c r="D667" s="3">
        <v>50</v>
      </c>
      <c r="E667" s="3">
        <v>152</v>
      </c>
      <c r="F667" s="3">
        <v>668</v>
      </c>
      <c r="G667" s="3">
        <v>70</v>
      </c>
      <c r="H667" t="str">
        <f t="shared" si="130"/>
        <v>50-152</v>
      </c>
      <c r="I667" t="b">
        <v>1</v>
      </c>
    </row>
    <row r="668" spans="1:9" x14ac:dyDescent="0.3">
      <c r="A668" t="s">
        <v>875</v>
      </c>
      <c r="B668" t="s">
        <v>896</v>
      </c>
      <c r="C668" t="s">
        <v>786</v>
      </c>
      <c r="D668" s="3">
        <v>50</v>
      </c>
      <c r="E668" s="3">
        <v>152</v>
      </c>
      <c r="F668" s="3">
        <v>669</v>
      </c>
      <c r="G668" s="3">
        <v>60</v>
      </c>
      <c r="H668" t="str">
        <f t="shared" si="130"/>
        <v>50-152</v>
      </c>
      <c r="I668" t="b">
        <v>1</v>
      </c>
    </row>
    <row r="669" spans="1:9" x14ac:dyDescent="0.3">
      <c r="A669" t="s">
        <v>875</v>
      </c>
      <c r="B669" t="s">
        <v>896</v>
      </c>
      <c r="C669" t="s">
        <v>329</v>
      </c>
      <c r="D669" s="3">
        <v>50</v>
      </c>
      <c r="E669" s="3">
        <v>152</v>
      </c>
      <c r="F669" s="3">
        <v>670</v>
      </c>
      <c r="G669" s="3">
        <v>240</v>
      </c>
      <c r="H669" t="str">
        <f t="shared" si="130"/>
        <v>50-152</v>
      </c>
      <c r="I669" t="b">
        <v>1</v>
      </c>
    </row>
    <row r="670" spans="1:9" x14ac:dyDescent="0.3">
      <c r="A670" t="s">
        <v>875</v>
      </c>
      <c r="B670" t="s">
        <v>896</v>
      </c>
      <c r="C670" t="s">
        <v>912</v>
      </c>
      <c r="D670" s="3">
        <v>50</v>
      </c>
      <c r="E670" s="3">
        <v>152</v>
      </c>
      <c r="F670" s="3">
        <v>671</v>
      </c>
      <c r="G670" s="3">
        <v>50</v>
      </c>
      <c r="H670" t="str">
        <f t="shared" si="130"/>
        <v>50-152</v>
      </c>
      <c r="I670" t="b">
        <v>1</v>
      </c>
    </row>
    <row r="671" spans="1:9" x14ac:dyDescent="0.3">
      <c r="A671" t="s">
        <v>875</v>
      </c>
      <c r="B671" t="s">
        <v>896</v>
      </c>
      <c r="C671" t="s">
        <v>891</v>
      </c>
      <c r="D671" s="3">
        <v>50</v>
      </c>
      <c r="E671" s="3">
        <v>152</v>
      </c>
      <c r="F671" s="3">
        <v>672</v>
      </c>
      <c r="G671" s="3">
        <v>150</v>
      </c>
      <c r="H671" t="str">
        <f t="shared" si="130"/>
        <v>50-152</v>
      </c>
      <c r="I671" t="b">
        <v>1</v>
      </c>
    </row>
    <row r="672" spans="1:9" x14ac:dyDescent="0.3">
      <c r="A672" t="s">
        <v>875</v>
      </c>
      <c r="B672" t="s">
        <v>896</v>
      </c>
      <c r="C672" t="s">
        <v>60</v>
      </c>
      <c r="D672" s="3">
        <v>50</v>
      </c>
      <c r="E672" s="3">
        <v>152</v>
      </c>
      <c r="F672" s="3">
        <v>673</v>
      </c>
      <c r="G672" s="3">
        <v>1150</v>
      </c>
      <c r="H672" t="str">
        <f t="shared" si="130"/>
        <v>50-152</v>
      </c>
      <c r="I672" t="b">
        <v>1</v>
      </c>
    </row>
    <row r="673" spans="1:9" x14ac:dyDescent="0.3">
      <c r="A673" t="s">
        <v>875</v>
      </c>
      <c r="B673" t="s">
        <v>896</v>
      </c>
      <c r="C673" t="s">
        <v>913</v>
      </c>
      <c r="D673" s="3">
        <v>50</v>
      </c>
      <c r="E673" s="3">
        <v>152</v>
      </c>
      <c r="F673" s="3">
        <v>674</v>
      </c>
      <c r="G673" s="3">
        <v>60</v>
      </c>
      <c r="H673" t="str">
        <f t="shared" si="130"/>
        <v>50-152</v>
      </c>
      <c r="I673" t="b">
        <v>1</v>
      </c>
    </row>
    <row r="674" spans="1:9" x14ac:dyDescent="0.3">
      <c r="A674" t="s">
        <v>875</v>
      </c>
      <c r="B674" t="s">
        <v>896</v>
      </c>
      <c r="C674" t="s">
        <v>914</v>
      </c>
      <c r="D674" s="3">
        <v>50</v>
      </c>
      <c r="E674" s="3">
        <v>152</v>
      </c>
      <c r="F674" s="3">
        <v>675</v>
      </c>
      <c r="G674" s="3">
        <v>150</v>
      </c>
      <c r="H674" t="str">
        <f t="shared" si="130"/>
        <v>50-152</v>
      </c>
      <c r="I674" t="b">
        <v>1</v>
      </c>
    </row>
    <row r="675" spans="1:9" x14ac:dyDescent="0.3">
      <c r="A675" t="s">
        <v>875</v>
      </c>
      <c r="B675" t="s">
        <v>896</v>
      </c>
      <c r="C675" t="s">
        <v>915</v>
      </c>
      <c r="D675" s="3">
        <v>50</v>
      </c>
      <c r="E675" s="3">
        <v>152</v>
      </c>
      <c r="F675" s="3">
        <v>676</v>
      </c>
      <c r="G675" s="3">
        <v>40</v>
      </c>
      <c r="H675" t="str">
        <f t="shared" si="130"/>
        <v>50-152</v>
      </c>
      <c r="I675" t="b">
        <v>1</v>
      </c>
    </row>
    <row r="676" spans="1:9" x14ac:dyDescent="0.3">
      <c r="A676" t="s">
        <v>875</v>
      </c>
      <c r="B676" t="s">
        <v>896</v>
      </c>
      <c r="C676" t="s">
        <v>916</v>
      </c>
      <c r="D676" s="3">
        <v>50</v>
      </c>
      <c r="E676" s="3">
        <v>152</v>
      </c>
      <c r="F676" s="3">
        <v>677</v>
      </c>
      <c r="G676" s="3">
        <v>410</v>
      </c>
      <c r="H676" t="str">
        <f t="shared" si="130"/>
        <v>50-152</v>
      </c>
      <c r="I676" t="b">
        <v>1</v>
      </c>
    </row>
    <row r="677" spans="1:9" x14ac:dyDescent="0.3">
      <c r="A677" t="s">
        <v>875</v>
      </c>
      <c r="B677" t="s">
        <v>896</v>
      </c>
      <c r="C677" t="s">
        <v>917</v>
      </c>
      <c r="D677" s="3">
        <v>50</v>
      </c>
      <c r="E677" s="3">
        <v>152</v>
      </c>
      <c r="F677" s="3">
        <v>678</v>
      </c>
      <c r="G677" s="3">
        <v>140</v>
      </c>
      <c r="H677" t="str">
        <f t="shared" si="130"/>
        <v>50-152</v>
      </c>
      <c r="I677" t="b">
        <v>1</v>
      </c>
    </row>
    <row r="678" spans="1:9" x14ac:dyDescent="0.3">
      <c r="A678" t="s">
        <v>144</v>
      </c>
      <c r="B678" t="s">
        <v>148</v>
      </c>
      <c r="C678" t="s">
        <v>149</v>
      </c>
      <c r="D678" s="3">
        <v>11</v>
      </c>
      <c r="E678" s="3">
        <v>153</v>
      </c>
      <c r="F678" s="3">
        <v>679</v>
      </c>
      <c r="G678" s="3">
        <v>550</v>
      </c>
      <c r="H678" t="str">
        <f t="shared" si="130"/>
        <v>11-153</v>
      </c>
      <c r="I678" t="b">
        <v>1</v>
      </c>
    </row>
    <row r="679" spans="1:9" x14ac:dyDescent="0.3">
      <c r="A679" t="s">
        <v>858</v>
      </c>
      <c r="B679" t="s">
        <v>859</v>
      </c>
      <c r="C679" t="s">
        <v>860</v>
      </c>
      <c r="D679" s="3">
        <v>45</v>
      </c>
      <c r="E679" s="3">
        <v>154</v>
      </c>
      <c r="F679" s="3">
        <v>680</v>
      </c>
      <c r="G679" s="3">
        <v>60</v>
      </c>
      <c r="H679" t="str">
        <f t="shared" si="130"/>
        <v>45-154</v>
      </c>
      <c r="I679" t="b">
        <v>1</v>
      </c>
    </row>
    <row r="680" spans="1:9" x14ac:dyDescent="0.3">
      <c r="A680" t="s">
        <v>127</v>
      </c>
      <c r="B680" t="s">
        <v>132</v>
      </c>
      <c r="C680" t="s">
        <v>133</v>
      </c>
      <c r="D680" s="3">
        <v>9</v>
      </c>
      <c r="E680" s="3">
        <v>155</v>
      </c>
      <c r="F680" s="3">
        <v>681</v>
      </c>
      <c r="G680" s="3">
        <v>120</v>
      </c>
      <c r="H680" t="str">
        <f t="shared" si="130"/>
        <v>9-155</v>
      </c>
      <c r="I680" t="b">
        <v>1</v>
      </c>
    </row>
    <row r="681" spans="1:9" x14ac:dyDescent="0.3">
      <c r="A681" t="s">
        <v>808</v>
      </c>
      <c r="B681" t="s">
        <v>831</v>
      </c>
      <c r="C681" t="s">
        <v>60</v>
      </c>
      <c r="D681" s="3">
        <v>38</v>
      </c>
      <c r="E681" s="3">
        <v>156</v>
      </c>
      <c r="F681" s="3">
        <v>682</v>
      </c>
      <c r="G681" s="3">
        <v>200</v>
      </c>
      <c r="H681" t="str">
        <f t="shared" si="130"/>
        <v>38-156</v>
      </c>
      <c r="I681" t="b">
        <v>1</v>
      </c>
    </row>
    <row r="682" spans="1:9" x14ac:dyDescent="0.3">
      <c r="A682" t="s">
        <v>593</v>
      </c>
      <c r="B682" t="s">
        <v>694</v>
      </c>
      <c r="C682" t="s">
        <v>695</v>
      </c>
      <c r="D682" s="3">
        <v>31</v>
      </c>
      <c r="E682" s="3">
        <v>157</v>
      </c>
      <c r="F682" s="3">
        <v>683</v>
      </c>
      <c r="G682" s="3">
        <v>200</v>
      </c>
      <c r="H682" t="str">
        <f t="shared" si="130"/>
        <v>31-157</v>
      </c>
      <c r="I682" t="b">
        <v>1</v>
      </c>
    </row>
    <row r="683" spans="1:9" x14ac:dyDescent="0.3">
      <c r="A683" t="s">
        <v>593</v>
      </c>
      <c r="B683" t="s">
        <v>694</v>
      </c>
      <c r="C683" t="s">
        <v>380</v>
      </c>
      <c r="D683" s="3">
        <v>31</v>
      </c>
      <c r="E683" s="3">
        <v>157</v>
      </c>
      <c r="F683" s="3">
        <v>684</v>
      </c>
      <c r="G683" s="3">
        <v>20</v>
      </c>
      <c r="H683" t="str">
        <f t="shared" si="130"/>
        <v>31-157</v>
      </c>
      <c r="I683" t="b">
        <v>1</v>
      </c>
    </row>
    <row r="684" spans="1:9" x14ac:dyDescent="0.3">
      <c r="A684" t="s">
        <v>593</v>
      </c>
      <c r="B684" t="s">
        <v>694</v>
      </c>
      <c r="C684" t="s">
        <v>696</v>
      </c>
      <c r="D684" s="3">
        <v>31</v>
      </c>
      <c r="E684" s="3">
        <v>157</v>
      </c>
      <c r="F684" s="3">
        <v>685</v>
      </c>
      <c r="G684" s="3">
        <v>50</v>
      </c>
      <c r="H684" t="str">
        <f t="shared" si="130"/>
        <v>31-157</v>
      </c>
      <c r="I684" t="b">
        <v>1</v>
      </c>
    </row>
    <row r="685" spans="1:9" x14ac:dyDescent="0.3">
      <c r="A685" t="s">
        <v>593</v>
      </c>
      <c r="B685" t="s">
        <v>694</v>
      </c>
      <c r="C685" t="s">
        <v>684</v>
      </c>
      <c r="D685" s="3">
        <v>31</v>
      </c>
      <c r="E685" s="3">
        <v>157</v>
      </c>
      <c r="F685" s="3">
        <v>686</v>
      </c>
      <c r="G685" s="3">
        <v>870</v>
      </c>
      <c r="H685" t="str">
        <f t="shared" si="130"/>
        <v>31-157</v>
      </c>
      <c r="I685" t="b">
        <v>1</v>
      </c>
    </row>
    <row r="686" spans="1:9" x14ac:dyDescent="0.3">
      <c r="A686" t="s">
        <v>593</v>
      </c>
      <c r="B686" t="s">
        <v>694</v>
      </c>
      <c r="C686" t="s">
        <v>697</v>
      </c>
      <c r="D686" s="3">
        <v>31</v>
      </c>
      <c r="E686" s="3">
        <v>157</v>
      </c>
      <c r="F686" s="3">
        <v>687</v>
      </c>
      <c r="G686" s="3">
        <v>110</v>
      </c>
      <c r="H686" t="str">
        <f t="shared" si="130"/>
        <v>31-157</v>
      </c>
      <c r="I686" t="b">
        <v>1</v>
      </c>
    </row>
    <row r="687" spans="1:9" x14ac:dyDescent="0.3">
      <c r="A687" t="s">
        <v>593</v>
      </c>
      <c r="B687" t="s">
        <v>694</v>
      </c>
      <c r="C687" t="s">
        <v>698</v>
      </c>
      <c r="D687" s="3">
        <v>31</v>
      </c>
      <c r="E687" s="3">
        <v>157</v>
      </c>
      <c r="F687" s="3">
        <v>688</v>
      </c>
      <c r="G687" s="3">
        <v>1380</v>
      </c>
      <c r="H687" t="str">
        <f t="shared" si="130"/>
        <v>31-157</v>
      </c>
      <c r="I687" t="b">
        <v>1</v>
      </c>
    </row>
    <row r="688" spans="1:9" x14ac:dyDescent="0.3">
      <c r="A688" t="s">
        <v>593</v>
      </c>
      <c r="B688" t="s">
        <v>694</v>
      </c>
      <c r="C688" t="s">
        <v>699</v>
      </c>
      <c r="D688" s="3">
        <v>31</v>
      </c>
      <c r="E688" s="3">
        <v>157</v>
      </c>
      <c r="F688" s="3">
        <v>689</v>
      </c>
      <c r="G688" s="3">
        <v>390</v>
      </c>
      <c r="H688" t="str">
        <f t="shared" si="130"/>
        <v>31-157</v>
      </c>
      <c r="I688" t="b">
        <v>1</v>
      </c>
    </row>
    <row r="689" spans="1:9" x14ac:dyDescent="0.3">
      <c r="A689" t="s">
        <v>593</v>
      </c>
      <c r="B689" t="s">
        <v>694</v>
      </c>
      <c r="C689" t="s">
        <v>700</v>
      </c>
      <c r="D689" s="3">
        <v>31</v>
      </c>
      <c r="E689" s="3">
        <v>157</v>
      </c>
      <c r="F689" s="3">
        <v>690</v>
      </c>
      <c r="G689" s="3">
        <v>60</v>
      </c>
      <c r="H689" t="str">
        <f t="shared" si="130"/>
        <v>31-157</v>
      </c>
      <c r="I689" t="b">
        <v>1</v>
      </c>
    </row>
    <row r="690" spans="1:9" x14ac:dyDescent="0.3">
      <c r="A690" t="s">
        <v>593</v>
      </c>
      <c r="B690" t="s">
        <v>701</v>
      </c>
      <c r="C690" t="s">
        <v>702</v>
      </c>
      <c r="D690" s="3">
        <v>31</v>
      </c>
      <c r="E690" s="3">
        <v>158</v>
      </c>
      <c r="F690" s="3">
        <v>691</v>
      </c>
      <c r="G690" s="3">
        <v>170</v>
      </c>
      <c r="H690" t="str">
        <f t="shared" si="130"/>
        <v>31-158</v>
      </c>
      <c r="I690" t="b">
        <v>1</v>
      </c>
    </row>
    <row r="691" spans="1:9" x14ac:dyDescent="0.3">
      <c r="A691" t="s">
        <v>456</v>
      </c>
      <c r="B691" t="s">
        <v>524</v>
      </c>
      <c r="C691" t="s">
        <v>282</v>
      </c>
      <c r="D691" s="3">
        <v>29</v>
      </c>
      <c r="E691" s="3">
        <v>159</v>
      </c>
      <c r="F691" s="3">
        <v>692</v>
      </c>
      <c r="G691" s="3">
        <v>230</v>
      </c>
      <c r="H691" t="str">
        <f t="shared" si="130"/>
        <v>29-159</v>
      </c>
      <c r="I691" t="b">
        <v>1</v>
      </c>
    </row>
    <row r="692" spans="1:9" x14ac:dyDescent="0.3">
      <c r="A692" t="s">
        <v>931</v>
      </c>
      <c r="B692" t="s">
        <v>932</v>
      </c>
      <c r="C692" t="s">
        <v>246</v>
      </c>
      <c r="D692" s="3">
        <v>53</v>
      </c>
      <c r="E692" s="3">
        <v>160</v>
      </c>
      <c r="F692" s="3">
        <v>693</v>
      </c>
      <c r="G692" s="3">
        <v>90</v>
      </c>
      <c r="H692" t="str">
        <f t="shared" si="130"/>
        <v>53-160</v>
      </c>
      <c r="I692" t="b">
        <v>1</v>
      </c>
    </row>
    <row r="693" spans="1:9" x14ac:dyDescent="0.3">
      <c r="A693" t="s">
        <v>931</v>
      </c>
      <c r="B693" t="s">
        <v>932</v>
      </c>
      <c r="C693" t="s">
        <v>429</v>
      </c>
      <c r="D693" s="3">
        <v>53</v>
      </c>
      <c r="E693" s="3">
        <v>160</v>
      </c>
      <c r="F693" s="3">
        <v>694</v>
      </c>
      <c r="G693" s="3">
        <v>60</v>
      </c>
      <c r="H693" t="str">
        <f t="shared" si="130"/>
        <v>53-160</v>
      </c>
      <c r="I693" t="b">
        <v>1</v>
      </c>
    </row>
    <row r="694" spans="1:9" x14ac:dyDescent="0.3">
      <c r="A694" t="s">
        <v>931</v>
      </c>
      <c r="B694" t="s">
        <v>932</v>
      </c>
      <c r="C694" t="s">
        <v>933</v>
      </c>
      <c r="D694" s="3">
        <v>53</v>
      </c>
      <c r="E694" s="3">
        <v>160</v>
      </c>
      <c r="F694" s="3">
        <v>695</v>
      </c>
      <c r="G694" s="3">
        <v>70</v>
      </c>
      <c r="H694" t="str">
        <f t="shared" si="130"/>
        <v>53-160</v>
      </c>
      <c r="I694" t="b">
        <v>1</v>
      </c>
    </row>
    <row r="695" spans="1:9" x14ac:dyDescent="0.3">
      <c r="A695" t="s">
        <v>931</v>
      </c>
      <c r="B695" t="s">
        <v>932</v>
      </c>
      <c r="C695" t="s">
        <v>179</v>
      </c>
      <c r="D695" s="3">
        <v>53</v>
      </c>
      <c r="E695" s="3">
        <v>160</v>
      </c>
      <c r="F695" s="3">
        <v>696</v>
      </c>
      <c r="G695" s="3">
        <v>150</v>
      </c>
      <c r="H695" t="str">
        <f t="shared" si="130"/>
        <v>53-160</v>
      </c>
      <c r="I695" t="b">
        <v>1</v>
      </c>
    </row>
    <row r="696" spans="1:9" x14ac:dyDescent="0.3">
      <c r="A696" t="s">
        <v>931</v>
      </c>
      <c r="B696" t="s">
        <v>932</v>
      </c>
      <c r="C696" t="s">
        <v>934</v>
      </c>
      <c r="D696" s="3">
        <v>53</v>
      </c>
      <c r="E696" s="3">
        <v>160</v>
      </c>
      <c r="F696" s="3">
        <v>697</v>
      </c>
      <c r="G696" s="3">
        <v>180</v>
      </c>
      <c r="H696" t="str">
        <f t="shared" si="130"/>
        <v>53-160</v>
      </c>
      <c r="I696" t="b">
        <v>1</v>
      </c>
    </row>
    <row r="697" spans="1:9" x14ac:dyDescent="0.3">
      <c r="A697" t="s">
        <v>931</v>
      </c>
      <c r="B697" t="s">
        <v>932</v>
      </c>
      <c r="C697" t="s">
        <v>935</v>
      </c>
      <c r="D697" s="3">
        <v>53</v>
      </c>
      <c r="E697" s="3">
        <v>160</v>
      </c>
      <c r="F697" s="3">
        <v>698</v>
      </c>
      <c r="G697" s="3">
        <v>120</v>
      </c>
      <c r="H697" t="str">
        <f t="shared" si="130"/>
        <v>53-160</v>
      </c>
      <c r="I697" t="b">
        <v>1</v>
      </c>
    </row>
    <row r="698" spans="1:9" x14ac:dyDescent="0.3">
      <c r="A698" t="s">
        <v>931</v>
      </c>
      <c r="B698" t="s">
        <v>932</v>
      </c>
      <c r="C698" t="s">
        <v>353</v>
      </c>
      <c r="D698" s="3">
        <v>53</v>
      </c>
      <c r="E698" s="3">
        <v>160</v>
      </c>
      <c r="F698" s="3">
        <v>699</v>
      </c>
      <c r="G698" s="3">
        <v>50</v>
      </c>
      <c r="H698" t="str">
        <f t="shared" si="130"/>
        <v>53-160</v>
      </c>
      <c r="I698" t="b">
        <v>1</v>
      </c>
    </row>
    <row r="699" spans="1:9" x14ac:dyDescent="0.3">
      <c r="A699" t="s">
        <v>931</v>
      </c>
      <c r="B699" t="s">
        <v>932</v>
      </c>
      <c r="C699" t="s">
        <v>936</v>
      </c>
      <c r="D699" s="3">
        <v>53</v>
      </c>
      <c r="E699" s="3">
        <v>160</v>
      </c>
      <c r="F699" s="3">
        <v>700</v>
      </c>
      <c r="G699" s="3">
        <v>160</v>
      </c>
      <c r="H699" t="str">
        <f t="shared" si="130"/>
        <v>53-160</v>
      </c>
      <c r="I699" t="b">
        <v>1</v>
      </c>
    </row>
    <row r="700" spans="1:9" x14ac:dyDescent="0.3">
      <c r="A700" t="s">
        <v>957</v>
      </c>
      <c r="B700" t="s">
        <v>960</v>
      </c>
      <c r="C700" t="s">
        <v>961</v>
      </c>
      <c r="D700" s="3">
        <v>59</v>
      </c>
      <c r="E700" s="3">
        <v>161</v>
      </c>
      <c r="F700" s="3">
        <v>701</v>
      </c>
      <c r="G700" s="3">
        <v>340</v>
      </c>
      <c r="H700" t="str">
        <f t="shared" si="130"/>
        <v>59-161</v>
      </c>
      <c r="I700" t="b">
        <v>1</v>
      </c>
    </row>
    <row r="701" spans="1:9" x14ac:dyDescent="0.3">
      <c r="A701" t="s">
        <v>957</v>
      </c>
      <c r="B701" t="s">
        <v>960</v>
      </c>
      <c r="C701" t="s">
        <v>213</v>
      </c>
      <c r="D701" s="3">
        <v>59</v>
      </c>
      <c r="E701" s="3">
        <v>161</v>
      </c>
      <c r="F701" s="3">
        <v>702</v>
      </c>
      <c r="G701" s="3">
        <v>180</v>
      </c>
      <c r="H701" t="str">
        <f t="shared" si="130"/>
        <v>59-161</v>
      </c>
      <c r="I701" t="b">
        <v>1</v>
      </c>
    </row>
    <row r="702" spans="1:9" x14ac:dyDescent="0.3">
      <c r="A702" t="s">
        <v>344</v>
      </c>
      <c r="B702" t="s">
        <v>345</v>
      </c>
      <c r="C702" t="s">
        <v>346</v>
      </c>
      <c r="D702" s="3">
        <v>23</v>
      </c>
      <c r="E702" s="3">
        <v>162</v>
      </c>
      <c r="F702" s="3">
        <v>703</v>
      </c>
      <c r="G702" s="3">
        <v>40</v>
      </c>
      <c r="H702" t="str">
        <f t="shared" si="130"/>
        <v>23-162</v>
      </c>
      <c r="I702" t="b">
        <v>1</v>
      </c>
    </row>
    <row r="703" spans="1:9" x14ac:dyDescent="0.3">
      <c r="A703" t="s">
        <v>222</v>
      </c>
      <c r="B703" t="s">
        <v>231</v>
      </c>
      <c r="C703" t="s">
        <v>232</v>
      </c>
      <c r="D703" s="3">
        <v>16</v>
      </c>
      <c r="E703" s="3">
        <v>163</v>
      </c>
      <c r="F703" s="3">
        <v>704</v>
      </c>
      <c r="G703" s="3">
        <v>270</v>
      </c>
      <c r="H703" t="str">
        <f t="shared" si="130"/>
        <v>16-163</v>
      </c>
      <c r="I703" t="b">
        <v>1</v>
      </c>
    </row>
    <row r="704" spans="1:9" x14ac:dyDescent="0.3">
      <c r="A704" t="s">
        <v>222</v>
      </c>
      <c r="B704" t="s">
        <v>231</v>
      </c>
      <c r="C704" t="s">
        <v>233</v>
      </c>
      <c r="D704" s="3">
        <v>16</v>
      </c>
      <c r="E704" s="3">
        <v>163</v>
      </c>
      <c r="F704" s="3">
        <v>705</v>
      </c>
      <c r="G704" s="3">
        <v>70</v>
      </c>
      <c r="H704" t="str">
        <f t="shared" si="130"/>
        <v>16-163</v>
      </c>
      <c r="I704" t="b">
        <v>1</v>
      </c>
    </row>
    <row r="705" spans="1:9" x14ac:dyDescent="0.3">
      <c r="A705" t="s">
        <v>222</v>
      </c>
      <c r="B705" t="s">
        <v>231</v>
      </c>
      <c r="C705" t="s">
        <v>234</v>
      </c>
      <c r="D705" s="3">
        <v>16</v>
      </c>
      <c r="E705" s="3">
        <v>163</v>
      </c>
      <c r="F705" s="3">
        <v>706</v>
      </c>
      <c r="G705" s="3">
        <v>160</v>
      </c>
      <c r="H705" t="str">
        <f t="shared" si="130"/>
        <v>16-163</v>
      </c>
      <c r="I705" t="b">
        <v>1</v>
      </c>
    </row>
    <row r="706" spans="1:9" x14ac:dyDescent="0.3">
      <c r="A706" t="s">
        <v>222</v>
      </c>
      <c r="B706" t="s">
        <v>231</v>
      </c>
      <c r="C706" t="s">
        <v>235</v>
      </c>
      <c r="D706" s="3">
        <v>16</v>
      </c>
      <c r="E706" s="3">
        <v>163</v>
      </c>
      <c r="F706" s="3">
        <v>707</v>
      </c>
      <c r="G706" s="3">
        <v>140</v>
      </c>
      <c r="H706" t="str">
        <f t="shared" si="130"/>
        <v>16-163</v>
      </c>
      <c r="I706" t="b">
        <v>1</v>
      </c>
    </row>
    <row r="707" spans="1:9" x14ac:dyDescent="0.3">
      <c r="A707" t="s">
        <v>222</v>
      </c>
      <c r="B707" t="s">
        <v>231</v>
      </c>
      <c r="C707" t="s">
        <v>236</v>
      </c>
      <c r="D707" s="3">
        <v>16</v>
      </c>
      <c r="E707" s="3">
        <v>163</v>
      </c>
      <c r="F707" s="3">
        <v>708</v>
      </c>
      <c r="G707" s="3">
        <v>110</v>
      </c>
      <c r="H707" t="str">
        <f t="shared" ref="H707:H770" si="131">_xlfn.CONCAT(D707,"-",E707)</f>
        <v>16-163</v>
      </c>
      <c r="I707" t="b">
        <v>1</v>
      </c>
    </row>
    <row r="708" spans="1:9" x14ac:dyDescent="0.3">
      <c r="A708" t="s">
        <v>222</v>
      </c>
      <c r="B708" t="s">
        <v>231</v>
      </c>
      <c r="C708" t="s">
        <v>204</v>
      </c>
      <c r="D708" s="3">
        <v>16</v>
      </c>
      <c r="E708" s="3">
        <v>163</v>
      </c>
      <c r="F708" s="3">
        <v>709</v>
      </c>
      <c r="G708" s="3">
        <v>480</v>
      </c>
      <c r="H708" t="str">
        <f t="shared" si="131"/>
        <v>16-163</v>
      </c>
      <c r="I708" t="b">
        <v>1</v>
      </c>
    </row>
    <row r="709" spans="1:9" x14ac:dyDescent="0.3">
      <c r="A709" t="s">
        <v>875</v>
      </c>
      <c r="B709" t="s">
        <v>918</v>
      </c>
      <c r="C709" t="s">
        <v>353</v>
      </c>
      <c r="D709" s="3">
        <v>50</v>
      </c>
      <c r="E709" s="3">
        <v>164</v>
      </c>
      <c r="F709" s="3">
        <v>710</v>
      </c>
      <c r="G709" s="3">
        <v>90</v>
      </c>
      <c r="H709" t="str">
        <f t="shared" si="131"/>
        <v>50-164</v>
      </c>
      <c r="I709" t="b">
        <v>1</v>
      </c>
    </row>
    <row r="710" spans="1:9" x14ac:dyDescent="0.3">
      <c r="A710" t="s">
        <v>875</v>
      </c>
      <c r="B710" t="s">
        <v>918</v>
      </c>
      <c r="C710" t="s">
        <v>204</v>
      </c>
      <c r="D710" s="3">
        <v>50</v>
      </c>
      <c r="E710" s="3">
        <v>164</v>
      </c>
      <c r="F710" s="3">
        <v>711</v>
      </c>
      <c r="G710" s="3">
        <v>390</v>
      </c>
      <c r="H710" t="str">
        <f t="shared" si="131"/>
        <v>50-164</v>
      </c>
      <c r="I710" t="b">
        <v>1</v>
      </c>
    </row>
    <row r="711" spans="1:9" x14ac:dyDescent="0.3">
      <c r="A711" t="s">
        <v>875</v>
      </c>
      <c r="B711" t="s">
        <v>918</v>
      </c>
      <c r="C711" t="s">
        <v>60</v>
      </c>
      <c r="D711" s="3">
        <v>50</v>
      </c>
      <c r="E711" s="3">
        <v>164</v>
      </c>
      <c r="F711" s="3">
        <v>712</v>
      </c>
      <c r="G711" s="3">
        <v>80</v>
      </c>
      <c r="H711" t="str">
        <f t="shared" si="131"/>
        <v>50-164</v>
      </c>
      <c r="I711" t="b">
        <v>1</v>
      </c>
    </row>
    <row r="712" spans="1:9" x14ac:dyDescent="0.3">
      <c r="A712" t="s">
        <v>875</v>
      </c>
      <c r="B712" t="s">
        <v>918</v>
      </c>
      <c r="C712" t="s">
        <v>919</v>
      </c>
      <c r="D712" s="3">
        <v>50</v>
      </c>
      <c r="E712" s="3">
        <v>164</v>
      </c>
      <c r="F712" s="3">
        <v>713</v>
      </c>
      <c r="G712" s="3">
        <v>80</v>
      </c>
      <c r="H712" t="str">
        <f t="shared" si="131"/>
        <v>50-164</v>
      </c>
      <c r="I712" t="b">
        <v>1</v>
      </c>
    </row>
    <row r="713" spans="1:9" x14ac:dyDescent="0.3">
      <c r="A713" t="s">
        <v>875</v>
      </c>
      <c r="B713" t="s">
        <v>918</v>
      </c>
      <c r="C713" t="s">
        <v>807</v>
      </c>
      <c r="D713" s="3">
        <v>50</v>
      </c>
      <c r="E713" s="3">
        <v>164</v>
      </c>
      <c r="F713" s="3">
        <v>714</v>
      </c>
      <c r="G713" s="3">
        <v>60</v>
      </c>
      <c r="H713" t="str">
        <f t="shared" si="131"/>
        <v>50-164</v>
      </c>
      <c r="I713" t="b">
        <v>1</v>
      </c>
    </row>
    <row r="714" spans="1:9" x14ac:dyDescent="0.3">
      <c r="A714" t="s">
        <v>536</v>
      </c>
      <c r="B714" t="s">
        <v>583</v>
      </c>
      <c r="C714" t="s">
        <v>584</v>
      </c>
      <c r="D714" s="3">
        <v>30</v>
      </c>
      <c r="E714" s="3">
        <v>165</v>
      </c>
      <c r="F714" s="3">
        <v>715</v>
      </c>
      <c r="G714" s="3">
        <v>1600</v>
      </c>
      <c r="H714" t="str">
        <f t="shared" si="131"/>
        <v>30-165</v>
      </c>
      <c r="I714" t="b">
        <v>1</v>
      </c>
    </row>
    <row r="715" spans="1:9" x14ac:dyDescent="0.3">
      <c r="A715" t="s">
        <v>67</v>
      </c>
      <c r="B715" t="s">
        <v>70</v>
      </c>
      <c r="C715" t="s">
        <v>69</v>
      </c>
      <c r="D715" s="3">
        <v>5</v>
      </c>
      <c r="E715" s="3">
        <v>166</v>
      </c>
      <c r="F715" s="3">
        <v>716</v>
      </c>
      <c r="G715" s="3">
        <v>270</v>
      </c>
      <c r="H715" t="str">
        <f t="shared" si="131"/>
        <v>5-166</v>
      </c>
      <c r="I715" t="b">
        <v>1</v>
      </c>
    </row>
    <row r="716" spans="1:9" x14ac:dyDescent="0.3">
      <c r="A716" t="s">
        <v>456</v>
      </c>
      <c r="B716" t="s">
        <v>525</v>
      </c>
      <c r="C716" t="s">
        <v>526</v>
      </c>
      <c r="D716" s="3">
        <v>29</v>
      </c>
      <c r="E716" s="3">
        <v>167</v>
      </c>
      <c r="F716" s="3">
        <v>717</v>
      </c>
      <c r="G716" s="3">
        <v>1240</v>
      </c>
      <c r="H716" t="str">
        <f t="shared" si="131"/>
        <v>29-167</v>
      </c>
      <c r="I716" t="b">
        <v>1</v>
      </c>
    </row>
    <row r="717" spans="1:9" x14ac:dyDescent="0.3">
      <c r="A717" t="s">
        <v>456</v>
      </c>
      <c r="B717" t="s">
        <v>527</v>
      </c>
      <c r="C717" t="s">
        <v>528</v>
      </c>
      <c r="D717" s="3">
        <v>29</v>
      </c>
      <c r="E717" s="3">
        <v>168</v>
      </c>
      <c r="F717" s="3">
        <v>718</v>
      </c>
      <c r="G717" s="3">
        <v>40</v>
      </c>
      <c r="H717" t="str">
        <f t="shared" si="131"/>
        <v>29-168</v>
      </c>
      <c r="I717" t="b">
        <v>1</v>
      </c>
    </row>
    <row r="718" spans="1:9" x14ac:dyDescent="0.3">
      <c r="A718" t="s">
        <v>456</v>
      </c>
      <c r="B718" t="s">
        <v>527</v>
      </c>
      <c r="C718" t="s">
        <v>529</v>
      </c>
      <c r="D718" s="3">
        <v>29</v>
      </c>
      <c r="E718" s="3">
        <v>168</v>
      </c>
      <c r="F718" s="3">
        <v>719</v>
      </c>
      <c r="G718" s="3">
        <v>200</v>
      </c>
      <c r="H718" t="str">
        <f t="shared" si="131"/>
        <v>29-168</v>
      </c>
      <c r="I718" t="b">
        <v>1</v>
      </c>
    </row>
    <row r="719" spans="1:9" x14ac:dyDescent="0.3">
      <c r="A719" t="s">
        <v>456</v>
      </c>
      <c r="B719" t="s">
        <v>527</v>
      </c>
      <c r="C719" t="s">
        <v>530</v>
      </c>
      <c r="D719" s="3">
        <v>29</v>
      </c>
      <c r="E719" s="3">
        <v>168</v>
      </c>
      <c r="F719" s="3">
        <v>720</v>
      </c>
      <c r="G719" s="3">
        <v>170</v>
      </c>
      <c r="H719" t="str">
        <f t="shared" si="131"/>
        <v>29-168</v>
      </c>
      <c r="I719" t="b">
        <v>1</v>
      </c>
    </row>
    <row r="720" spans="1:9" x14ac:dyDescent="0.3">
      <c r="A720" t="s">
        <v>456</v>
      </c>
      <c r="B720" t="s">
        <v>527</v>
      </c>
      <c r="C720" t="s">
        <v>60</v>
      </c>
      <c r="D720" s="3">
        <v>29</v>
      </c>
      <c r="E720" s="3">
        <v>168</v>
      </c>
      <c r="F720" s="3">
        <v>721</v>
      </c>
      <c r="G720" s="3">
        <v>30</v>
      </c>
      <c r="H720" t="str">
        <f t="shared" si="131"/>
        <v>29-168</v>
      </c>
      <c r="I720" t="b">
        <v>1</v>
      </c>
    </row>
    <row r="721" spans="1:9" x14ac:dyDescent="0.3">
      <c r="A721" t="s">
        <v>456</v>
      </c>
      <c r="B721" t="s">
        <v>527</v>
      </c>
      <c r="C721" t="s">
        <v>531</v>
      </c>
      <c r="D721" s="3">
        <v>29</v>
      </c>
      <c r="E721" s="3">
        <v>168</v>
      </c>
      <c r="F721" s="3">
        <v>722</v>
      </c>
      <c r="G721" s="3">
        <v>60</v>
      </c>
      <c r="H721" t="str">
        <f t="shared" si="131"/>
        <v>29-168</v>
      </c>
      <c r="I721" t="b">
        <v>1</v>
      </c>
    </row>
    <row r="722" spans="1:9" x14ac:dyDescent="0.3">
      <c r="A722" t="s">
        <v>536</v>
      </c>
      <c r="B722" t="s">
        <v>585</v>
      </c>
      <c r="C722" t="s">
        <v>539</v>
      </c>
      <c r="D722" s="3">
        <v>30</v>
      </c>
      <c r="E722" s="3">
        <v>169</v>
      </c>
      <c r="F722" s="3">
        <v>723</v>
      </c>
      <c r="G722" s="3">
        <v>40</v>
      </c>
      <c r="H722" t="str">
        <f t="shared" si="131"/>
        <v>30-169</v>
      </c>
      <c r="I722" t="b">
        <v>1</v>
      </c>
    </row>
    <row r="723" spans="1:9" x14ac:dyDescent="0.3">
      <c r="A723" t="s">
        <v>536</v>
      </c>
      <c r="B723" t="s">
        <v>585</v>
      </c>
      <c r="C723" t="s">
        <v>586</v>
      </c>
      <c r="D723" s="3">
        <v>30</v>
      </c>
      <c r="E723" s="3">
        <v>169</v>
      </c>
      <c r="F723" s="3">
        <v>724</v>
      </c>
      <c r="G723" s="3">
        <v>90</v>
      </c>
      <c r="H723" t="str">
        <f t="shared" si="131"/>
        <v>30-169</v>
      </c>
      <c r="I723" t="b">
        <v>1</v>
      </c>
    </row>
    <row r="724" spans="1:9" x14ac:dyDescent="0.3">
      <c r="A724" t="s">
        <v>536</v>
      </c>
      <c r="B724" t="s">
        <v>585</v>
      </c>
      <c r="C724" t="s">
        <v>373</v>
      </c>
      <c r="D724" s="3">
        <v>30</v>
      </c>
      <c r="E724" s="3">
        <v>169</v>
      </c>
      <c r="F724" s="3">
        <v>725</v>
      </c>
      <c r="G724" s="3">
        <v>30</v>
      </c>
      <c r="H724" t="str">
        <f t="shared" si="131"/>
        <v>30-169</v>
      </c>
      <c r="I724" t="b">
        <v>1</v>
      </c>
    </row>
    <row r="725" spans="1:9" x14ac:dyDescent="0.3">
      <c r="A725" t="s">
        <v>861</v>
      </c>
      <c r="B725" t="s">
        <v>862</v>
      </c>
      <c r="C725" t="s">
        <v>863</v>
      </c>
      <c r="D725" s="3">
        <v>46</v>
      </c>
      <c r="E725" s="3">
        <v>170</v>
      </c>
      <c r="F725" s="3">
        <v>726</v>
      </c>
      <c r="G725" s="3">
        <v>50</v>
      </c>
      <c r="H725" t="str">
        <f t="shared" si="131"/>
        <v>46-170</v>
      </c>
      <c r="I725" t="b">
        <v>1</v>
      </c>
    </row>
    <row r="726" spans="1:9" x14ac:dyDescent="0.3">
      <c r="A726" t="s">
        <v>861</v>
      </c>
      <c r="B726" t="s">
        <v>862</v>
      </c>
      <c r="C726" t="s">
        <v>60</v>
      </c>
      <c r="D726" s="3">
        <v>46</v>
      </c>
      <c r="E726" s="3">
        <v>170</v>
      </c>
      <c r="F726" s="3">
        <v>727</v>
      </c>
      <c r="G726" s="3">
        <v>50</v>
      </c>
      <c r="H726" t="str">
        <f t="shared" si="131"/>
        <v>46-170</v>
      </c>
      <c r="I726" t="b">
        <v>1</v>
      </c>
    </row>
    <row r="727" spans="1:9" x14ac:dyDescent="0.3">
      <c r="A727" t="s">
        <v>861</v>
      </c>
      <c r="B727" t="s">
        <v>862</v>
      </c>
      <c r="C727" t="s">
        <v>747</v>
      </c>
      <c r="D727" s="3">
        <v>46</v>
      </c>
      <c r="E727" s="3">
        <v>170</v>
      </c>
      <c r="F727" s="3">
        <v>728</v>
      </c>
      <c r="G727" s="3">
        <v>100</v>
      </c>
      <c r="H727" t="str">
        <f t="shared" si="131"/>
        <v>46-170</v>
      </c>
      <c r="I727" t="b">
        <v>1</v>
      </c>
    </row>
    <row r="728" spans="1:9" x14ac:dyDescent="0.3">
      <c r="A728" t="s">
        <v>924</v>
      </c>
      <c r="B728" t="s">
        <v>925</v>
      </c>
      <c r="C728" t="s">
        <v>367</v>
      </c>
      <c r="D728" s="3">
        <v>51</v>
      </c>
      <c r="E728" s="3">
        <v>171</v>
      </c>
      <c r="F728" s="3">
        <v>729</v>
      </c>
      <c r="G728" s="3">
        <v>890</v>
      </c>
      <c r="H728" t="str">
        <f t="shared" si="131"/>
        <v>51-171</v>
      </c>
      <c r="I728" t="b">
        <v>1</v>
      </c>
    </row>
    <row r="729" spans="1:9" x14ac:dyDescent="0.3">
      <c r="A729" t="s">
        <v>924</v>
      </c>
      <c r="B729" t="s">
        <v>925</v>
      </c>
      <c r="C729" t="s">
        <v>926</v>
      </c>
      <c r="D729" s="3">
        <v>51</v>
      </c>
      <c r="E729" s="3">
        <v>171</v>
      </c>
      <c r="F729" s="3">
        <v>730</v>
      </c>
      <c r="G729" s="3">
        <v>490</v>
      </c>
      <c r="H729" t="str">
        <f t="shared" si="131"/>
        <v>51-171</v>
      </c>
      <c r="I729" t="b">
        <v>1</v>
      </c>
    </row>
    <row r="730" spans="1:9" x14ac:dyDescent="0.3">
      <c r="A730" t="s">
        <v>924</v>
      </c>
      <c r="B730" t="s">
        <v>927</v>
      </c>
      <c r="C730" t="s">
        <v>367</v>
      </c>
      <c r="D730" s="3">
        <v>51</v>
      </c>
      <c r="E730" s="3">
        <v>172</v>
      </c>
      <c r="F730" s="3">
        <v>731</v>
      </c>
      <c r="G730" s="3">
        <v>70</v>
      </c>
      <c r="H730" t="str">
        <f t="shared" si="131"/>
        <v>51-172</v>
      </c>
      <c r="I730" t="b">
        <v>1</v>
      </c>
    </row>
    <row r="731" spans="1:9" x14ac:dyDescent="0.3">
      <c r="A731" t="s">
        <v>321</v>
      </c>
      <c r="B731" t="s">
        <v>322</v>
      </c>
      <c r="C731" t="s">
        <v>323</v>
      </c>
      <c r="D731" s="3">
        <v>21</v>
      </c>
      <c r="E731" s="3">
        <v>173</v>
      </c>
      <c r="F731" s="3">
        <v>732</v>
      </c>
      <c r="G731" s="3">
        <v>60</v>
      </c>
      <c r="H731" t="str">
        <f t="shared" si="131"/>
        <v>21-173</v>
      </c>
      <c r="I731" t="b">
        <v>1</v>
      </c>
    </row>
    <row r="732" spans="1:9" x14ac:dyDescent="0.3">
      <c r="A732" t="s">
        <v>321</v>
      </c>
      <c r="B732" t="s">
        <v>322</v>
      </c>
      <c r="C732" t="s">
        <v>324</v>
      </c>
      <c r="D732" s="3">
        <v>21</v>
      </c>
      <c r="E732" s="3">
        <v>173</v>
      </c>
      <c r="F732" s="3">
        <v>733</v>
      </c>
      <c r="G732" s="3">
        <v>50</v>
      </c>
      <c r="H732" t="str">
        <f t="shared" si="131"/>
        <v>21-173</v>
      </c>
      <c r="I732" t="b">
        <v>1</v>
      </c>
    </row>
    <row r="733" spans="1:9" x14ac:dyDescent="0.3">
      <c r="A733" t="s">
        <v>321</v>
      </c>
      <c r="B733" t="s">
        <v>322</v>
      </c>
      <c r="C733" t="s">
        <v>325</v>
      </c>
      <c r="D733" s="3">
        <v>21</v>
      </c>
      <c r="E733" s="3">
        <v>173</v>
      </c>
      <c r="F733" s="3">
        <v>734</v>
      </c>
      <c r="G733" s="3">
        <v>40</v>
      </c>
      <c r="H733" t="str">
        <f t="shared" si="131"/>
        <v>21-173</v>
      </c>
      <c r="I733" t="b">
        <v>1</v>
      </c>
    </row>
    <row r="734" spans="1:9" x14ac:dyDescent="0.3">
      <c r="A734" t="s">
        <v>321</v>
      </c>
      <c r="B734" t="s">
        <v>322</v>
      </c>
      <c r="C734" t="s">
        <v>326</v>
      </c>
      <c r="D734" s="3">
        <v>21</v>
      </c>
      <c r="E734" s="3">
        <v>173</v>
      </c>
      <c r="F734" s="3">
        <v>735</v>
      </c>
      <c r="G734" s="3">
        <v>60</v>
      </c>
      <c r="H734" t="str">
        <f t="shared" si="131"/>
        <v>21-173</v>
      </c>
      <c r="I734" t="b">
        <v>1</v>
      </c>
    </row>
    <row r="735" spans="1:9" x14ac:dyDescent="0.3">
      <c r="A735" t="s">
        <v>321</v>
      </c>
      <c r="B735" t="s">
        <v>322</v>
      </c>
      <c r="C735" t="s">
        <v>21</v>
      </c>
      <c r="D735" s="3">
        <v>21</v>
      </c>
      <c r="E735" s="3">
        <v>173</v>
      </c>
      <c r="F735" s="3">
        <v>736</v>
      </c>
      <c r="G735" s="3">
        <v>110</v>
      </c>
      <c r="H735" t="str">
        <f t="shared" si="131"/>
        <v>21-173</v>
      </c>
      <c r="I735" t="b">
        <v>1</v>
      </c>
    </row>
    <row r="736" spans="1:9" x14ac:dyDescent="0.3">
      <c r="A736" t="s">
        <v>321</v>
      </c>
      <c r="B736" t="s">
        <v>322</v>
      </c>
      <c r="C736" t="s">
        <v>201</v>
      </c>
      <c r="D736" s="3">
        <v>21</v>
      </c>
      <c r="E736" s="3">
        <v>173</v>
      </c>
      <c r="F736" s="3">
        <v>737</v>
      </c>
      <c r="G736" s="3">
        <v>210</v>
      </c>
      <c r="H736" t="str">
        <f t="shared" si="131"/>
        <v>21-173</v>
      </c>
      <c r="I736" t="b">
        <v>1</v>
      </c>
    </row>
    <row r="737" spans="1:9" x14ac:dyDescent="0.3">
      <c r="A737" t="s">
        <v>321</v>
      </c>
      <c r="B737" t="s">
        <v>322</v>
      </c>
      <c r="C737" t="s">
        <v>164</v>
      </c>
      <c r="D737" s="3">
        <v>21</v>
      </c>
      <c r="E737" s="3">
        <v>173</v>
      </c>
      <c r="F737" s="3">
        <v>738</v>
      </c>
      <c r="G737" s="3">
        <v>200</v>
      </c>
      <c r="H737" t="str">
        <f t="shared" si="131"/>
        <v>21-173</v>
      </c>
      <c r="I737" t="b">
        <v>1</v>
      </c>
    </row>
    <row r="738" spans="1:9" x14ac:dyDescent="0.3">
      <c r="A738" t="s">
        <v>321</v>
      </c>
      <c r="B738" t="s">
        <v>322</v>
      </c>
      <c r="C738" t="s">
        <v>327</v>
      </c>
      <c r="D738" s="3">
        <v>21</v>
      </c>
      <c r="E738" s="3">
        <v>173</v>
      </c>
      <c r="F738" s="3">
        <v>739</v>
      </c>
      <c r="G738" s="3">
        <v>120</v>
      </c>
      <c r="H738" t="str">
        <f t="shared" si="131"/>
        <v>21-173</v>
      </c>
      <c r="I738" t="b">
        <v>1</v>
      </c>
    </row>
    <row r="739" spans="1:9" x14ac:dyDescent="0.3">
      <c r="A739" t="s">
        <v>321</v>
      </c>
      <c r="B739" t="s">
        <v>322</v>
      </c>
      <c r="C739" t="s">
        <v>328</v>
      </c>
      <c r="D739" s="3">
        <v>21</v>
      </c>
      <c r="E739" s="3">
        <v>173</v>
      </c>
      <c r="F739" s="3">
        <v>740</v>
      </c>
      <c r="G739" s="3">
        <v>20</v>
      </c>
      <c r="H739" t="str">
        <f t="shared" si="131"/>
        <v>21-173</v>
      </c>
      <c r="I739" t="b">
        <v>1</v>
      </c>
    </row>
    <row r="740" spans="1:9" x14ac:dyDescent="0.3">
      <c r="A740" t="s">
        <v>321</v>
      </c>
      <c r="B740" t="s">
        <v>322</v>
      </c>
      <c r="C740" t="s">
        <v>329</v>
      </c>
      <c r="D740" s="3">
        <v>21</v>
      </c>
      <c r="E740" s="3">
        <v>173</v>
      </c>
      <c r="F740" s="3">
        <v>741</v>
      </c>
      <c r="G740" s="3">
        <v>50</v>
      </c>
      <c r="H740" t="str">
        <f t="shared" si="131"/>
        <v>21-173</v>
      </c>
      <c r="I740" t="b">
        <v>1</v>
      </c>
    </row>
    <row r="741" spans="1:9" x14ac:dyDescent="0.3">
      <c r="A741" t="s">
        <v>321</v>
      </c>
      <c r="B741" t="s">
        <v>322</v>
      </c>
      <c r="C741" t="s">
        <v>60</v>
      </c>
      <c r="D741" s="3">
        <v>21</v>
      </c>
      <c r="E741" s="3">
        <v>173</v>
      </c>
      <c r="F741" s="3">
        <v>742</v>
      </c>
      <c r="G741" s="3">
        <v>470</v>
      </c>
      <c r="H741" t="str">
        <f t="shared" si="131"/>
        <v>21-173</v>
      </c>
      <c r="I741" t="b">
        <v>1</v>
      </c>
    </row>
    <row r="742" spans="1:9" x14ac:dyDescent="0.3">
      <c r="A742" t="s">
        <v>321</v>
      </c>
      <c r="B742" t="s">
        <v>322</v>
      </c>
      <c r="C742" t="s">
        <v>330</v>
      </c>
      <c r="D742" s="3">
        <v>21</v>
      </c>
      <c r="E742" s="3">
        <v>173</v>
      </c>
      <c r="F742" s="3">
        <v>743</v>
      </c>
      <c r="G742" s="3">
        <v>140</v>
      </c>
      <c r="H742" t="str">
        <f t="shared" si="131"/>
        <v>21-173</v>
      </c>
      <c r="I742" t="b">
        <v>1</v>
      </c>
    </row>
    <row r="743" spans="1:9" x14ac:dyDescent="0.3">
      <c r="A743" t="s">
        <v>536</v>
      </c>
      <c r="B743" t="s">
        <v>587</v>
      </c>
      <c r="C743" t="s">
        <v>588</v>
      </c>
      <c r="D743" s="3">
        <v>30</v>
      </c>
      <c r="E743" s="3">
        <v>174</v>
      </c>
      <c r="F743" s="3">
        <v>744</v>
      </c>
      <c r="G743" s="3">
        <v>40</v>
      </c>
      <c r="H743" t="str">
        <f t="shared" si="131"/>
        <v>30-174</v>
      </c>
      <c r="I743" t="b">
        <v>1</v>
      </c>
    </row>
    <row r="744" spans="1:9" x14ac:dyDescent="0.3">
      <c r="A744" t="s">
        <v>536</v>
      </c>
      <c r="B744" t="s">
        <v>587</v>
      </c>
      <c r="C744" t="s">
        <v>589</v>
      </c>
      <c r="D744" s="3">
        <v>30</v>
      </c>
      <c r="E744" s="3">
        <v>174</v>
      </c>
      <c r="F744" s="3">
        <v>745</v>
      </c>
      <c r="G744" s="3">
        <v>40</v>
      </c>
      <c r="H744" t="str">
        <f t="shared" si="131"/>
        <v>30-174</v>
      </c>
      <c r="I744" t="b">
        <v>1</v>
      </c>
    </row>
    <row r="745" spans="1:9" x14ac:dyDescent="0.3">
      <c r="A745" t="s">
        <v>536</v>
      </c>
      <c r="B745" t="s">
        <v>587</v>
      </c>
      <c r="C745" t="s">
        <v>590</v>
      </c>
      <c r="D745" s="3">
        <v>30</v>
      </c>
      <c r="E745" s="3">
        <v>174</v>
      </c>
      <c r="F745" s="3">
        <v>746</v>
      </c>
      <c r="G745" s="3">
        <v>150</v>
      </c>
      <c r="H745" t="str">
        <f t="shared" si="131"/>
        <v>30-174</v>
      </c>
      <c r="I745" t="b">
        <v>1</v>
      </c>
    </row>
    <row r="746" spans="1:9" x14ac:dyDescent="0.3">
      <c r="A746" t="s">
        <v>536</v>
      </c>
      <c r="B746" t="s">
        <v>587</v>
      </c>
      <c r="C746" t="s">
        <v>529</v>
      </c>
      <c r="D746" s="3">
        <v>30</v>
      </c>
      <c r="E746" s="3">
        <v>174</v>
      </c>
      <c r="F746" s="3">
        <v>747</v>
      </c>
      <c r="G746" s="3">
        <v>220</v>
      </c>
      <c r="H746" t="str">
        <f t="shared" si="131"/>
        <v>30-174</v>
      </c>
      <c r="I746" t="b">
        <v>1</v>
      </c>
    </row>
    <row r="747" spans="1:9" x14ac:dyDescent="0.3">
      <c r="A747" t="s">
        <v>536</v>
      </c>
      <c r="B747" t="s">
        <v>587</v>
      </c>
      <c r="C747" t="s">
        <v>591</v>
      </c>
      <c r="D747" s="3">
        <v>30</v>
      </c>
      <c r="E747" s="3">
        <v>174</v>
      </c>
      <c r="F747" s="3">
        <v>748</v>
      </c>
      <c r="G747" s="3">
        <v>100</v>
      </c>
      <c r="H747" t="str">
        <f t="shared" si="131"/>
        <v>30-174</v>
      </c>
      <c r="I747" t="b">
        <v>1</v>
      </c>
    </row>
    <row r="748" spans="1:9" x14ac:dyDescent="0.3">
      <c r="A748" t="s">
        <v>536</v>
      </c>
      <c r="B748" t="s">
        <v>587</v>
      </c>
      <c r="C748" t="s">
        <v>592</v>
      </c>
      <c r="D748" s="3">
        <v>30</v>
      </c>
      <c r="E748" s="3">
        <v>174</v>
      </c>
      <c r="F748" s="3">
        <v>749</v>
      </c>
      <c r="G748" s="3">
        <v>250</v>
      </c>
      <c r="H748" t="str">
        <f t="shared" si="131"/>
        <v>30-174</v>
      </c>
      <c r="I748" t="b">
        <v>1</v>
      </c>
    </row>
    <row r="749" spans="1:9" x14ac:dyDescent="0.3">
      <c r="A749" t="s">
        <v>536</v>
      </c>
      <c r="B749" t="s">
        <v>587</v>
      </c>
      <c r="C749" t="s">
        <v>60</v>
      </c>
      <c r="D749" s="3">
        <v>30</v>
      </c>
      <c r="E749" s="3">
        <v>174</v>
      </c>
      <c r="F749" s="3">
        <v>750</v>
      </c>
      <c r="G749" s="3">
        <v>80</v>
      </c>
      <c r="H749" t="str">
        <f t="shared" si="131"/>
        <v>30-174</v>
      </c>
      <c r="I749" t="b">
        <v>1</v>
      </c>
    </row>
    <row r="750" spans="1:9" x14ac:dyDescent="0.3">
      <c r="A750" t="s">
        <v>725</v>
      </c>
      <c r="B750" t="s">
        <v>741</v>
      </c>
      <c r="C750" t="s">
        <v>742</v>
      </c>
      <c r="D750" s="3">
        <v>35</v>
      </c>
      <c r="E750" s="3">
        <v>175</v>
      </c>
      <c r="F750" s="3">
        <v>751</v>
      </c>
      <c r="G750" s="3">
        <v>110</v>
      </c>
      <c r="H750" t="str">
        <f t="shared" si="131"/>
        <v>35-175</v>
      </c>
      <c r="I750" t="b">
        <v>1</v>
      </c>
    </row>
    <row r="751" spans="1:9" x14ac:dyDescent="0.3">
      <c r="A751" t="s">
        <v>725</v>
      </c>
      <c r="B751" t="s">
        <v>741</v>
      </c>
      <c r="C751" t="s">
        <v>743</v>
      </c>
      <c r="D751" s="3">
        <v>35</v>
      </c>
      <c r="E751" s="3">
        <v>175</v>
      </c>
      <c r="F751" s="3">
        <v>752</v>
      </c>
      <c r="G751" s="3">
        <v>650</v>
      </c>
      <c r="H751" t="str">
        <f t="shared" si="131"/>
        <v>35-175</v>
      </c>
      <c r="I751" t="b">
        <v>1</v>
      </c>
    </row>
    <row r="752" spans="1:9" x14ac:dyDescent="0.3">
      <c r="A752" t="s">
        <v>725</v>
      </c>
      <c r="B752" t="s">
        <v>741</v>
      </c>
      <c r="C752" t="s">
        <v>204</v>
      </c>
      <c r="D752" s="3">
        <v>35</v>
      </c>
      <c r="E752" s="3">
        <v>175</v>
      </c>
      <c r="F752" s="3">
        <v>753</v>
      </c>
      <c r="G752" s="3">
        <v>7330</v>
      </c>
      <c r="H752" t="str">
        <f t="shared" si="131"/>
        <v>35-175</v>
      </c>
      <c r="I752" t="b">
        <v>1</v>
      </c>
    </row>
    <row r="753" spans="1:9" x14ac:dyDescent="0.3">
      <c r="A753" t="s">
        <v>725</v>
      </c>
      <c r="B753" t="s">
        <v>741</v>
      </c>
      <c r="C753" t="s">
        <v>744</v>
      </c>
      <c r="D753" s="3">
        <v>35</v>
      </c>
      <c r="E753" s="3">
        <v>175</v>
      </c>
      <c r="F753" s="3">
        <v>754</v>
      </c>
      <c r="G753" s="3">
        <v>650</v>
      </c>
      <c r="H753" t="str">
        <f t="shared" si="131"/>
        <v>35-175</v>
      </c>
      <c r="I753" t="b">
        <v>1</v>
      </c>
    </row>
    <row r="754" spans="1:9" x14ac:dyDescent="0.3">
      <c r="A754" t="s">
        <v>222</v>
      </c>
      <c r="B754" t="s">
        <v>237</v>
      </c>
      <c r="C754" t="s">
        <v>238</v>
      </c>
      <c r="D754" s="3">
        <v>16</v>
      </c>
      <c r="E754" s="3">
        <v>176</v>
      </c>
      <c r="F754" s="3">
        <v>755</v>
      </c>
      <c r="G754" s="3">
        <v>6340</v>
      </c>
      <c r="H754" t="str">
        <f t="shared" si="131"/>
        <v>16-176</v>
      </c>
      <c r="I754" t="b">
        <v>1</v>
      </c>
    </row>
    <row r="755" spans="1:9" x14ac:dyDescent="0.3">
      <c r="A755" t="s">
        <v>875</v>
      </c>
      <c r="B755" t="s">
        <v>920</v>
      </c>
      <c r="C755" t="s">
        <v>921</v>
      </c>
      <c r="D755" s="3">
        <v>50</v>
      </c>
      <c r="E755" s="3">
        <v>177</v>
      </c>
      <c r="F755" s="3">
        <v>756</v>
      </c>
      <c r="G755" s="3">
        <v>160</v>
      </c>
      <c r="H755" t="str">
        <f t="shared" si="131"/>
        <v>50-177</v>
      </c>
      <c r="I755" t="b">
        <v>1</v>
      </c>
    </row>
    <row r="756" spans="1:9" x14ac:dyDescent="0.3">
      <c r="A756" t="s">
        <v>875</v>
      </c>
      <c r="B756" t="s">
        <v>920</v>
      </c>
      <c r="C756" t="s">
        <v>568</v>
      </c>
      <c r="D756" s="3">
        <v>50</v>
      </c>
      <c r="E756" s="3">
        <v>177</v>
      </c>
      <c r="F756" s="3">
        <v>757</v>
      </c>
      <c r="G756" s="3">
        <v>70</v>
      </c>
      <c r="H756" t="str">
        <f t="shared" si="131"/>
        <v>50-177</v>
      </c>
      <c r="I756" t="b">
        <v>1</v>
      </c>
    </row>
    <row r="757" spans="1:9" x14ac:dyDescent="0.3">
      <c r="A757" t="s">
        <v>875</v>
      </c>
      <c r="B757" t="s">
        <v>920</v>
      </c>
      <c r="C757" t="s">
        <v>34</v>
      </c>
      <c r="D757" s="3">
        <v>50</v>
      </c>
      <c r="E757" s="3">
        <v>177</v>
      </c>
      <c r="F757" s="3">
        <v>758</v>
      </c>
      <c r="G757" s="3">
        <v>80</v>
      </c>
      <c r="H757" t="str">
        <f t="shared" si="131"/>
        <v>50-177</v>
      </c>
      <c r="I757" t="b">
        <v>1</v>
      </c>
    </row>
    <row r="758" spans="1:9" x14ac:dyDescent="0.3">
      <c r="A758" t="s">
        <v>875</v>
      </c>
      <c r="B758" t="s">
        <v>920</v>
      </c>
      <c r="C758" t="s">
        <v>60</v>
      </c>
      <c r="D758" s="3">
        <v>50</v>
      </c>
      <c r="E758" s="3">
        <v>177</v>
      </c>
      <c r="F758" s="3">
        <v>759</v>
      </c>
      <c r="G758" s="3">
        <v>210</v>
      </c>
      <c r="H758" t="str">
        <f t="shared" si="131"/>
        <v>50-177</v>
      </c>
      <c r="I758" t="b">
        <v>1</v>
      </c>
    </row>
    <row r="759" spans="1:9" x14ac:dyDescent="0.3">
      <c r="A759" t="s">
        <v>75</v>
      </c>
      <c r="B759" t="s">
        <v>82</v>
      </c>
      <c r="C759" t="s">
        <v>83</v>
      </c>
      <c r="D759" s="3">
        <v>7</v>
      </c>
      <c r="E759" s="3">
        <v>178</v>
      </c>
      <c r="F759" s="3">
        <v>760</v>
      </c>
      <c r="G759" s="3">
        <v>70</v>
      </c>
      <c r="H759" t="str">
        <f t="shared" si="131"/>
        <v>7-178</v>
      </c>
      <c r="I759" t="b">
        <v>1</v>
      </c>
    </row>
    <row r="760" spans="1:9" x14ac:dyDescent="0.3">
      <c r="A760" t="s">
        <v>75</v>
      </c>
      <c r="B760" t="s">
        <v>82</v>
      </c>
      <c r="C760" t="s">
        <v>84</v>
      </c>
      <c r="D760" s="3">
        <v>7</v>
      </c>
      <c r="E760" s="3">
        <v>178</v>
      </c>
      <c r="F760" s="3">
        <v>761</v>
      </c>
      <c r="G760" s="3">
        <v>50</v>
      </c>
      <c r="H760" t="str">
        <f t="shared" si="131"/>
        <v>7-178</v>
      </c>
      <c r="I760" t="b">
        <v>1</v>
      </c>
    </row>
    <row r="761" spans="1:9" x14ac:dyDescent="0.3">
      <c r="A761" t="s">
        <v>75</v>
      </c>
      <c r="B761" t="s">
        <v>82</v>
      </c>
      <c r="C761" t="s">
        <v>85</v>
      </c>
      <c r="D761" s="3">
        <v>7</v>
      </c>
      <c r="E761" s="3">
        <v>178</v>
      </c>
      <c r="F761" s="3">
        <v>762</v>
      </c>
      <c r="G761" s="3">
        <v>60</v>
      </c>
      <c r="H761" t="str">
        <f t="shared" si="131"/>
        <v>7-178</v>
      </c>
      <c r="I761" t="b">
        <v>1</v>
      </c>
    </row>
    <row r="762" spans="1:9" x14ac:dyDescent="0.3">
      <c r="A762" t="s">
        <v>75</v>
      </c>
      <c r="B762" t="s">
        <v>82</v>
      </c>
      <c r="C762" t="s">
        <v>86</v>
      </c>
      <c r="D762" s="3">
        <v>7</v>
      </c>
      <c r="E762" s="3">
        <v>178</v>
      </c>
      <c r="F762" s="3">
        <v>763</v>
      </c>
      <c r="G762" s="3">
        <v>380</v>
      </c>
      <c r="H762" t="str">
        <f t="shared" si="131"/>
        <v>7-178</v>
      </c>
      <c r="I762" t="b">
        <v>1</v>
      </c>
    </row>
    <row r="763" spans="1:9" x14ac:dyDescent="0.3">
      <c r="A763" t="s">
        <v>75</v>
      </c>
      <c r="B763" t="s">
        <v>82</v>
      </c>
      <c r="C763" t="s">
        <v>87</v>
      </c>
      <c r="D763" s="3">
        <v>7</v>
      </c>
      <c r="E763" s="3">
        <v>178</v>
      </c>
      <c r="F763" s="3">
        <v>764</v>
      </c>
      <c r="G763" s="3">
        <v>190</v>
      </c>
      <c r="H763" t="str">
        <f t="shared" si="131"/>
        <v>7-178</v>
      </c>
      <c r="I763" t="b">
        <v>1</v>
      </c>
    </row>
    <row r="764" spans="1:9" x14ac:dyDescent="0.3">
      <c r="A764" t="s">
        <v>75</v>
      </c>
      <c r="B764" t="s">
        <v>82</v>
      </c>
      <c r="C764" t="s">
        <v>88</v>
      </c>
      <c r="D764" s="3">
        <v>7</v>
      </c>
      <c r="E764" s="3">
        <v>178</v>
      </c>
      <c r="F764" s="3">
        <v>765</v>
      </c>
      <c r="G764" s="3">
        <v>70</v>
      </c>
      <c r="H764" t="str">
        <f t="shared" si="131"/>
        <v>7-178</v>
      </c>
      <c r="I764" t="b">
        <v>1</v>
      </c>
    </row>
    <row r="765" spans="1:9" x14ac:dyDescent="0.3">
      <c r="A765" t="s">
        <v>75</v>
      </c>
      <c r="B765" t="s">
        <v>82</v>
      </c>
      <c r="C765" t="s">
        <v>89</v>
      </c>
      <c r="D765" s="3">
        <v>7</v>
      </c>
      <c r="E765" s="3">
        <v>178</v>
      </c>
      <c r="F765" s="3">
        <v>766</v>
      </c>
      <c r="G765" s="3">
        <v>120</v>
      </c>
      <c r="H765" t="str">
        <f t="shared" si="131"/>
        <v>7-178</v>
      </c>
      <c r="I765" t="b">
        <v>1</v>
      </c>
    </row>
    <row r="766" spans="1:9" x14ac:dyDescent="0.3">
      <c r="A766" t="s">
        <v>75</v>
      </c>
      <c r="B766" t="s">
        <v>82</v>
      </c>
      <c r="C766" t="s">
        <v>90</v>
      </c>
      <c r="D766" s="3">
        <v>7</v>
      </c>
      <c r="E766" s="3">
        <v>178</v>
      </c>
      <c r="F766" s="3">
        <v>767</v>
      </c>
      <c r="G766" s="3">
        <v>120</v>
      </c>
      <c r="H766" t="str">
        <f t="shared" si="131"/>
        <v>7-178</v>
      </c>
      <c r="I766" t="b">
        <v>1</v>
      </c>
    </row>
    <row r="767" spans="1:9" x14ac:dyDescent="0.3">
      <c r="A767" t="s">
        <v>75</v>
      </c>
      <c r="B767" t="s">
        <v>82</v>
      </c>
      <c r="C767" t="s">
        <v>91</v>
      </c>
      <c r="D767" s="3">
        <v>7</v>
      </c>
      <c r="E767" s="3">
        <v>178</v>
      </c>
      <c r="F767" s="3">
        <v>768</v>
      </c>
      <c r="G767" s="3">
        <v>60</v>
      </c>
      <c r="H767" t="str">
        <f t="shared" si="131"/>
        <v>7-178</v>
      </c>
      <c r="I767" t="b">
        <v>1</v>
      </c>
    </row>
    <row r="768" spans="1:9" x14ac:dyDescent="0.3">
      <c r="A768" t="s">
        <v>75</v>
      </c>
      <c r="B768" t="s">
        <v>82</v>
      </c>
      <c r="C768" t="s">
        <v>92</v>
      </c>
      <c r="D768" s="3">
        <v>7</v>
      </c>
      <c r="E768" s="3">
        <v>178</v>
      </c>
      <c r="F768" s="3">
        <v>769</v>
      </c>
      <c r="G768" s="3">
        <v>20</v>
      </c>
      <c r="H768" t="str">
        <f t="shared" si="131"/>
        <v>7-178</v>
      </c>
      <c r="I768" t="b">
        <v>1</v>
      </c>
    </row>
    <row r="769" spans="1:9" x14ac:dyDescent="0.3">
      <c r="A769" t="s">
        <v>75</v>
      </c>
      <c r="B769" t="s">
        <v>82</v>
      </c>
      <c r="C769" t="s">
        <v>93</v>
      </c>
      <c r="D769" s="3">
        <v>7</v>
      </c>
      <c r="E769" s="3">
        <v>178</v>
      </c>
      <c r="F769" s="3">
        <v>770</v>
      </c>
      <c r="G769" s="3">
        <v>20</v>
      </c>
      <c r="H769" t="str">
        <f t="shared" si="131"/>
        <v>7-178</v>
      </c>
      <c r="I769" t="b">
        <v>1</v>
      </c>
    </row>
    <row r="770" spans="1:9" x14ac:dyDescent="0.3">
      <c r="A770" t="s">
        <v>75</v>
      </c>
      <c r="B770" t="s">
        <v>82</v>
      </c>
      <c r="C770" t="s">
        <v>94</v>
      </c>
      <c r="D770" s="3">
        <v>7</v>
      </c>
      <c r="E770" s="3">
        <v>178</v>
      </c>
      <c r="F770" s="3">
        <v>771</v>
      </c>
      <c r="G770" s="3">
        <v>120</v>
      </c>
      <c r="H770" t="str">
        <f t="shared" si="131"/>
        <v>7-178</v>
      </c>
      <c r="I770" t="b">
        <v>1</v>
      </c>
    </row>
    <row r="771" spans="1:9" x14ac:dyDescent="0.3">
      <c r="A771" t="s">
        <v>75</v>
      </c>
      <c r="B771" t="s">
        <v>82</v>
      </c>
      <c r="C771" t="s">
        <v>95</v>
      </c>
      <c r="D771" s="3">
        <v>7</v>
      </c>
      <c r="E771" s="3">
        <v>178</v>
      </c>
      <c r="F771" s="3">
        <v>772</v>
      </c>
      <c r="G771" s="3">
        <v>800</v>
      </c>
      <c r="H771" t="str">
        <f t="shared" ref="H771:H834" si="132">_xlfn.CONCAT(D771,"-",E771)</f>
        <v>7-178</v>
      </c>
      <c r="I771" t="b">
        <v>1</v>
      </c>
    </row>
    <row r="772" spans="1:9" x14ac:dyDescent="0.3">
      <c r="A772" t="s">
        <v>75</v>
      </c>
      <c r="B772" t="s">
        <v>82</v>
      </c>
      <c r="C772" t="s">
        <v>96</v>
      </c>
      <c r="D772" s="3">
        <v>7</v>
      </c>
      <c r="E772" s="3">
        <v>178</v>
      </c>
      <c r="F772" s="3">
        <v>773</v>
      </c>
      <c r="G772" s="3">
        <v>80</v>
      </c>
      <c r="H772" t="str">
        <f t="shared" si="132"/>
        <v>7-178</v>
      </c>
      <c r="I772" t="b">
        <v>1</v>
      </c>
    </row>
    <row r="773" spans="1:9" x14ac:dyDescent="0.3">
      <c r="A773" t="s">
        <v>75</v>
      </c>
      <c r="B773" t="s">
        <v>82</v>
      </c>
      <c r="C773" t="s">
        <v>97</v>
      </c>
      <c r="D773" s="3">
        <v>7</v>
      </c>
      <c r="E773" s="3">
        <v>178</v>
      </c>
      <c r="F773" s="3">
        <v>774</v>
      </c>
      <c r="G773" s="3">
        <v>110</v>
      </c>
      <c r="H773" t="str">
        <f t="shared" si="132"/>
        <v>7-178</v>
      </c>
      <c r="I773" t="b">
        <v>1</v>
      </c>
    </row>
    <row r="774" spans="1:9" x14ac:dyDescent="0.3">
      <c r="A774" t="s">
        <v>75</v>
      </c>
      <c r="B774" t="s">
        <v>82</v>
      </c>
      <c r="C774" t="s">
        <v>98</v>
      </c>
      <c r="D774" s="3">
        <v>7</v>
      </c>
      <c r="E774" s="3">
        <v>178</v>
      </c>
      <c r="F774" s="3">
        <v>775</v>
      </c>
      <c r="G774" s="3">
        <v>40</v>
      </c>
      <c r="H774" t="str">
        <f t="shared" si="132"/>
        <v>7-178</v>
      </c>
      <c r="I774" t="b">
        <v>1</v>
      </c>
    </row>
    <row r="775" spans="1:9" x14ac:dyDescent="0.3">
      <c r="A775" t="s">
        <v>75</v>
      </c>
      <c r="B775" t="s">
        <v>82</v>
      </c>
      <c r="C775" t="s">
        <v>99</v>
      </c>
      <c r="D775" s="3">
        <v>7</v>
      </c>
      <c r="E775" s="3">
        <v>178</v>
      </c>
      <c r="F775" s="3">
        <v>776</v>
      </c>
      <c r="G775" s="3">
        <v>300</v>
      </c>
      <c r="H775" t="str">
        <f t="shared" si="132"/>
        <v>7-178</v>
      </c>
      <c r="I775" t="b">
        <v>1</v>
      </c>
    </row>
    <row r="776" spans="1:9" x14ac:dyDescent="0.3">
      <c r="A776" t="s">
        <v>75</v>
      </c>
      <c r="B776" t="s">
        <v>82</v>
      </c>
      <c r="C776" t="s">
        <v>100</v>
      </c>
      <c r="D776" s="3">
        <v>7</v>
      </c>
      <c r="E776" s="3">
        <v>178</v>
      </c>
      <c r="F776" s="3">
        <v>777</v>
      </c>
      <c r="G776" s="3">
        <v>60</v>
      </c>
      <c r="H776" t="str">
        <f t="shared" si="132"/>
        <v>7-178</v>
      </c>
      <c r="I776" t="b">
        <v>1</v>
      </c>
    </row>
    <row r="777" spans="1:9" x14ac:dyDescent="0.3">
      <c r="A777" t="s">
        <v>75</v>
      </c>
      <c r="B777" t="s">
        <v>82</v>
      </c>
      <c r="C777" t="s">
        <v>101</v>
      </c>
      <c r="D777" s="3">
        <v>7</v>
      </c>
      <c r="E777" s="3">
        <v>178</v>
      </c>
      <c r="F777" s="3">
        <v>778</v>
      </c>
      <c r="G777" s="3">
        <v>1190</v>
      </c>
      <c r="H777" t="str">
        <f t="shared" si="132"/>
        <v>7-178</v>
      </c>
      <c r="I777" t="b">
        <v>1</v>
      </c>
    </row>
    <row r="778" spans="1:9" x14ac:dyDescent="0.3">
      <c r="A778" t="s">
        <v>75</v>
      </c>
      <c r="B778" t="s">
        <v>82</v>
      </c>
      <c r="C778" t="s">
        <v>102</v>
      </c>
      <c r="D778" s="3">
        <v>7</v>
      </c>
      <c r="E778" s="3">
        <v>178</v>
      </c>
      <c r="F778" s="3">
        <v>779</v>
      </c>
      <c r="G778" s="3">
        <v>50</v>
      </c>
      <c r="H778" t="str">
        <f t="shared" si="132"/>
        <v>7-178</v>
      </c>
      <c r="I778" t="b">
        <v>1</v>
      </c>
    </row>
    <row r="779" spans="1:9" x14ac:dyDescent="0.3">
      <c r="A779" t="s">
        <v>75</v>
      </c>
      <c r="B779" t="s">
        <v>82</v>
      </c>
      <c r="C779" t="s">
        <v>103</v>
      </c>
      <c r="D779" s="3">
        <v>7</v>
      </c>
      <c r="E779" s="3">
        <v>178</v>
      </c>
      <c r="F779" s="3">
        <v>780</v>
      </c>
      <c r="G779" s="3">
        <v>280</v>
      </c>
      <c r="H779" t="str">
        <f t="shared" si="132"/>
        <v>7-178</v>
      </c>
      <c r="I779" t="b">
        <v>1</v>
      </c>
    </row>
    <row r="780" spans="1:9" x14ac:dyDescent="0.3">
      <c r="A780" t="s">
        <v>75</v>
      </c>
      <c r="B780" t="s">
        <v>82</v>
      </c>
      <c r="C780" t="s">
        <v>104</v>
      </c>
      <c r="D780" s="3">
        <v>7</v>
      </c>
      <c r="E780" s="3">
        <v>178</v>
      </c>
      <c r="F780" s="3">
        <v>781</v>
      </c>
      <c r="G780" s="3">
        <v>70</v>
      </c>
      <c r="H780" t="str">
        <f t="shared" si="132"/>
        <v>7-178</v>
      </c>
      <c r="I780" t="b">
        <v>1</v>
      </c>
    </row>
    <row r="781" spans="1:9" x14ac:dyDescent="0.3">
      <c r="A781" t="s">
        <v>75</v>
      </c>
      <c r="B781" t="s">
        <v>82</v>
      </c>
      <c r="C781" t="s">
        <v>105</v>
      </c>
      <c r="D781" s="3">
        <v>7</v>
      </c>
      <c r="E781" s="3">
        <v>178</v>
      </c>
      <c r="F781" s="3">
        <v>782</v>
      </c>
      <c r="G781" s="3">
        <v>180</v>
      </c>
      <c r="H781" t="str">
        <f t="shared" si="132"/>
        <v>7-178</v>
      </c>
      <c r="I781" t="b">
        <v>1</v>
      </c>
    </row>
    <row r="782" spans="1:9" x14ac:dyDescent="0.3">
      <c r="A782" t="s">
        <v>75</v>
      </c>
      <c r="B782" t="s">
        <v>82</v>
      </c>
      <c r="C782" t="s">
        <v>106</v>
      </c>
      <c r="D782" s="3">
        <v>7</v>
      </c>
      <c r="E782" s="3">
        <v>178</v>
      </c>
      <c r="F782" s="3">
        <v>783</v>
      </c>
      <c r="G782" s="3">
        <v>130</v>
      </c>
      <c r="H782" t="str">
        <f t="shared" si="132"/>
        <v>7-178</v>
      </c>
      <c r="I782" t="b">
        <v>1</v>
      </c>
    </row>
    <row r="783" spans="1:9" x14ac:dyDescent="0.3">
      <c r="A783" t="s">
        <v>75</v>
      </c>
      <c r="B783" t="s">
        <v>82</v>
      </c>
      <c r="C783" t="s">
        <v>107</v>
      </c>
      <c r="D783" s="3">
        <v>7</v>
      </c>
      <c r="E783" s="3">
        <v>178</v>
      </c>
      <c r="F783" s="3">
        <v>784</v>
      </c>
      <c r="G783" s="3">
        <v>140</v>
      </c>
      <c r="H783" t="str">
        <f t="shared" si="132"/>
        <v>7-178</v>
      </c>
      <c r="I783" t="b">
        <v>1</v>
      </c>
    </row>
    <row r="784" spans="1:9" x14ac:dyDescent="0.3">
      <c r="A784" t="s">
        <v>75</v>
      </c>
      <c r="B784" t="s">
        <v>82</v>
      </c>
      <c r="C784" t="s">
        <v>108</v>
      </c>
      <c r="D784" s="3">
        <v>7</v>
      </c>
      <c r="E784" s="3">
        <v>178</v>
      </c>
      <c r="F784" s="3">
        <v>785</v>
      </c>
      <c r="G784" s="3">
        <v>720</v>
      </c>
      <c r="H784" t="str">
        <f t="shared" si="132"/>
        <v>7-178</v>
      </c>
      <c r="I784" t="b">
        <v>1</v>
      </c>
    </row>
    <row r="785" spans="1:9" x14ac:dyDescent="0.3">
      <c r="A785" t="s">
        <v>75</v>
      </c>
      <c r="B785" t="s">
        <v>82</v>
      </c>
      <c r="C785" t="s">
        <v>109</v>
      </c>
      <c r="D785" s="3">
        <v>7</v>
      </c>
      <c r="E785" s="3">
        <v>178</v>
      </c>
      <c r="F785" s="3">
        <v>786</v>
      </c>
      <c r="G785" s="3">
        <v>60</v>
      </c>
      <c r="H785" t="str">
        <f t="shared" si="132"/>
        <v>7-178</v>
      </c>
      <c r="I785" t="b">
        <v>1</v>
      </c>
    </row>
    <row r="786" spans="1:9" x14ac:dyDescent="0.3">
      <c r="A786" t="s">
        <v>75</v>
      </c>
      <c r="B786" t="s">
        <v>82</v>
      </c>
      <c r="C786" t="s">
        <v>110</v>
      </c>
      <c r="D786" s="3">
        <v>7</v>
      </c>
      <c r="E786" s="3">
        <v>178</v>
      </c>
      <c r="F786" s="3">
        <v>787</v>
      </c>
      <c r="G786" s="3">
        <v>60</v>
      </c>
      <c r="H786" t="str">
        <f t="shared" si="132"/>
        <v>7-178</v>
      </c>
      <c r="I786" t="b">
        <v>1</v>
      </c>
    </row>
    <row r="787" spans="1:9" x14ac:dyDescent="0.3">
      <c r="A787" t="s">
        <v>75</v>
      </c>
      <c r="B787" t="s">
        <v>82</v>
      </c>
      <c r="C787" t="s">
        <v>111</v>
      </c>
      <c r="D787" s="3">
        <v>7</v>
      </c>
      <c r="E787" s="3">
        <v>178</v>
      </c>
      <c r="F787" s="3">
        <v>788</v>
      </c>
      <c r="G787" s="3">
        <v>50</v>
      </c>
      <c r="H787" t="str">
        <f t="shared" si="132"/>
        <v>7-178</v>
      </c>
      <c r="I787" t="b">
        <v>1</v>
      </c>
    </row>
    <row r="788" spans="1:9" x14ac:dyDescent="0.3">
      <c r="A788" t="s">
        <v>75</v>
      </c>
      <c r="B788" t="s">
        <v>82</v>
      </c>
      <c r="C788" t="s">
        <v>112</v>
      </c>
      <c r="D788" s="3">
        <v>7</v>
      </c>
      <c r="E788" s="3">
        <v>178</v>
      </c>
      <c r="F788" s="3">
        <v>789</v>
      </c>
      <c r="G788" s="3">
        <v>70</v>
      </c>
      <c r="H788" t="str">
        <f t="shared" si="132"/>
        <v>7-178</v>
      </c>
      <c r="I788" t="b">
        <v>1</v>
      </c>
    </row>
    <row r="789" spans="1:9" x14ac:dyDescent="0.3">
      <c r="A789" t="s">
        <v>75</v>
      </c>
      <c r="B789" t="s">
        <v>82</v>
      </c>
      <c r="C789" t="s">
        <v>113</v>
      </c>
      <c r="D789" s="3">
        <v>7</v>
      </c>
      <c r="E789" s="3">
        <v>178</v>
      </c>
      <c r="F789" s="3">
        <v>790</v>
      </c>
      <c r="G789" s="3">
        <v>530</v>
      </c>
      <c r="H789" t="str">
        <f t="shared" si="132"/>
        <v>7-178</v>
      </c>
      <c r="I789" t="b">
        <v>1</v>
      </c>
    </row>
    <row r="790" spans="1:9" x14ac:dyDescent="0.3">
      <c r="A790" t="s">
        <v>75</v>
      </c>
      <c r="B790" t="s">
        <v>82</v>
      </c>
      <c r="C790" t="s">
        <v>114</v>
      </c>
      <c r="D790" s="3">
        <v>7</v>
      </c>
      <c r="E790" s="3">
        <v>178</v>
      </c>
      <c r="F790" s="3">
        <v>791</v>
      </c>
      <c r="G790" s="3">
        <v>90</v>
      </c>
      <c r="H790" t="str">
        <f t="shared" si="132"/>
        <v>7-178</v>
      </c>
      <c r="I790" t="b">
        <v>1</v>
      </c>
    </row>
    <row r="791" spans="1:9" x14ac:dyDescent="0.3">
      <c r="A791" t="s">
        <v>75</v>
      </c>
      <c r="B791" t="s">
        <v>82</v>
      </c>
      <c r="C791" t="s">
        <v>115</v>
      </c>
      <c r="D791" s="3">
        <v>7</v>
      </c>
      <c r="E791" s="3">
        <v>178</v>
      </c>
      <c r="F791" s="3">
        <v>792</v>
      </c>
      <c r="G791" s="3">
        <v>70</v>
      </c>
      <c r="H791" t="str">
        <f t="shared" si="132"/>
        <v>7-178</v>
      </c>
      <c r="I791" t="b">
        <v>1</v>
      </c>
    </row>
    <row r="792" spans="1:9" x14ac:dyDescent="0.3">
      <c r="A792" t="s">
        <v>75</v>
      </c>
      <c r="B792" t="s">
        <v>82</v>
      </c>
      <c r="C792" t="s">
        <v>116</v>
      </c>
      <c r="D792" s="3">
        <v>7</v>
      </c>
      <c r="E792" s="3">
        <v>178</v>
      </c>
      <c r="F792" s="3">
        <v>793</v>
      </c>
      <c r="G792" s="3">
        <v>60</v>
      </c>
      <c r="H792" t="str">
        <f t="shared" si="132"/>
        <v>7-178</v>
      </c>
      <c r="I792" t="b">
        <v>1</v>
      </c>
    </row>
    <row r="793" spans="1:9" x14ac:dyDescent="0.3">
      <c r="A793" t="s">
        <v>75</v>
      </c>
      <c r="B793" t="s">
        <v>82</v>
      </c>
      <c r="C793" t="s">
        <v>117</v>
      </c>
      <c r="D793" s="3">
        <v>7</v>
      </c>
      <c r="E793" s="3">
        <v>178</v>
      </c>
      <c r="F793" s="3">
        <v>794</v>
      </c>
      <c r="G793" s="3">
        <v>50</v>
      </c>
      <c r="H793" t="str">
        <f t="shared" si="132"/>
        <v>7-178</v>
      </c>
      <c r="I793" t="b">
        <v>1</v>
      </c>
    </row>
    <row r="794" spans="1:9" x14ac:dyDescent="0.3">
      <c r="A794" t="s">
        <v>75</v>
      </c>
      <c r="B794" t="s">
        <v>82</v>
      </c>
      <c r="C794" t="s">
        <v>118</v>
      </c>
      <c r="D794" s="3">
        <v>7</v>
      </c>
      <c r="E794" s="3">
        <v>178</v>
      </c>
      <c r="F794" s="3">
        <v>795</v>
      </c>
      <c r="G794" s="3">
        <v>2250</v>
      </c>
      <c r="H794" t="str">
        <f t="shared" si="132"/>
        <v>7-178</v>
      </c>
      <c r="I794" t="b">
        <v>1</v>
      </c>
    </row>
    <row r="795" spans="1:9" x14ac:dyDescent="0.3">
      <c r="A795" t="s">
        <v>75</v>
      </c>
      <c r="B795" t="s">
        <v>82</v>
      </c>
      <c r="C795" t="s">
        <v>119</v>
      </c>
      <c r="D795" s="3">
        <v>7</v>
      </c>
      <c r="E795" s="3">
        <v>178</v>
      </c>
      <c r="F795" s="3">
        <v>796</v>
      </c>
      <c r="G795" s="3">
        <v>30</v>
      </c>
      <c r="H795" t="str">
        <f t="shared" si="132"/>
        <v>7-178</v>
      </c>
      <c r="I795" t="b">
        <v>1</v>
      </c>
    </row>
    <row r="796" spans="1:9" x14ac:dyDescent="0.3">
      <c r="A796" t="s">
        <v>75</v>
      </c>
      <c r="B796" t="s">
        <v>82</v>
      </c>
      <c r="C796" t="s">
        <v>120</v>
      </c>
      <c r="D796" s="3">
        <v>7</v>
      </c>
      <c r="E796" s="3">
        <v>178</v>
      </c>
      <c r="F796" s="3">
        <v>797</v>
      </c>
      <c r="G796" s="3">
        <v>70</v>
      </c>
      <c r="H796" t="str">
        <f t="shared" si="132"/>
        <v>7-178</v>
      </c>
      <c r="I796" t="b">
        <v>1</v>
      </c>
    </row>
    <row r="797" spans="1:9" x14ac:dyDescent="0.3">
      <c r="A797" t="s">
        <v>75</v>
      </c>
      <c r="B797" t="s">
        <v>82</v>
      </c>
      <c r="C797" t="s">
        <v>121</v>
      </c>
      <c r="D797" s="3">
        <v>7</v>
      </c>
      <c r="E797" s="3">
        <v>178</v>
      </c>
      <c r="F797" s="3">
        <v>798</v>
      </c>
      <c r="G797" s="3">
        <v>2300</v>
      </c>
      <c r="H797" t="str">
        <f t="shared" si="132"/>
        <v>7-178</v>
      </c>
      <c r="I797" t="b">
        <v>1</v>
      </c>
    </row>
    <row r="798" spans="1:9" x14ac:dyDescent="0.3">
      <c r="A798" t="s">
        <v>75</v>
      </c>
      <c r="B798" t="s">
        <v>82</v>
      </c>
      <c r="C798" t="s">
        <v>122</v>
      </c>
      <c r="D798" s="3">
        <v>7</v>
      </c>
      <c r="E798" s="3">
        <v>178</v>
      </c>
      <c r="F798" s="3">
        <v>799</v>
      </c>
      <c r="G798" s="3">
        <v>230</v>
      </c>
      <c r="H798" t="str">
        <f t="shared" si="132"/>
        <v>7-178</v>
      </c>
      <c r="I798" t="b">
        <v>1</v>
      </c>
    </row>
    <row r="799" spans="1:9" x14ac:dyDescent="0.3">
      <c r="A799" t="s">
        <v>75</v>
      </c>
      <c r="B799" t="s">
        <v>82</v>
      </c>
      <c r="C799" t="s">
        <v>123</v>
      </c>
      <c r="D799" s="3">
        <v>7</v>
      </c>
      <c r="E799" s="3">
        <v>178</v>
      </c>
      <c r="F799" s="3">
        <v>800</v>
      </c>
      <c r="G799" s="3">
        <v>150</v>
      </c>
      <c r="H799" t="str">
        <f t="shared" si="132"/>
        <v>7-178</v>
      </c>
      <c r="I799" t="b">
        <v>1</v>
      </c>
    </row>
    <row r="800" spans="1:9" x14ac:dyDescent="0.3">
      <c r="A800" t="s">
        <v>456</v>
      </c>
      <c r="B800" t="s">
        <v>532</v>
      </c>
      <c r="C800" t="s">
        <v>533</v>
      </c>
      <c r="D800" s="3">
        <v>29</v>
      </c>
      <c r="E800" s="3">
        <v>179</v>
      </c>
      <c r="F800" s="3">
        <v>801</v>
      </c>
      <c r="G800" s="3">
        <v>90</v>
      </c>
      <c r="H800" t="str">
        <f t="shared" si="132"/>
        <v>29-179</v>
      </c>
      <c r="I800" t="b">
        <v>1</v>
      </c>
    </row>
    <row r="801" spans="1:9" x14ac:dyDescent="0.3">
      <c r="A801" t="s">
        <v>456</v>
      </c>
      <c r="B801" t="s">
        <v>532</v>
      </c>
      <c r="C801" t="s">
        <v>534</v>
      </c>
      <c r="D801" s="3">
        <v>29</v>
      </c>
      <c r="E801" s="3">
        <v>179</v>
      </c>
      <c r="F801" s="3">
        <v>802</v>
      </c>
      <c r="G801" s="3">
        <v>40</v>
      </c>
      <c r="H801" t="str">
        <f t="shared" si="132"/>
        <v>29-179</v>
      </c>
      <c r="I801" t="b">
        <v>1</v>
      </c>
    </row>
    <row r="802" spans="1:9" x14ac:dyDescent="0.3">
      <c r="A802" t="s">
        <v>456</v>
      </c>
      <c r="B802" t="s">
        <v>532</v>
      </c>
      <c r="C802" t="s">
        <v>287</v>
      </c>
      <c r="D802" s="3">
        <v>29</v>
      </c>
      <c r="E802" s="3">
        <v>179</v>
      </c>
      <c r="F802" s="3">
        <v>803</v>
      </c>
      <c r="G802" s="3">
        <v>230</v>
      </c>
      <c r="H802" t="str">
        <f t="shared" si="132"/>
        <v>29-179</v>
      </c>
      <c r="I802" t="b">
        <v>1</v>
      </c>
    </row>
    <row r="803" spans="1:9" x14ac:dyDescent="0.3">
      <c r="A803" t="s">
        <v>456</v>
      </c>
      <c r="B803" t="s">
        <v>532</v>
      </c>
      <c r="C803" t="s">
        <v>60</v>
      </c>
      <c r="D803" s="3">
        <v>29</v>
      </c>
      <c r="E803" s="3">
        <v>179</v>
      </c>
      <c r="F803" s="3">
        <v>804</v>
      </c>
      <c r="G803" s="3">
        <v>60</v>
      </c>
      <c r="H803" t="str">
        <f t="shared" si="132"/>
        <v>29-179</v>
      </c>
      <c r="I803" t="b">
        <v>1</v>
      </c>
    </row>
    <row r="804" spans="1:9" x14ac:dyDescent="0.3">
      <c r="A804" t="s">
        <v>709</v>
      </c>
      <c r="B804" t="s">
        <v>710</v>
      </c>
      <c r="C804" t="s">
        <v>711</v>
      </c>
      <c r="D804" s="3">
        <v>32</v>
      </c>
      <c r="E804" s="3">
        <v>180</v>
      </c>
      <c r="F804" s="3">
        <v>805</v>
      </c>
      <c r="G804" s="3">
        <v>80</v>
      </c>
      <c r="H804" t="str">
        <f t="shared" si="132"/>
        <v>32-180</v>
      </c>
      <c r="I804" t="b">
        <v>1</v>
      </c>
    </row>
    <row r="805" spans="1:9" x14ac:dyDescent="0.3">
      <c r="A805" t="s">
        <v>873</v>
      </c>
      <c r="B805" t="s">
        <v>874</v>
      </c>
      <c r="C805" t="s">
        <v>230</v>
      </c>
      <c r="D805" s="3">
        <v>49</v>
      </c>
      <c r="E805" s="3">
        <v>181</v>
      </c>
      <c r="F805" s="3">
        <v>806</v>
      </c>
      <c r="G805" s="3">
        <v>50</v>
      </c>
      <c r="H805" t="str">
        <f t="shared" si="132"/>
        <v>49-181</v>
      </c>
      <c r="I805" t="b">
        <v>1</v>
      </c>
    </row>
    <row r="806" spans="1:9" x14ac:dyDescent="0.3">
      <c r="A806" t="s">
        <v>7</v>
      </c>
      <c r="B806" t="s">
        <v>20</v>
      </c>
      <c r="C806" t="s">
        <v>21</v>
      </c>
      <c r="D806" s="3">
        <v>2</v>
      </c>
      <c r="E806" s="3">
        <v>182</v>
      </c>
      <c r="F806" s="3">
        <v>807</v>
      </c>
      <c r="G806" s="3">
        <v>2620</v>
      </c>
      <c r="H806" t="str">
        <f t="shared" si="132"/>
        <v>2-182</v>
      </c>
      <c r="I806" t="b">
        <v>1</v>
      </c>
    </row>
    <row r="807" spans="1:9" x14ac:dyDescent="0.3">
      <c r="A807" t="s">
        <v>7</v>
      </c>
      <c r="B807" t="s">
        <v>20</v>
      </c>
      <c r="C807" t="s">
        <v>22</v>
      </c>
      <c r="D807" s="3">
        <v>2</v>
      </c>
      <c r="E807" s="3">
        <v>182</v>
      </c>
      <c r="F807" s="3">
        <v>808</v>
      </c>
      <c r="G807" s="3">
        <v>30</v>
      </c>
      <c r="H807" t="str">
        <f t="shared" si="132"/>
        <v>2-182</v>
      </c>
      <c r="I807" t="b">
        <v>1</v>
      </c>
    </row>
    <row r="808" spans="1:9" x14ac:dyDescent="0.3">
      <c r="A808" t="s">
        <v>937</v>
      </c>
      <c r="B808" t="s">
        <v>938</v>
      </c>
      <c r="C808" t="s">
        <v>899</v>
      </c>
      <c r="D808" s="3">
        <v>54</v>
      </c>
      <c r="E808" s="3">
        <v>183</v>
      </c>
      <c r="F808" s="3">
        <v>809</v>
      </c>
      <c r="G808" s="3">
        <v>830</v>
      </c>
      <c r="H808" t="str">
        <f t="shared" si="132"/>
        <v>54-183</v>
      </c>
      <c r="I808" t="b">
        <v>1</v>
      </c>
    </row>
    <row r="809" spans="1:9" x14ac:dyDescent="0.3">
      <c r="A809" t="s">
        <v>954</v>
      </c>
      <c r="B809" t="s">
        <v>956</v>
      </c>
      <c r="C809" t="s">
        <v>242</v>
      </c>
      <c r="D809" s="3">
        <v>58</v>
      </c>
      <c r="E809" s="3">
        <v>184</v>
      </c>
      <c r="F809" s="3">
        <v>810</v>
      </c>
      <c r="G809" s="3">
        <v>4390</v>
      </c>
      <c r="H809" t="str">
        <f t="shared" si="132"/>
        <v>58-184</v>
      </c>
      <c r="I809" t="b">
        <v>1</v>
      </c>
    </row>
    <row r="810" spans="1:9" x14ac:dyDescent="0.3">
      <c r="A810" t="s">
        <v>239</v>
      </c>
      <c r="B810" t="s">
        <v>245</v>
      </c>
      <c r="C810" t="s">
        <v>232</v>
      </c>
      <c r="D810" s="3">
        <v>17</v>
      </c>
      <c r="E810" s="3">
        <v>185</v>
      </c>
      <c r="F810" s="3">
        <v>811</v>
      </c>
      <c r="G810" s="3">
        <v>130</v>
      </c>
      <c r="H810" t="str">
        <f t="shared" si="132"/>
        <v>17-185</v>
      </c>
      <c r="I810" t="b">
        <v>1</v>
      </c>
    </row>
    <row r="811" spans="1:9" x14ac:dyDescent="0.3">
      <c r="A811" t="s">
        <v>239</v>
      </c>
      <c r="B811" t="s">
        <v>245</v>
      </c>
      <c r="C811" t="s">
        <v>246</v>
      </c>
      <c r="D811" s="3">
        <v>17</v>
      </c>
      <c r="E811" s="3">
        <v>185</v>
      </c>
      <c r="F811" s="3">
        <v>812</v>
      </c>
      <c r="G811" s="3">
        <v>20</v>
      </c>
      <c r="H811" t="str">
        <f t="shared" si="132"/>
        <v>17-185</v>
      </c>
      <c r="I811" t="b">
        <v>1</v>
      </c>
    </row>
    <row r="812" spans="1:9" x14ac:dyDescent="0.3">
      <c r="A812" t="s">
        <v>239</v>
      </c>
      <c r="B812" t="s">
        <v>245</v>
      </c>
      <c r="C812" t="s">
        <v>247</v>
      </c>
      <c r="D812" s="3">
        <v>17</v>
      </c>
      <c r="E812" s="3">
        <v>185</v>
      </c>
      <c r="F812" s="3">
        <v>813</v>
      </c>
      <c r="G812" s="3">
        <v>100</v>
      </c>
      <c r="H812" t="str">
        <f t="shared" si="132"/>
        <v>17-185</v>
      </c>
      <c r="I812" t="b">
        <v>1</v>
      </c>
    </row>
    <row r="813" spans="1:9" x14ac:dyDescent="0.3">
      <c r="A813" t="s">
        <v>239</v>
      </c>
      <c r="B813" t="s">
        <v>245</v>
      </c>
      <c r="C813" t="s">
        <v>248</v>
      </c>
      <c r="D813" s="3">
        <v>17</v>
      </c>
      <c r="E813" s="3">
        <v>185</v>
      </c>
      <c r="F813" s="3">
        <v>814</v>
      </c>
      <c r="G813" s="3">
        <v>3270</v>
      </c>
      <c r="H813" t="str">
        <f t="shared" si="132"/>
        <v>17-185</v>
      </c>
      <c r="I813" t="b">
        <v>1</v>
      </c>
    </row>
    <row r="814" spans="1:9" x14ac:dyDescent="0.3">
      <c r="A814" t="s">
        <v>239</v>
      </c>
      <c r="B814" t="s">
        <v>245</v>
      </c>
      <c r="C814" t="s">
        <v>249</v>
      </c>
      <c r="D814" s="3">
        <v>17</v>
      </c>
      <c r="E814" s="3">
        <v>185</v>
      </c>
      <c r="F814" s="3">
        <v>815</v>
      </c>
      <c r="G814" s="3">
        <v>90</v>
      </c>
      <c r="H814" t="str">
        <f t="shared" si="132"/>
        <v>17-185</v>
      </c>
      <c r="I814" t="b">
        <v>1</v>
      </c>
    </row>
    <row r="815" spans="1:9" x14ac:dyDescent="0.3">
      <c r="A815" t="s">
        <v>239</v>
      </c>
      <c r="B815" t="s">
        <v>245</v>
      </c>
      <c r="C815" t="s">
        <v>84</v>
      </c>
      <c r="D815" s="3">
        <v>17</v>
      </c>
      <c r="E815" s="3">
        <v>185</v>
      </c>
      <c r="F815" s="3">
        <v>816</v>
      </c>
      <c r="G815" s="3">
        <v>70</v>
      </c>
      <c r="H815" t="str">
        <f t="shared" si="132"/>
        <v>17-185</v>
      </c>
      <c r="I815" t="b">
        <v>1</v>
      </c>
    </row>
    <row r="816" spans="1:9" x14ac:dyDescent="0.3">
      <c r="A816" t="s">
        <v>239</v>
      </c>
      <c r="B816" t="s">
        <v>245</v>
      </c>
      <c r="C816" t="s">
        <v>250</v>
      </c>
      <c r="D816" s="3">
        <v>17</v>
      </c>
      <c r="E816" s="3">
        <v>185</v>
      </c>
      <c r="F816" s="3">
        <v>817</v>
      </c>
      <c r="G816" s="3">
        <v>210</v>
      </c>
      <c r="H816" t="str">
        <f t="shared" si="132"/>
        <v>17-185</v>
      </c>
      <c r="I816" t="b">
        <v>1</v>
      </c>
    </row>
    <row r="817" spans="1:9" x14ac:dyDescent="0.3">
      <c r="A817" t="s">
        <v>239</v>
      </c>
      <c r="B817" t="s">
        <v>245</v>
      </c>
      <c r="C817" t="s">
        <v>251</v>
      </c>
      <c r="D817" s="3">
        <v>17</v>
      </c>
      <c r="E817" s="3">
        <v>185</v>
      </c>
      <c r="F817" s="3">
        <v>818</v>
      </c>
      <c r="G817" s="3">
        <v>120</v>
      </c>
      <c r="H817" t="str">
        <f t="shared" si="132"/>
        <v>17-185</v>
      </c>
      <c r="I817" t="b">
        <v>1</v>
      </c>
    </row>
    <row r="818" spans="1:9" x14ac:dyDescent="0.3">
      <c r="A818" t="s">
        <v>239</v>
      </c>
      <c r="B818" t="s">
        <v>245</v>
      </c>
      <c r="C818" t="s">
        <v>252</v>
      </c>
      <c r="D818" s="3">
        <v>17</v>
      </c>
      <c r="E818" s="3">
        <v>185</v>
      </c>
      <c r="F818" s="3">
        <v>819</v>
      </c>
      <c r="G818" s="3">
        <v>80</v>
      </c>
      <c r="H818" t="str">
        <f t="shared" si="132"/>
        <v>17-185</v>
      </c>
      <c r="I818" t="b">
        <v>1</v>
      </c>
    </row>
    <row r="819" spans="1:9" x14ac:dyDescent="0.3">
      <c r="A819" t="s">
        <v>239</v>
      </c>
      <c r="B819" t="s">
        <v>245</v>
      </c>
      <c r="C819" t="s">
        <v>253</v>
      </c>
      <c r="D819" s="3">
        <v>17</v>
      </c>
      <c r="E819" s="3">
        <v>185</v>
      </c>
      <c r="F819" s="3">
        <v>820</v>
      </c>
      <c r="G819" s="3">
        <v>720</v>
      </c>
      <c r="H819" t="str">
        <f t="shared" si="132"/>
        <v>17-185</v>
      </c>
      <c r="I819" t="b">
        <v>1</v>
      </c>
    </row>
    <row r="820" spans="1:9" x14ac:dyDescent="0.3">
      <c r="A820" t="s">
        <v>239</v>
      </c>
      <c r="B820" t="s">
        <v>245</v>
      </c>
      <c r="C820" t="s">
        <v>254</v>
      </c>
      <c r="D820" s="3">
        <v>17</v>
      </c>
      <c r="E820" s="3">
        <v>185</v>
      </c>
      <c r="F820" s="3">
        <v>821</v>
      </c>
      <c r="G820" s="3">
        <v>40</v>
      </c>
      <c r="H820" t="str">
        <f t="shared" si="132"/>
        <v>17-185</v>
      </c>
      <c r="I820" t="b">
        <v>1</v>
      </c>
    </row>
    <row r="821" spans="1:9" x14ac:dyDescent="0.3">
      <c r="A821" t="s">
        <v>239</v>
      </c>
      <c r="B821" t="s">
        <v>245</v>
      </c>
      <c r="C821" t="s">
        <v>255</v>
      </c>
      <c r="D821" s="3">
        <v>17</v>
      </c>
      <c r="E821" s="3">
        <v>185</v>
      </c>
      <c r="F821" s="3">
        <v>822</v>
      </c>
      <c r="G821" s="3">
        <v>130</v>
      </c>
      <c r="H821" t="str">
        <f t="shared" si="132"/>
        <v>17-185</v>
      </c>
      <c r="I821" t="b">
        <v>1</v>
      </c>
    </row>
    <row r="822" spans="1:9" x14ac:dyDescent="0.3">
      <c r="A822" t="s">
        <v>239</v>
      </c>
      <c r="B822" t="s">
        <v>245</v>
      </c>
      <c r="C822" t="s">
        <v>256</v>
      </c>
      <c r="D822" s="3">
        <v>17</v>
      </c>
      <c r="E822" s="3">
        <v>185</v>
      </c>
      <c r="F822" s="3">
        <v>823</v>
      </c>
      <c r="G822" s="3">
        <v>60</v>
      </c>
      <c r="H822" t="str">
        <f t="shared" si="132"/>
        <v>17-185</v>
      </c>
      <c r="I822" t="b">
        <v>1</v>
      </c>
    </row>
    <row r="823" spans="1:9" x14ac:dyDescent="0.3">
      <c r="A823" t="s">
        <v>239</v>
      </c>
      <c r="B823" t="s">
        <v>245</v>
      </c>
      <c r="C823" t="s">
        <v>257</v>
      </c>
      <c r="D823" s="3">
        <v>17</v>
      </c>
      <c r="E823" s="3">
        <v>185</v>
      </c>
      <c r="F823" s="3">
        <v>824</v>
      </c>
      <c r="G823" s="3">
        <v>30</v>
      </c>
      <c r="H823" t="str">
        <f t="shared" si="132"/>
        <v>17-185</v>
      </c>
      <c r="I823" t="b">
        <v>1</v>
      </c>
    </row>
    <row r="824" spans="1:9" x14ac:dyDescent="0.3">
      <c r="A824" t="s">
        <v>239</v>
      </c>
      <c r="B824" t="s">
        <v>245</v>
      </c>
      <c r="C824" t="s">
        <v>258</v>
      </c>
      <c r="D824" s="3">
        <v>17</v>
      </c>
      <c r="E824" s="3">
        <v>185</v>
      </c>
      <c r="F824" s="3">
        <v>825</v>
      </c>
      <c r="G824" s="3">
        <v>170</v>
      </c>
      <c r="H824" t="str">
        <f t="shared" si="132"/>
        <v>17-185</v>
      </c>
      <c r="I824" t="b">
        <v>1</v>
      </c>
    </row>
    <row r="825" spans="1:9" x14ac:dyDescent="0.3">
      <c r="A825" t="s">
        <v>239</v>
      </c>
      <c r="B825" t="s">
        <v>245</v>
      </c>
      <c r="C825" t="s">
        <v>259</v>
      </c>
      <c r="D825" s="3">
        <v>17</v>
      </c>
      <c r="E825" s="3">
        <v>185</v>
      </c>
      <c r="F825" s="3">
        <v>826</v>
      </c>
      <c r="G825" s="3">
        <v>1350</v>
      </c>
      <c r="H825" t="str">
        <f t="shared" si="132"/>
        <v>17-185</v>
      </c>
      <c r="I825" t="b">
        <v>1</v>
      </c>
    </row>
    <row r="826" spans="1:9" x14ac:dyDescent="0.3">
      <c r="A826" t="s">
        <v>239</v>
      </c>
      <c r="B826" t="s">
        <v>245</v>
      </c>
      <c r="C826" t="s">
        <v>260</v>
      </c>
      <c r="D826" s="3">
        <v>17</v>
      </c>
      <c r="E826" s="3">
        <v>185</v>
      </c>
      <c r="F826" s="3">
        <v>827</v>
      </c>
      <c r="G826" s="3">
        <v>400</v>
      </c>
      <c r="H826" t="str">
        <f t="shared" si="132"/>
        <v>17-185</v>
      </c>
      <c r="I826" t="b">
        <v>1</v>
      </c>
    </row>
    <row r="827" spans="1:9" x14ac:dyDescent="0.3">
      <c r="A827" t="s">
        <v>239</v>
      </c>
      <c r="B827" t="s">
        <v>245</v>
      </c>
      <c r="C827" t="s">
        <v>261</v>
      </c>
      <c r="D827" s="3">
        <v>17</v>
      </c>
      <c r="E827" s="3">
        <v>185</v>
      </c>
      <c r="F827" s="3">
        <v>828</v>
      </c>
      <c r="G827" s="3">
        <v>120</v>
      </c>
      <c r="H827" t="str">
        <f t="shared" si="132"/>
        <v>17-185</v>
      </c>
      <c r="I827" t="b">
        <v>1</v>
      </c>
    </row>
    <row r="828" spans="1:9" x14ac:dyDescent="0.3">
      <c r="A828" t="s">
        <v>239</v>
      </c>
      <c r="B828" t="s">
        <v>245</v>
      </c>
      <c r="C828" t="s">
        <v>262</v>
      </c>
      <c r="D828" s="3">
        <v>17</v>
      </c>
      <c r="E828" s="3">
        <v>185</v>
      </c>
      <c r="F828" s="3">
        <v>829</v>
      </c>
      <c r="G828" s="3">
        <v>150</v>
      </c>
      <c r="H828" t="str">
        <f t="shared" si="132"/>
        <v>17-185</v>
      </c>
      <c r="I828" t="b">
        <v>1</v>
      </c>
    </row>
    <row r="829" spans="1:9" x14ac:dyDescent="0.3">
      <c r="A829" t="s">
        <v>239</v>
      </c>
      <c r="B829" t="s">
        <v>245</v>
      </c>
      <c r="C829" t="s">
        <v>263</v>
      </c>
      <c r="D829" s="3">
        <v>17</v>
      </c>
      <c r="E829" s="3">
        <v>185</v>
      </c>
      <c r="F829" s="3">
        <v>830</v>
      </c>
      <c r="G829" s="3">
        <v>310</v>
      </c>
      <c r="H829" t="str">
        <f t="shared" si="132"/>
        <v>17-185</v>
      </c>
      <c r="I829" t="b">
        <v>1</v>
      </c>
    </row>
    <row r="830" spans="1:9" x14ac:dyDescent="0.3">
      <c r="A830" t="s">
        <v>239</v>
      </c>
      <c r="B830" t="s">
        <v>245</v>
      </c>
      <c r="C830" t="s">
        <v>264</v>
      </c>
      <c r="D830" s="3">
        <v>17</v>
      </c>
      <c r="E830" s="3">
        <v>185</v>
      </c>
      <c r="F830" s="3">
        <v>831</v>
      </c>
      <c r="G830" s="3">
        <v>150</v>
      </c>
      <c r="H830" t="str">
        <f t="shared" si="132"/>
        <v>17-185</v>
      </c>
      <c r="I830" t="b">
        <v>1</v>
      </c>
    </row>
    <row r="831" spans="1:9" x14ac:dyDescent="0.3">
      <c r="A831" t="s">
        <v>239</v>
      </c>
      <c r="B831" t="s">
        <v>245</v>
      </c>
      <c r="C831" t="s">
        <v>265</v>
      </c>
      <c r="D831" s="3">
        <v>17</v>
      </c>
      <c r="E831" s="3">
        <v>185</v>
      </c>
      <c r="F831" s="3">
        <v>832</v>
      </c>
      <c r="G831" s="3">
        <v>90</v>
      </c>
      <c r="H831" t="str">
        <f t="shared" si="132"/>
        <v>17-185</v>
      </c>
      <c r="I831" t="b">
        <v>1</v>
      </c>
    </row>
    <row r="832" spans="1:9" x14ac:dyDescent="0.3">
      <c r="A832" t="s">
        <v>239</v>
      </c>
      <c r="B832" t="s">
        <v>245</v>
      </c>
      <c r="C832" t="s">
        <v>266</v>
      </c>
      <c r="D832" s="3">
        <v>17</v>
      </c>
      <c r="E832" s="3">
        <v>185</v>
      </c>
      <c r="F832" s="3">
        <v>833</v>
      </c>
      <c r="G832" s="3">
        <v>60</v>
      </c>
      <c r="H832" t="str">
        <f t="shared" si="132"/>
        <v>17-185</v>
      </c>
      <c r="I832" t="b">
        <v>1</v>
      </c>
    </row>
    <row r="833" spans="1:9" x14ac:dyDescent="0.3">
      <c r="A833" t="s">
        <v>239</v>
      </c>
      <c r="B833" t="s">
        <v>245</v>
      </c>
      <c r="C833" t="s">
        <v>267</v>
      </c>
      <c r="D833" s="3">
        <v>17</v>
      </c>
      <c r="E833" s="3">
        <v>185</v>
      </c>
      <c r="F833" s="3">
        <v>834</v>
      </c>
      <c r="G833" s="3">
        <v>360</v>
      </c>
      <c r="H833" t="str">
        <f t="shared" si="132"/>
        <v>17-185</v>
      </c>
      <c r="I833" t="b">
        <v>1</v>
      </c>
    </row>
    <row r="834" spans="1:9" x14ac:dyDescent="0.3">
      <c r="A834" t="s">
        <v>239</v>
      </c>
      <c r="B834" t="s">
        <v>245</v>
      </c>
      <c r="C834" t="s">
        <v>268</v>
      </c>
      <c r="D834" s="3">
        <v>17</v>
      </c>
      <c r="E834" s="3">
        <v>185</v>
      </c>
      <c r="F834" s="3">
        <v>835</v>
      </c>
      <c r="G834" s="3">
        <v>230</v>
      </c>
      <c r="H834" t="str">
        <f t="shared" si="132"/>
        <v>17-185</v>
      </c>
      <c r="I834" t="b">
        <v>1</v>
      </c>
    </row>
    <row r="835" spans="1:9" x14ac:dyDescent="0.3">
      <c r="A835" t="s">
        <v>239</v>
      </c>
      <c r="B835" t="s">
        <v>245</v>
      </c>
      <c r="C835" t="s">
        <v>269</v>
      </c>
      <c r="D835" s="3">
        <v>17</v>
      </c>
      <c r="E835" s="3">
        <v>185</v>
      </c>
      <c r="F835" s="3">
        <v>836</v>
      </c>
      <c r="G835" s="3">
        <v>60</v>
      </c>
      <c r="H835" t="str">
        <f t="shared" ref="H835:H898" si="133">_xlfn.CONCAT(D835,"-",E835)</f>
        <v>17-185</v>
      </c>
      <c r="I835" t="b">
        <v>1</v>
      </c>
    </row>
    <row r="836" spans="1:9" x14ac:dyDescent="0.3">
      <c r="A836" t="s">
        <v>239</v>
      </c>
      <c r="B836" t="s">
        <v>245</v>
      </c>
      <c r="C836" t="s">
        <v>270</v>
      </c>
      <c r="D836" s="3">
        <v>17</v>
      </c>
      <c r="E836" s="3">
        <v>185</v>
      </c>
      <c r="F836" s="3">
        <v>837</v>
      </c>
      <c r="G836" s="3">
        <v>210</v>
      </c>
      <c r="H836" t="str">
        <f t="shared" si="133"/>
        <v>17-185</v>
      </c>
      <c r="I836" t="b">
        <v>1</v>
      </c>
    </row>
    <row r="837" spans="1:9" x14ac:dyDescent="0.3">
      <c r="A837" t="s">
        <v>239</v>
      </c>
      <c r="B837" t="s">
        <v>245</v>
      </c>
      <c r="C837" t="s">
        <v>271</v>
      </c>
      <c r="D837" s="3">
        <v>17</v>
      </c>
      <c r="E837" s="3">
        <v>185</v>
      </c>
      <c r="F837" s="3">
        <v>838</v>
      </c>
      <c r="G837" s="3">
        <v>100</v>
      </c>
      <c r="H837" t="str">
        <f t="shared" si="133"/>
        <v>17-185</v>
      </c>
      <c r="I837" t="b">
        <v>1</v>
      </c>
    </row>
    <row r="838" spans="1:9" x14ac:dyDescent="0.3">
      <c r="A838" t="s">
        <v>239</v>
      </c>
      <c r="B838" t="s">
        <v>245</v>
      </c>
      <c r="C838" t="s">
        <v>272</v>
      </c>
      <c r="D838" s="3">
        <v>17</v>
      </c>
      <c r="E838" s="3">
        <v>185</v>
      </c>
      <c r="F838" s="3">
        <v>839</v>
      </c>
      <c r="G838" s="3">
        <v>60</v>
      </c>
      <c r="H838" t="str">
        <f t="shared" si="133"/>
        <v>17-185</v>
      </c>
      <c r="I838" t="b">
        <v>1</v>
      </c>
    </row>
    <row r="839" spans="1:9" x14ac:dyDescent="0.3">
      <c r="A839" t="s">
        <v>239</v>
      </c>
      <c r="B839" t="s">
        <v>245</v>
      </c>
      <c r="C839" t="s">
        <v>273</v>
      </c>
      <c r="D839" s="3">
        <v>17</v>
      </c>
      <c r="E839" s="3">
        <v>185</v>
      </c>
      <c r="F839" s="3">
        <v>840</v>
      </c>
      <c r="G839" s="3">
        <v>560</v>
      </c>
      <c r="H839" t="str">
        <f t="shared" si="133"/>
        <v>17-185</v>
      </c>
      <c r="I839" t="b">
        <v>1</v>
      </c>
    </row>
    <row r="840" spans="1:9" x14ac:dyDescent="0.3">
      <c r="A840" t="s">
        <v>239</v>
      </c>
      <c r="B840" t="s">
        <v>245</v>
      </c>
      <c r="C840" t="s">
        <v>274</v>
      </c>
      <c r="D840" s="3">
        <v>17</v>
      </c>
      <c r="E840" s="3">
        <v>185</v>
      </c>
      <c r="F840" s="3">
        <v>841</v>
      </c>
      <c r="G840" s="3">
        <v>300</v>
      </c>
      <c r="H840" t="str">
        <f t="shared" si="133"/>
        <v>17-185</v>
      </c>
      <c r="I840" t="b">
        <v>1</v>
      </c>
    </row>
    <row r="841" spans="1:9" x14ac:dyDescent="0.3">
      <c r="A841" t="s">
        <v>239</v>
      </c>
      <c r="B841" t="s">
        <v>245</v>
      </c>
      <c r="C841" t="s">
        <v>275</v>
      </c>
      <c r="D841" s="3">
        <v>17</v>
      </c>
      <c r="E841" s="3">
        <v>185</v>
      </c>
      <c r="F841" s="3">
        <v>842</v>
      </c>
      <c r="G841" s="3">
        <v>100</v>
      </c>
      <c r="H841" t="str">
        <f t="shared" si="133"/>
        <v>17-185</v>
      </c>
      <c r="I841" t="b">
        <v>1</v>
      </c>
    </row>
    <row r="842" spans="1:9" x14ac:dyDescent="0.3">
      <c r="A842" t="s">
        <v>239</v>
      </c>
      <c r="B842" t="s">
        <v>245</v>
      </c>
      <c r="C842" t="s">
        <v>201</v>
      </c>
      <c r="D842" s="3">
        <v>17</v>
      </c>
      <c r="E842" s="3">
        <v>185</v>
      </c>
      <c r="F842" s="3">
        <v>843</v>
      </c>
      <c r="G842" s="3">
        <v>50</v>
      </c>
      <c r="H842" t="str">
        <f t="shared" si="133"/>
        <v>17-185</v>
      </c>
      <c r="I842" t="b">
        <v>1</v>
      </c>
    </row>
    <row r="843" spans="1:9" x14ac:dyDescent="0.3">
      <c r="A843" t="s">
        <v>239</v>
      </c>
      <c r="B843" t="s">
        <v>245</v>
      </c>
      <c r="C843" t="s">
        <v>276</v>
      </c>
      <c r="D843" s="3">
        <v>17</v>
      </c>
      <c r="E843" s="3">
        <v>185</v>
      </c>
      <c r="F843" s="3">
        <v>844</v>
      </c>
      <c r="G843" s="3">
        <v>340</v>
      </c>
      <c r="H843" t="str">
        <f t="shared" si="133"/>
        <v>17-185</v>
      </c>
      <c r="I843" t="b">
        <v>1</v>
      </c>
    </row>
    <row r="844" spans="1:9" x14ac:dyDescent="0.3">
      <c r="A844" t="s">
        <v>239</v>
      </c>
      <c r="B844" t="s">
        <v>245</v>
      </c>
      <c r="C844" t="s">
        <v>277</v>
      </c>
      <c r="D844" s="3">
        <v>17</v>
      </c>
      <c r="E844" s="3">
        <v>185</v>
      </c>
      <c r="F844" s="3">
        <v>845</v>
      </c>
      <c r="G844" s="3">
        <v>30</v>
      </c>
      <c r="H844" t="str">
        <f t="shared" si="133"/>
        <v>17-185</v>
      </c>
      <c r="I844" t="b">
        <v>1</v>
      </c>
    </row>
    <row r="845" spans="1:9" x14ac:dyDescent="0.3">
      <c r="A845" t="s">
        <v>239</v>
      </c>
      <c r="B845" t="s">
        <v>245</v>
      </c>
      <c r="C845" t="s">
        <v>278</v>
      </c>
      <c r="D845" s="3">
        <v>17</v>
      </c>
      <c r="E845" s="3">
        <v>185</v>
      </c>
      <c r="F845" s="3">
        <v>846</v>
      </c>
      <c r="G845" s="3">
        <v>150</v>
      </c>
      <c r="H845" t="str">
        <f t="shared" si="133"/>
        <v>17-185</v>
      </c>
      <c r="I845" t="b">
        <v>1</v>
      </c>
    </row>
    <row r="846" spans="1:9" x14ac:dyDescent="0.3">
      <c r="A846" t="s">
        <v>239</v>
      </c>
      <c r="B846" t="s">
        <v>245</v>
      </c>
      <c r="C846" t="s">
        <v>279</v>
      </c>
      <c r="D846" s="3">
        <v>17</v>
      </c>
      <c r="E846" s="3">
        <v>185</v>
      </c>
      <c r="F846" s="3">
        <v>847</v>
      </c>
      <c r="G846" s="3">
        <v>50</v>
      </c>
      <c r="H846" t="str">
        <f t="shared" si="133"/>
        <v>17-185</v>
      </c>
      <c r="I846" t="b">
        <v>1</v>
      </c>
    </row>
    <row r="847" spans="1:9" x14ac:dyDescent="0.3">
      <c r="A847" t="s">
        <v>239</v>
      </c>
      <c r="B847" t="s">
        <v>245</v>
      </c>
      <c r="C847" t="s">
        <v>280</v>
      </c>
      <c r="D847" s="3">
        <v>17</v>
      </c>
      <c r="E847" s="3">
        <v>185</v>
      </c>
      <c r="F847" s="3">
        <v>848</v>
      </c>
      <c r="G847" s="3">
        <v>230</v>
      </c>
      <c r="H847" t="str">
        <f t="shared" si="133"/>
        <v>17-185</v>
      </c>
      <c r="I847" t="b">
        <v>1</v>
      </c>
    </row>
    <row r="848" spans="1:9" x14ac:dyDescent="0.3">
      <c r="A848" t="s">
        <v>239</v>
      </c>
      <c r="B848" t="s">
        <v>245</v>
      </c>
      <c r="C848" t="s">
        <v>208</v>
      </c>
      <c r="D848" s="3">
        <v>17</v>
      </c>
      <c r="E848" s="3">
        <v>185</v>
      </c>
      <c r="F848" s="3">
        <v>849</v>
      </c>
      <c r="G848" s="3">
        <v>50</v>
      </c>
      <c r="H848" t="str">
        <f t="shared" si="133"/>
        <v>17-185</v>
      </c>
      <c r="I848" t="b">
        <v>1</v>
      </c>
    </row>
    <row r="849" spans="1:9" x14ac:dyDescent="0.3">
      <c r="A849" t="s">
        <v>239</v>
      </c>
      <c r="B849" t="s">
        <v>245</v>
      </c>
      <c r="C849" t="s">
        <v>281</v>
      </c>
      <c r="D849" s="3">
        <v>17</v>
      </c>
      <c r="E849" s="3">
        <v>185</v>
      </c>
      <c r="F849" s="3">
        <v>850</v>
      </c>
      <c r="G849" s="3">
        <v>160</v>
      </c>
      <c r="H849" t="str">
        <f t="shared" si="133"/>
        <v>17-185</v>
      </c>
      <c r="I849" t="b">
        <v>1</v>
      </c>
    </row>
    <row r="850" spans="1:9" x14ac:dyDescent="0.3">
      <c r="A850" t="s">
        <v>239</v>
      </c>
      <c r="B850" t="s">
        <v>245</v>
      </c>
      <c r="C850" t="s">
        <v>282</v>
      </c>
      <c r="D850" s="3">
        <v>17</v>
      </c>
      <c r="E850" s="3">
        <v>185</v>
      </c>
      <c r="F850" s="3">
        <v>851</v>
      </c>
      <c r="G850" s="3">
        <v>280</v>
      </c>
      <c r="H850" t="str">
        <f t="shared" si="133"/>
        <v>17-185</v>
      </c>
      <c r="I850" t="b">
        <v>1</v>
      </c>
    </row>
    <row r="851" spans="1:9" x14ac:dyDescent="0.3">
      <c r="A851" t="s">
        <v>239</v>
      </c>
      <c r="B851" t="s">
        <v>245</v>
      </c>
      <c r="C851" t="s">
        <v>283</v>
      </c>
      <c r="D851" s="3">
        <v>17</v>
      </c>
      <c r="E851" s="3">
        <v>185</v>
      </c>
      <c r="F851" s="3">
        <v>852</v>
      </c>
      <c r="G851" s="3">
        <v>470</v>
      </c>
      <c r="H851" t="str">
        <f t="shared" si="133"/>
        <v>17-185</v>
      </c>
      <c r="I851" t="b">
        <v>1</v>
      </c>
    </row>
    <row r="852" spans="1:9" x14ac:dyDescent="0.3">
      <c r="A852" t="s">
        <v>239</v>
      </c>
      <c r="B852" t="s">
        <v>245</v>
      </c>
      <c r="C852" t="s">
        <v>284</v>
      </c>
      <c r="D852" s="3">
        <v>17</v>
      </c>
      <c r="E852" s="3">
        <v>185</v>
      </c>
      <c r="F852" s="3">
        <v>853</v>
      </c>
      <c r="G852" s="3">
        <v>100</v>
      </c>
      <c r="H852" t="str">
        <f t="shared" si="133"/>
        <v>17-185</v>
      </c>
      <c r="I852" t="b">
        <v>1</v>
      </c>
    </row>
    <row r="853" spans="1:9" x14ac:dyDescent="0.3">
      <c r="A853" t="s">
        <v>239</v>
      </c>
      <c r="B853" t="s">
        <v>245</v>
      </c>
      <c r="C853" t="s">
        <v>285</v>
      </c>
      <c r="D853" s="3">
        <v>17</v>
      </c>
      <c r="E853" s="3">
        <v>185</v>
      </c>
      <c r="F853" s="3">
        <v>854</v>
      </c>
      <c r="G853" s="3">
        <v>80</v>
      </c>
      <c r="H853" t="str">
        <f t="shared" si="133"/>
        <v>17-185</v>
      </c>
      <c r="I853" t="b">
        <v>1</v>
      </c>
    </row>
    <row r="854" spans="1:9" x14ac:dyDescent="0.3">
      <c r="A854" t="s">
        <v>239</v>
      </c>
      <c r="B854" t="s">
        <v>245</v>
      </c>
      <c r="C854" t="s">
        <v>286</v>
      </c>
      <c r="D854" s="3">
        <v>17</v>
      </c>
      <c r="E854" s="3">
        <v>185</v>
      </c>
      <c r="F854" s="3">
        <v>855</v>
      </c>
      <c r="G854" s="3">
        <v>40</v>
      </c>
      <c r="H854" t="str">
        <f t="shared" si="133"/>
        <v>17-185</v>
      </c>
      <c r="I854" t="b">
        <v>1</v>
      </c>
    </row>
    <row r="855" spans="1:9" x14ac:dyDescent="0.3">
      <c r="A855" t="s">
        <v>239</v>
      </c>
      <c r="B855" t="s">
        <v>245</v>
      </c>
      <c r="C855" t="s">
        <v>287</v>
      </c>
      <c r="D855" s="3">
        <v>17</v>
      </c>
      <c r="E855" s="3">
        <v>185</v>
      </c>
      <c r="F855" s="3">
        <v>856</v>
      </c>
      <c r="G855" s="3">
        <v>170</v>
      </c>
      <c r="H855" t="str">
        <f t="shared" si="133"/>
        <v>17-185</v>
      </c>
      <c r="I855" t="b">
        <v>1</v>
      </c>
    </row>
    <row r="856" spans="1:9" x14ac:dyDescent="0.3">
      <c r="A856" t="s">
        <v>239</v>
      </c>
      <c r="B856" t="s">
        <v>245</v>
      </c>
      <c r="C856" t="s">
        <v>288</v>
      </c>
      <c r="D856" s="3">
        <v>17</v>
      </c>
      <c r="E856" s="3">
        <v>185</v>
      </c>
      <c r="F856" s="3">
        <v>857</v>
      </c>
      <c r="G856" s="3">
        <v>30</v>
      </c>
      <c r="H856" t="str">
        <f t="shared" si="133"/>
        <v>17-185</v>
      </c>
      <c r="I856" t="b">
        <v>1</v>
      </c>
    </row>
    <row r="857" spans="1:9" x14ac:dyDescent="0.3">
      <c r="A857" t="s">
        <v>239</v>
      </c>
      <c r="B857" t="s">
        <v>245</v>
      </c>
      <c r="C857" t="s">
        <v>289</v>
      </c>
      <c r="D857" s="3">
        <v>17</v>
      </c>
      <c r="E857" s="3">
        <v>185</v>
      </c>
      <c r="F857" s="3">
        <v>858</v>
      </c>
      <c r="G857" s="3">
        <v>50</v>
      </c>
      <c r="H857" t="str">
        <f t="shared" si="133"/>
        <v>17-185</v>
      </c>
      <c r="I857" t="b">
        <v>1</v>
      </c>
    </row>
    <row r="858" spans="1:9" x14ac:dyDescent="0.3">
      <c r="A858" t="s">
        <v>239</v>
      </c>
      <c r="B858" t="s">
        <v>245</v>
      </c>
      <c r="C858" t="s">
        <v>290</v>
      </c>
      <c r="D858" s="3">
        <v>17</v>
      </c>
      <c r="E858" s="3">
        <v>185</v>
      </c>
      <c r="F858" s="3">
        <v>859</v>
      </c>
      <c r="G858" s="3">
        <v>110</v>
      </c>
      <c r="H858" t="str">
        <f t="shared" si="133"/>
        <v>17-185</v>
      </c>
      <c r="I858" t="b">
        <v>1</v>
      </c>
    </row>
    <row r="859" spans="1:9" x14ac:dyDescent="0.3">
      <c r="A859" t="s">
        <v>239</v>
      </c>
      <c r="B859" t="s">
        <v>245</v>
      </c>
      <c r="C859" t="s">
        <v>291</v>
      </c>
      <c r="D859" s="3">
        <v>17</v>
      </c>
      <c r="E859" s="3">
        <v>185</v>
      </c>
      <c r="F859" s="3">
        <v>860</v>
      </c>
      <c r="G859" s="3">
        <v>100</v>
      </c>
      <c r="H859" t="str">
        <f t="shared" si="133"/>
        <v>17-185</v>
      </c>
      <c r="I859" t="b">
        <v>1</v>
      </c>
    </row>
    <row r="860" spans="1:9" x14ac:dyDescent="0.3">
      <c r="A860" t="s">
        <v>239</v>
      </c>
      <c r="B860" t="s">
        <v>245</v>
      </c>
      <c r="C860" t="s">
        <v>292</v>
      </c>
      <c r="D860" s="3">
        <v>17</v>
      </c>
      <c r="E860" s="3">
        <v>185</v>
      </c>
      <c r="F860" s="3">
        <v>861</v>
      </c>
      <c r="G860" s="3">
        <v>120</v>
      </c>
      <c r="H860" t="str">
        <f t="shared" si="133"/>
        <v>17-185</v>
      </c>
      <c r="I860" t="b">
        <v>1</v>
      </c>
    </row>
    <row r="861" spans="1:9" x14ac:dyDescent="0.3">
      <c r="A861" t="s">
        <v>239</v>
      </c>
      <c r="B861" t="s">
        <v>245</v>
      </c>
      <c r="C861" t="s">
        <v>293</v>
      </c>
      <c r="D861" s="3">
        <v>17</v>
      </c>
      <c r="E861" s="3">
        <v>185</v>
      </c>
      <c r="F861" s="3">
        <v>862</v>
      </c>
      <c r="G861" s="3">
        <v>50</v>
      </c>
      <c r="H861" t="str">
        <f t="shared" si="133"/>
        <v>17-185</v>
      </c>
      <c r="I861" t="b">
        <v>1</v>
      </c>
    </row>
    <row r="862" spans="1:9" x14ac:dyDescent="0.3">
      <c r="A862" t="s">
        <v>239</v>
      </c>
      <c r="B862" t="s">
        <v>245</v>
      </c>
      <c r="C862" t="s">
        <v>294</v>
      </c>
      <c r="D862" s="3">
        <v>17</v>
      </c>
      <c r="E862" s="3">
        <v>185</v>
      </c>
      <c r="F862" s="3">
        <v>863</v>
      </c>
      <c r="G862" s="3">
        <v>50</v>
      </c>
      <c r="H862" t="str">
        <f t="shared" si="133"/>
        <v>17-185</v>
      </c>
      <c r="I862" t="b">
        <v>1</v>
      </c>
    </row>
    <row r="863" spans="1:9" x14ac:dyDescent="0.3">
      <c r="A863" t="s">
        <v>239</v>
      </c>
      <c r="B863" t="s">
        <v>245</v>
      </c>
      <c r="C863" t="s">
        <v>295</v>
      </c>
      <c r="D863" s="3">
        <v>17</v>
      </c>
      <c r="E863" s="3">
        <v>185</v>
      </c>
      <c r="F863" s="3">
        <v>864</v>
      </c>
      <c r="G863" s="3">
        <v>200</v>
      </c>
      <c r="H863" t="str">
        <f t="shared" si="133"/>
        <v>17-185</v>
      </c>
      <c r="I863" t="b">
        <v>1</v>
      </c>
    </row>
    <row r="864" spans="1:9" x14ac:dyDescent="0.3">
      <c r="A864" t="s">
        <v>239</v>
      </c>
      <c r="B864" t="s">
        <v>245</v>
      </c>
      <c r="C864" t="s">
        <v>296</v>
      </c>
      <c r="D864" s="3">
        <v>17</v>
      </c>
      <c r="E864" s="3">
        <v>185</v>
      </c>
      <c r="F864" s="3">
        <v>865</v>
      </c>
      <c r="G864" s="3">
        <v>30</v>
      </c>
      <c r="H864" t="str">
        <f t="shared" si="133"/>
        <v>17-185</v>
      </c>
      <c r="I864" t="b">
        <v>1</v>
      </c>
    </row>
    <row r="865" spans="1:9" x14ac:dyDescent="0.3">
      <c r="A865" t="s">
        <v>239</v>
      </c>
      <c r="B865" t="s">
        <v>245</v>
      </c>
      <c r="C865" t="s">
        <v>297</v>
      </c>
      <c r="D865" s="3">
        <v>17</v>
      </c>
      <c r="E865" s="3">
        <v>185</v>
      </c>
      <c r="F865" s="3">
        <v>866</v>
      </c>
      <c r="G865" s="3">
        <v>50</v>
      </c>
      <c r="H865" t="str">
        <f t="shared" si="133"/>
        <v>17-185</v>
      </c>
      <c r="I865" t="b">
        <v>1</v>
      </c>
    </row>
    <row r="866" spans="1:9" x14ac:dyDescent="0.3">
      <c r="A866" t="s">
        <v>239</v>
      </c>
      <c r="B866" t="s">
        <v>245</v>
      </c>
      <c r="C866" t="s">
        <v>298</v>
      </c>
      <c r="D866" s="3">
        <v>17</v>
      </c>
      <c r="E866" s="3">
        <v>185</v>
      </c>
      <c r="F866" s="3">
        <v>867</v>
      </c>
      <c r="G866" s="3">
        <v>400</v>
      </c>
      <c r="H866" t="str">
        <f t="shared" si="133"/>
        <v>17-185</v>
      </c>
      <c r="I866" t="b">
        <v>1</v>
      </c>
    </row>
    <row r="867" spans="1:9" x14ac:dyDescent="0.3">
      <c r="A867" t="s">
        <v>239</v>
      </c>
      <c r="B867" t="s">
        <v>245</v>
      </c>
      <c r="C867" t="s">
        <v>299</v>
      </c>
      <c r="D867" s="3">
        <v>17</v>
      </c>
      <c r="E867" s="3">
        <v>185</v>
      </c>
      <c r="F867" s="3">
        <v>868</v>
      </c>
      <c r="G867" s="3">
        <v>100</v>
      </c>
      <c r="H867" t="str">
        <f t="shared" si="133"/>
        <v>17-185</v>
      </c>
      <c r="I867" t="b">
        <v>1</v>
      </c>
    </row>
    <row r="868" spans="1:9" x14ac:dyDescent="0.3">
      <c r="A868" t="s">
        <v>239</v>
      </c>
      <c r="B868" t="s">
        <v>245</v>
      </c>
      <c r="C868" t="s">
        <v>300</v>
      </c>
      <c r="D868" s="3">
        <v>17</v>
      </c>
      <c r="E868" s="3">
        <v>185</v>
      </c>
      <c r="F868" s="3">
        <v>869</v>
      </c>
      <c r="G868" s="3">
        <v>220</v>
      </c>
      <c r="H868" t="str">
        <f t="shared" si="133"/>
        <v>17-185</v>
      </c>
      <c r="I868" t="b">
        <v>1</v>
      </c>
    </row>
    <row r="869" spans="1:9" x14ac:dyDescent="0.3">
      <c r="A869" t="s">
        <v>239</v>
      </c>
      <c r="B869" t="s">
        <v>245</v>
      </c>
      <c r="C869" t="s">
        <v>60</v>
      </c>
      <c r="D869" s="3">
        <v>17</v>
      </c>
      <c r="E869" s="3">
        <v>185</v>
      </c>
      <c r="F869" s="3">
        <v>870</v>
      </c>
      <c r="G869" s="3">
        <v>2820</v>
      </c>
      <c r="H869" t="str">
        <f t="shared" si="133"/>
        <v>17-185</v>
      </c>
      <c r="I869" t="b">
        <v>1</v>
      </c>
    </row>
    <row r="870" spans="1:9" x14ac:dyDescent="0.3">
      <c r="A870" t="s">
        <v>239</v>
      </c>
      <c r="B870" t="s">
        <v>245</v>
      </c>
      <c r="C870" t="s">
        <v>301</v>
      </c>
      <c r="D870" s="3">
        <v>17</v>
      </c>
      <c r="E870" s="3">
        <v>185</v>
      </c>
      <c r="F870" s="3">
        <v>871</v>
      </c>
      <c r="G870" s="3">
        <v>50</v>
      </c>
      <c r="H870" t="str">
        <f t="shared" si="133"/>
        <v>17-185</v>
      </c>
      <c r="I870" t="b">
        <v>1</v>
      </c>
    </row>
    <row r="871" spans="1:9" x14ac:dyDescent="0.3">
      <c r="A871" t="s">
        <v>239</v>
      </c>
      <c r="B871" t="s">
        <v>245</v>
      </c>
      <c r="C871" t="s">
        <v>302</v>
      </c>
      <c r="D871" s="3">
        <v>17</v>
      </c>
      <c r="E871" s="3">
        <v>185</v>
      </c>
      <c r="F871" s="3">
        <v>872</v>
      </c>
      <c r="G871" s="3">
        <v>210</v>
      </c>
      <c r="H871" t="str">
        <f t="shared" si="133"/>
        <v>17-185</v>
      </c>
      <c r="I871" t="b">
        <v>1</v>
      </c>
    </row>
    <row r="872" spans="1:9" x14ac:dyDescent="0.3">
      <c r="A872" t="s">
        <v>239</v>
      </c>
      <c r="B872" t="s">
        <v>245</v>
      </c>
      <c r="C872" t="s">
        <v>303</v>
      </c>
      <c r="D872" s="3">
        <v>17</v>
      </c>
      <c r="E872" s="3">
        <v>185</v>
      </c>
      <c r="F872" s="3">
        <v>873</v>
      </c>
      <c r="G872" s="3">
        <v>640</v>
      </c>
      <c r="H872" t="str">
        <f t="shared" si="133"/>
        <v>17-185</v>
      </c>
      <c r="I872" t="b">
        <v>1</v>
      </c>
    </row>
    <row r="873" spans="1:9" x14ac:dyDescent="0.3">
      <c r="A873" t="s">
        <v>239</v>
      </c>
      <c r="B873" t="s">
        <v>245</v>
      </c>
      <c r="C873" t="s">
        <v>304</v>
      </c>
      <c r="D873" s="3">
        <v>17</v>
      </c>
      <c r="E873" s="3">
        <v>185</v>
      </c>
      <c r="F873" s="3">
        <v>874</v>
      </c>
      <c r="G873" s="3">
        <v>140</v>
      </c>
      <c r="H873" t="str">
        <f t="shared" si="133"/>
        <v>17-185</v>
      </c>
      <c r="I873" t="b">
        <v>1</v>
      </c>
    </row>
    <row r="874" spans="1:9" x14ac:dyDescent="0.3">
      <c r="A874" t="s">
        <v>239</v>
      </c>
      <c r="B874" t="s">
        <v>245</v>
      </c>
      <c r="C874" t="s">
        <v>305</v>
      </c>
      <c r="D874" s="3">
        <v>17</v>
      </c>
      <c r="E874" s="3">
        <v>185</v>
      </c>
      <c r="F874" s="3">
        <v>875</v>
      </c>
      <c r="G874" s="3">
        <v>220</v>
      </c>
      <c r="H874" t="str">
        <f t="shared" si="133"/>
        <v>17-185</v>
      </c>
      <c r="I874" t="b">
        <v>1</v>
      </c>
    </row>
    <row r="875" spans="1:9" x14ac:dyDescent="0.3">
      <c r="A875" t="s">
        <v>239</v>
      </c>
      <c r="B875" t="s">
        <v>245</v>
      </c>
      <c r="C875" t="s">
        <v>306</v>
      </c>
      <c r="D875" s="3">
        <v>17</v>
      </c>
      <c r="E875" s="3">
        <v>185</v>
      </c>
      <c r="F875" s="3">
        <v>876</v>
      </c>
      <c r="G875" s="3">
        <v>40</v>
      </c>
      <c r="H875" t="str">
        <f t="shared" si="133"/>
        <v>17-185</v>
      </c>
      <c r="I875" t="b">
        <v>1</v>
      </c>
    </row>
    <row r="876" spans="1:9" x14ac:dyDescent="0.3">
      <c r="A876" t="s">
        <v>239</v>
      </c>
      <c r="B876" t="s">
        <v>245</v>
      </c>
      <c r="C876" t="s">
        <v>307</v>
      </c>
      <c r="D876" s="3">
        <v>17</v>
      </c>
      <c r="E876" s="3">
        <v>185</v>
      </c>
      <c r="F876" s="3">
        <v>877</v>
      </c>
      <c r="G876" s="3">
        <v>140</v>
      </c>
      <c r="H876" t="str">
        <f t="shared" si="133"/>
        <v>17-185</v>
      </c>
      <c r="I876" t="b">
        <v>1</v>
      </c>
    </row>
    <row r="877" spans="1:9" x14ac:dyDescent="0.3">
      <c r="A877" t="s">
        <v>939</v>
      </c>
      <c r="B877" t="s">
        <v>940</v>
      </c>
      <c r="C877" t="s">
        <v>941</v>
      </c>
      <c r="D877" s="3">
        <v>55</v>
      </c>
      <c r="E877" s="3">
        <v>186</v>
      </c>
      <c r="F877" s="3">
        <v>878</v>
      </c>
      <c r="G877" s="3">
        <v>110</v>
      </c>
      <c r="H877" t="str">
        <f t="shared" si="133"/>
        <v>55-186</v>
      </c>
      <c r="I877" t="b">
        <v>1</v>
      </c>
    </row>
    <row r="878" spans="1:9" x14ac:dyDescent="0.3">
      <c r="A878" t="s">
        <v>331</v>
      </c>
      <c r="B878" t="s">
        <v>342</v>
      </c>
      <c r="C878" t="s">
        <v>343</v>
      </c>
      <c r="D878" s="3">
        <v>22</v>
      </c>
      <c r="E878" s="3">
        <v>187</v>
      </c>
      <c r="F878" s="3">
        <v>879</v>
      </c>
      <c r="G878" s="3">
        <v>70</v>
      </c>
      <c r="H878" t="str">
        <f t="shared" si="133"/>
        <v>22-187</v>
      </c>
      <c r="I878" t="b">
        <v>1</v>
      </c>
    </row>
    <row r="879" spans="1:9" x14ac:dyDescent="0.3">
      <c r="A879" t="s">
        <v>593</v>
      </c>
      <c r="B879" t="s">
        <v>703</v>
      </c>
      <c r="C879" t="s">
        <v>60</v>
      </c>
      <c r="D879" s="3">
        <v>31</v>
      </c>
      <c r="E879" s="3">
        <v>188</v>
      </c>
      <c r="F879" s="3">
        <v>880</v>
      </c>
      <c r="G879" s="3">
        <v>60</v>
      </c>
      <c r="H879" t="str">
        <f t="shared" si="133"/>
        <v>31-188</v>
      </c>
      <c r="I879" t="b">
        <v>1</v>
      </c>
    </row>
    <row r="880" spans="1:9" x14ac:dyDescent="0.3">
      <c r="A880" t="s">
        <v>144</v>
      </c>
      <c r="B880" t="s">
        <v>150</v>
      </c>
      <c r="C880" t="s">
        <v>151</v>
      </c>
      <c r="D880" s="3">
        <v>11</v>
      </c>
      <c r="E880" s="3">
        <v>189</v>
      </c>
      <c r="F880" s="3">
        <v>881</v>
      </c>
      <c r="G880" s="3">
        <v>220</v>
      </c>
      <c r="H880" t="str">
        <f t="shared" si="133"/>
        <v>11-189</v>
      </c>
      <c r="I880" t="b">
        <v>1</v>
      </c>
    </row>
    <row r="881" spans="1:9" x14ac:dyDescent="0.3">
      <c r="A881" t="s">
        <v>875</v>
      </c>
      <c r="B881" t="s">
        <v>922</v>
      </c>
      <c r="C881" t="s">
        <v>923</v>
      </c>
      <c r="D881" s="3">
        <v>50</v>
      </c>
      <c r="E881" s="3">
        <v>190</v>
      </c>
      <c r="F881" s="3">
        <v>882</v>
      </c>
      <c r="G881" s="3">
        <v>100</v>
      </c>
      <c r="H881" t="str">
        <f t="shared" si="133"/>
        <v>50-190</v>
      </c>
      <c r="I881" t="b">
        <v>1</v>
      </c>
    </row>
    <row r="882" spans="1:9" x14ac:dyDescent="0.3">
      <c r="A882" t="s">
        <v>875</v>
      </c>
      <c r="B882" t="s">
        <v>922</v>
      </c>
      <c r="C882" t="s">
        <v>179</v>
      </c>
      <c r="D882" s="3">
        <v>50</v>
      </c>
      <c r="E882" s="3">
        <v>190</v>
      </c>
      <c r="F882" s="3">
        <v>883</v>
      </c>
      <c r="G882" s="3">
        <v>390</v>
      </c>
      <c r="H882" t="str">
        <f t="shared" si="133"/>
        <v>50-190</v>
      </c>
      <c r="I882" t="b">
        <v>1</v>
      </c>
    </row>
    <row r="883" spans="1:9" x14ac:dyDescent="0.3">
      <c r="A883" t="s">
        <v>875</v>
      </c>
      <c r="B883" t="s">
        <v>922</v>
      </c>
      <c r="C883" t="s">
        <v>290</v>
      </c>
      <c r="D883" s="3">
        <v>50</v>
      </c>
      <c r="E883" s="3">
        <v>190</v>
      </c>
      <c r="F883" s="3">
        <v>884</v>
      </c>
      <c r="G883" s="3">
        <v>100</v>
      </c>
      <c r="H883" t="str">
        <f t="shared" si="133"/>
        <v>50-190</v>
      </c>
      <c r="I883" t="b">
        <v>1</v>
      </c>
    </row>
    <row r="884" spans="1:9" x14ac:dyDescent="0.3">
      <c r="A884" t="s">
        <v>347</v>
      </c>
      <c r="B884" t="s">
        <v>350</v>
      </c>
      <c r="C884" t="s">
        <v>351</v>
      </c>
      <c r="D884" s="3">
        <v>24</v>
      </c>
      <c r="E884" s="3">
        <v>191</v>
      </c>
      <c r="F884" s="3">
        <v>885</v>
      </c>
      <c r="G884" s="3">
        <v>200</v>
      </c>
      <c r="H884" t="str">
        <f t="shared" si="133"/>
        <v>24-191</v>
      </c>
      <c r="I884" t="b">
        <v>1</v>
      </c>
    </row>
    <row r="885" spans="1:9" x14ac:dyDescent="0.3">
      <c r="A885" t="s">
        <v>347</v>
      </c>
      <c r="B885" t="s">
        <v>350</v>
      </c>
      <c r="C885" t="s">
        <v>352</v>
      </c>
      <c r="D885" s="3">
        <v>24</v>
      </c>
      <c r="E885" s="3">
        <v>191</v>
      </c>
      <c r="F885" s="3">
        <v>886</v>
      </c>
      <c r="G885" s="3">
        <v>150</v>
      </c>
      <c r="H885" t="str">
        <f t="shared" si="133"/>
        <v>24-191</v>
      </c>
      <c r="I885" t="b">
        <v>1</v>
      </c>
    </row>
    <row r="886" spans="1:9" x14ac:dyDescent="0.3">
      <c r="A886" t="s">
        <v>347</v>
      </c>
      <c r="B886" t="s">
        <v>350</v>
      </c>
      <c r="C886" t="s">
        <v>21</v>
      </c>
      <c r="D886" s="3">
        <v>24</v>
      </c>
      <c r="E886" s="3">
        <v>191</v>
      </c>
      <c r="F886" s="3">
        <v>887</v>
      </c>
      <c r="G886" s="3">
        <v>220</v>
      </c>
      <c r="H886" t="str">
        <f t="shared" si="133"/>
        <v>24-191</v>
      </c>
      <c r="I886" t="b">
        <v>1</v>
      </c>
    </row>
    <row r="887" spans="1:9" x14ac:dyDescent="0.3">
      <c r="A887" t="s">
        <v>347</v>
      </c>
      <c r="B887" t="s">
        <v>350</v>
      </c>
      <c r="C887" t="s">
        <v>353</v>
      </c>
      <c r="D887" s="3">
        <v>24</v>
      </c>
      <c r="E887" s="3">
        <v>191</v>
      </c>
      <c r="F887" s="3">
        <v>888</v>
      </c>
      <c r="G887" s="3">
        <v>100</v>
      </c>
      <c r="H887" t="str">
        <f t="shared" si="133"/>
        <v>24-191</v>
      </c>
      <c r="I887" t="b">
        <v>1</v>
      </c>
    </row>
    <row r="888" spans="1:9" x14ac:dyDescent="0.3">
      <c r="A888" t="s">
        <v>347</v>
      </c>
      <c r="B888" t="s">
        <v>350</v>
      </c>
      <c r="C888" t="s">
        <v>214</v>
      </c>
      <c r="D888" s="3">
        <v>24</v>
      </c>
      <c r="E888" s="3">
        <v>191</v>
      </c>
      <c r="F888" s="3">
        <v>889</v>
      </c>
      <c r="G888" s="3">
        <v>370</v>
      </c>
      <c r="H888" t="str">
        <f t="shared" si="133"/>
        <v>24-191</v>
      </c>
      <c r="I888" t="b">
        <v>1</v>
      </c>
    </row>
    <row r="889" spans="1:9" x14ac:dyDescent="0.3">
      <c r="A889" t="s">
        <v>593</v>
      </c>
      <c r="B889" t="s">
        <v>704</v>
      </c>
      <c r="C889" t="s">
        <v>705</v>
      </c>
      <c r="D889" s="3">
        <v>31</v>
      </c>
      <c r="E889" s="3">
        <v>192</v>
      </c>
      <c r="F889" s="3">
        <v>890</v>
      </c>
      <c r="G889" s="3">
        <v>110</v>
      </c>
      <c r="H889" t="str">
        <f t="shared" si="133"/>
        <v>31-192</v>
      </c>
      <c r="I889" t="b">
        <v>1</v>
      </c>
    </row>
    <row r="890" spans="1:9" x14ac:dyDescent="0.3">
      <c r="A890" t="s">
        <v>593</v>
      </c>
      <c r="B890" t="s">
        <v>704</v>
      </c>
      <c r="C890" t="s">
        <v>706</v>
      </c>
      <c r="D890" s="3">
        <v>31</v>
      </c>
      <c r="E890" s="3">
        <v>192</v>
      </c>
      <c r="F890" s="3">
        <v>891</v>
      </c>
      <c r="G890" s="3">
        <v>140</v>
      </c>
      <c r="H890" t="str">
        <f t="shared" si="133"/>
        <v>31-192</v>
      </c>
      <c r="I890" t="b">
        <v>1</v>
      </c>
    </row>
    <row r="891" spans="1:9" x14ac:dyDescent="0.3">
      <c r="A891" t="s">
        <v>593</v>
      </c>
      <c r="B891" t="s">
        <v>704</v>
      </c>
      <c r="C891" t="s">
        <v>21</v>
      </c>
      <c r="D891" s="3">
        <v>31</v>
      </c>
      <c r="E891" s="3">
        <v>192</v>
      </c>
      <c r="F891" s="3">
        <v>892</v>
      </c>
      <c r="G891" s="3">
        <v>280</v>
      </c>
      <c r="H891" t="str">
        <f t="shared" si="133"/>
        <v>31-192</v>
      </c>
      <c r="I891" t="b">
        <v>1</v>
      </c>
    </row>
    <row r="892" spans="1:9" x14ac:dyDescent="0.3">
      <c r="A892" t="s">
        <v>593</v>
      </c>
      <c r="B892" t="s">
        <v>704</v>
      </c>
      <c r="C892" t="s">
        <v>298</v>
      </c>
      <c r="D892" s="3">
        <v>31</v>
      </c>
      <c r="E892" s="3">
        <v>192</v>
      </c>
      <c r="F892" s="3">
        <v>893</v>
      </c>
      <c r="G892" s="3">
        <v>230</v>
      </c>
      <c r="H892" t="str">
        <f t="shared" si="133"/>
        <v>31-192</v>
      </c>
      <c r="I892" t="b">
        <v>1</v>
      </c>
    </row>
    <row r="893" spans="1:9" x14ac:dyDescent="0.3">
      <c r="A893" t="s">
        <v>593</v>
      </c>
      <c r="B893" t="s">
        <v>704</v>
      </c>
      <c r="C893" t="s">
        <v>60</v>
      </c>
      <c r="D893" s="3">
        <v>31</v>
      </c>
      <c r="E893" s="3">
        <v>192</v>
      </c>
      <c r="F893" s="3">
        <v>894</v>
      </c>
      <c r="G893" s="3">
        <v>180</v>
      </c>
      <c r="H893" t="str">
        <f t="shared" si="133"/>
        <v>31-192</v>
      </c>
      <c r="I893" t="b">
        <v>1</v>
      </c>
    </row>
    <row r="894" spans="1:9" x14ac:dyDescent="0.3">
      <c r="A894" t="s">
        <v>593</v>
      </c>
      <c r="B894" t="s">
        <v>707</v>
      </c>
      <c r="C894" t="s">
        <v>708</v>
      </c>
      <c r="D894" s="3">
        <v>31</v>
      </c>
      <c r="E894" s="3">
        <v>193</v>
      </c>
      <c r="F894" s="3">
        <v>895</v>
      </c>
      <c r="G894" s="3">
        <v>580</v>
      </c>
      <c r="H894" t="str">
        <f t="shared" si="133"/>
        <v>31-193</v>
      </c>
      <c r="I894" t="b">
        <v>1</v>
      </c>
    </row>
    <row r="895" spans="1:9" x14ac:dyDescent="0.3">
      <c r="A895" t="s">
        <v>790</v>
      </c>
      <c r="B895" t="s">
        <v>791</v>
      </c>
      <c r="C895" t="s">
        <v>792</v>
      </c>
      <c r="D895" s="3">
        <v>37</v>
      </c>
      <c r="E895" s="3">
        <v>194</v>
      </c>
      <c r="F895" s="3">
        <v>896</v>
      </c>
      <c r="G895" s="3">
        <v>50</v>
      </c>
      <c r="H895" t="str">
        <f t="shared" si="133"/>
        <v>37-194</v>
      </c>
      <c r="I895" t="b">
        <v>1</v>
      </c>
    </row>
    <row r="896" spans="1:9" x14ac:dyDescent="0.3">
      <c r="A896" t="s">
        <v>790</v>
      </c>
      <c r="B896" t="s">
        <v>791</v>
      </c>
      <c r="C896" t="s">
        <v>793</v>
      </c>
      <c r="D896" s="3">
        <v>37</v>
      </c>
      <c r="E896" s="3">
        <v>194</v>
      </c>
      <c r="F896" s="3">
        <v>897</v>
      </c>
      <c r="G896" s="3">
        <v>60</v>
      </c>
      <c r="H896" t="str">
        <f t="shared" si="133"/>
        <v>37-194</v>
      </c>
      <c r="I896" t="b">
        <v>1</v>
      </c>
    </row>
    <row r="897" spans="1:9" x14ac:dyDescent="0.3">
      <c r="A897" t="s">
        <v>790</v>
      </c>
      <c r="B897" t="s">
        <v>791</v>
      </c>
      <c r="C897" t="s">
        <v>794</v>
      </c>
      <c r="D897" s="3">
        <v>37</v>
      </c>
      <c r="E897" s="3">
        <v>194</v>
      </c>
      <c r="F897" s="3">
        <v>898</v>
      </c>
      <c r="G897" s="3">
        <v>40</v>
      </c>
      <c r="H897" t="str">
        <f t="shared" si="133"/>
        <v>37-194</v>
      </c>
      <c r="I897" t="b">
        <v>1</v>
      </c>
    </row>
    <row r="898" spans="1:9" x14ac:dyDescent="0.3">
      <c r="A898" t="s">
        <v>790</v>
      </c>
      <c r="B898" t="s">
        <v>791</v>
      </c>
      <c r="C898" t="s">
        <v>177</v>
      </c>
      <c r="D898" s="3">
        <v>37</v>
      </c>
      <c r="E898" s="3">
        <v>194</v>
      </c>
      <c r="F898" s="3">
        <v>899</v>
      </c>
      <c r="G898" s="3">
        <v>550</v>
      </c>
      <c r="H898" t="str">
        <f t="shared" si="133"/>
        <v>37-194</v>
      </c>
      <c r="I898" t="b">
        <v>1</v>
      </c>
    </row>
    <row r="899" spans="1:9" x14ac:dyDescent="0.3">
      <c r="A899" t="s">
        <v>790</v>
      </c>
      <c r="B899" t="s">
        <v>791</v>
      </c>
      <c r="C899" t="s">
        <v>795</v>
      </c>
      <c r="D899" s="3">
        <v>37</v>
      </c>
      <c r="E899" s="3">
        <v>194</v>
      </c>
      <c r="F899" s="3">
        <v>900</v>
      </c>
      <c r="G899" s="3">
        <v>30</v>
      </c>
      <c r="H899" t="str">
        <f t="shared" ref="H899:H926" si="134">_xlfn.CONCAT(D899,"-",E899)</f>
        <v>37-194</v>
      </c>
      <c r="I899" t="b">
        <v>1</v>
      </c>
    </row>
    <row r="900" spans="1:9" x14ac:dyDescent="0.3">
      <c r="A900" t="s">
        <v>790</v>
      </c>
      <c r="B900" t="s">
        <v>791</v>
      </c>
      <c r="C900" t="s">
        <v>796</v>
      </c>
      <c r="D900" s="3">
        <v>37</v>
      </c>
      <c r="E900" s="3">
        <v>194</v>
      </c>
      <c r="F900" s="3">
        <v>901</v>
      </c>
      <c r="G900" s="3">
        <v>210</v>
      </c>
      <c r="H900" t="str">
        <f t="shared" si="134"/>
        <v>37-194</v>
      </c>
      <c r="I900" t="b">
        <v>1</v>
      </c>
    </row>
    <row r="901" spans="1:9" x14ac:dyDescent="0.3">
      <c r="A901" t="s">
        <v>790</v>
      </c>
      <c r="B901" t="s">
        <v>791</v>
      </c>
      <c r="C901" t="s">
        <v>797</v>
      </c>
      <c r="D901" s="3">
        <v>37</v>
      </c>
      <c r="E901" s="3">
        <v>194</v>
      </c>
      <c r="F901" s="3">
        <v>902</v>
      </c>
      <c r="G901" s="3">
        <v>90</v>
      </c>
      <c r="H901" t="str">
        <f t="shared" si="134"/>
        <v>37-194</v>
      </c>
      <c r="I901" t="b">
        <v>1</v>
      </c>
    </row>
    <row r="902" spans="1:9" x14ac:dyDescent="0.3">
      <c r="A902" t="s">
        <v>790</v>
      </c>
      <c r="B902" t="s">
        <v>791</v>
      </c>
      <c r="C902" t="s">
        <v>798</v>
      </c>
      <c r="D902" s="3">
        <v>37</v>
      </c>
      <c r="E902" s="3">
        <v>194</v>
      </c>
      <c r="F902" s="3">
        <v>903</v>
      </c>
      <c r="G902" s="3">
        <v>90</v>
      </c>
      <c r="H902" t="str">
        <f t="shared" si="134"/>
        <v>37-194</v>
      </c>
      <c r="I902" t="b">
        <v>1</v>
      </c>
    </row>
    <row r="903" spans="1:9" x14ac:dyDescent="0.3">
      <c r="A903" t="s">
        <v>790</v>
      </c>
      <c r="B903" t="s">
        <v>791</v>
      </c>
      <c r="C903" t="s">
        <v>799</v>
      </c>
      <c r="D903" s="3">
        <v>37</v>
      </c>
      <c r="E903" s="3">
        <v>194</v>
      </c>
      <c r="F903" s="3">
        <v>904</v>
      </c>
      <c r="G903" s="3">
        <v>700</v>
      </c>
      <c r="H903" t="str">
        <f t="shared" si="134"/>
        <v>37-194</v>
      </c>
      <c r="I903" t="b">
        <v>1</v>
      </c>
    </row>
    <row r="904" spans="1:9" x14ac:dyDescent="0.3">
      <c r="A904" t="s">
        <v>790</v>
      </c>
      <c r="B904" t="s">
        <v>791</v>
      </c>
      <c r="C904" t="s">
        <v>800</v>
      </c>
      <c r="D904" s="3">
        <v>37</v>
      </c>
      <c r="E904" s="3">
        <v>194</v>
      </c>
      <c r="F904" s="3">
        <v>905</v>
      </c>
      <c r="G904" s="3">
        <v>90</v>
      </c>
      <c r="H904" t="str">
        <f t="shared" si="134"/>
        <v>37-194</v>
      </c>
      <c r="I904" t="b">
        <v>1</v>
      </c>
    </row>
    <row r="905" spans="1:9" x14ac:dyDescent="0.3">
      <c r="A905" t="s">
        <v>790</v>
      </c>
      <c r="B905" t="s">
        <v>791</v>
      </c>
      <c r="C905" t="s">
        <v>353</v>
      </c>
      <c r="D905" s="3">
        <v>37</v>
      </c>
      <c r="E905" s="3">
        <v>194</v>
      </c>
      <c r="F905" s="3">
        <v>906</v>
      </c>
      <c r="G905" s="3">
        <v>40</v>
      </c>
      <c r="H905" t="str">
        <f t="shared" si="134"/>
        <v>37-194</v>
      </c>
      <c r="I905" t="b">
        <v>1</v>
      </c>
    </row>
    <row r="906" spans="1:9" x14ac:dyDescent="0.3">
      <c r="A906" t="s">
        <v>790</v>
      </c>
      <c r="B906" t="s">
        <v>791</v>
      </c>
      <c r="C906" t="s">
        <v>801</v>
      </c>
      <c r="D906" s="3">
        <v>37</v>
      </c>
      <c r="E906" s="3">
        <v>194</v>
      </c>
      <c r="F906" s="3">
        <v>907</v>
      </c>
      <c r="G906" s="3">
        <v>360</v>
      </c>
      <c r="H906" t="str">
        <f t="shared" si="134"/>
        <v>37-194</v>
      </c>
      <c r="I906" t="b">
        <v>1</v>
      </c>
    </row>
    <row r="907" spans="1:9" x14ac:dyDescent="0.3">
      <c r="A907" t="s">
        <v>790</v>
      </c>
      <c r="B907" t="s">
        <v>791</v>
      </c>
      <c r="C907" t="s">
        <v>802</v>
      </c>
      <c r="D907" s="3">
        <v>37</v>
      </c>
      <c r="E907" s="3">
        <v>194</v>
      </c>
      <c r="F907" s="3">
        <v>908</v>
      </c>
      <c r="G907" s="3">
        <v>40</v>
      </c>
      <c r="H907" t="str">
        <f t="shared" si="134"/>
        <v>37-194</v>
      </c>
      <c r="I907" t="b">
        <v>1</v>
      </c>
    </row>
    <row r="908" spans="1:9" x14ac:dyDescent="0.3">
      <c r="A908" t="s">
        <v>790</v>
      </c>
      <c r="B908" t="s">
        <v>791</v>
      </c>
      <c r="C908" t="s">
        <v>803</v>
      </c>
      <c r="D908" s="3">
        <v>37</v>
      </c>
      <c r="E908" s="3">
        <v>194</v>
      </c>
      <c r="F908" s="3">
        <v>909</v>
      </c>
      <c r="G908" s="3">
        <v>50</v>
      </c>
      <c r="H908" t="str">
        <f t="shared" si="134"/>
        <v>37-194</v>
      </c>
      <c r="I908" t="b">
        <v>1</v>
      </c>
    </row>
    <row r="909" spans="1:9" x14ac:dyDescent="0.3">
      <c r="A909" t="s">
        <v>790</v>
      </c>
      <c r="B909" t="s">
        <v>791</v>
      </c>
      <c r="C909" t="s">
        <v>804</v>
      </c>
      <c r="D909" s="3">
        <v>37</v>
      </c>
      <c r="E909" s="3">
        <v>194</v>
      </c>
      <c r="F909" s="3">
        <v>910</v>
      </c>
      <c r="G909" s="3">
        <v>70</v>
      </c>
      <c r="H909" t="str">
        <f t="shared" si="134"/>
        <v>37-194</v>
      </c>
      <c r="I909" t="b">
        <v>1</v>
      </c>
    </row>
    <row r="910" spans="1:9" x14ac:dyDescent="0.3">
      <c r="A910" t="s">
        <v>790</v>
      </c>
      <c r="B910" t="s">
        <v>791</v>
      </c>
      <c r="C910" t="s">
        <v>488</v>
      </c>
      <c r="D910" s="3">
        <v>37</v>
      </c>
      <c r="E910" s="3">
        <v>194</v>
      </c>
      <c r="F910" s="3">
        <v>911</v>
      </c>
      <c r="G910" s="3">
        <v>50</v>
      </c>
      <c r="H910" t="str">
        <f t="shared" si="134"/>
        <v>37-194</v>
      </c>
      <c r="I910" t="b">
        <v>1</v>
      </c>
    </row>
    <row r="911" spans="1:9" x14ac:dyDescent="0.3">
      <c r="A911" t="s">
        <v>790</v>
      </c>
      <c r="B911" t="s">
        <v>791</v>
      </c>
      <c r="C911" t="s">
        <v>618</v>
      </c>
      <c r="D911" s="3">
        <v>37</v>
      </c>
      <c r="E911" s="3">
        <v>194</v>
      </c>
      <c r="F911" s="3">
        <v>912</v>
      </c>
      <c r="G911" s="3">
        <v>280</v>
      </c>
      <c r="H911" t="str">
        <f t="shared" si="134"/>
        <v>37-194</v>
      </c>
      <c r="I911" t="b">
        <v>1</v>
      </c>
    </row>
    <row r="912" spans="1:9" x14ac:dyDescent="0.3">
      <c r="A912" t="s">
        <v>790</v>
      </c>
      <c r="B912" t="s">
        <v>791</v>
      </c>
      <c r="C912" t="s">
        <v>805</v>
      </c>
      <c r="D912" s="3">
        <v>37</v>
      </c>
      <c r="E912" s="3">
        <v>194</v>
      </c>
      <c r="F912" s="3">
        <v>913</v>
      </c>
      <c r="G912" s="3">
        <v>50</v>
      </c>
      <c r="H912" t="str">
        <f t="shared" si="134"/>
        <v>37-194</v>
      </c>
      <c r="I912" t="b">
        <v>1</v>
      </c>
    </row>
    <row r="913" spans="1:9" x14ac:dyDescent="0.3">
      <c r="A913" t="s">
        <v>790</v>
      </c>
      <c r="B913" t="s">
        <v>791</v>
      </c>
      <c r="C913" t="s">
        <v>806</v>
      </c>
      <c r="D913" s="3">
        <v>37</v>
      </c>
      <c r="E913" s="3">
        <v>194</v>
      </c>
      <c r="F913" s="3">
        <v>914</v>
      </c>
      <c r="G913" s="3">
        <v>720</v>
      </c>
      <c r="H913" t="str">
        <f t="shared" si="134"/>
        <v>37-194</v>
      </c>
      <c r="I913" t="b">
        <v>1</v>
      </c>
    </row>
    <row r="914" spans="1:9" x14ac:dyDescent="0.3">
      <c r="A914" t="s">
        <v>790</v>
      </c>
      <c r="B914" t="s">
        <v>791</v>
      </c>
      <c r="C914" t="s">
        <v>60</v>
      </c>
      <c r="D914" s="3">
        <v>37</v>
      </c>
      <c r="E914" s="3">
        <v>194</v>
      </c>
      <c r="F914" s="3">
        <v>915</v>
      </c>
      <c r="G914" s="3">
        <v>850</v>
      </c>
      <c r="H914" t="str">
        <f t="shared" si="134"/>
        <v>37-194</v>
      </c>
      <c r="I914" t="b">
        <v>1</v>
      </c>
    </row>
    <row r="915" spans="1:9" x14ac:dyDescent="0.3">
      <c r="A915" t="s">
        <v>790</v>
      </c>
      <c r="B915" t="s">
        <v>791</v>
      </c>
      <c r="C915" t="s">
        <v>426</v>
      </c>
      <c r="D915" s="3">
        <v>37</v>
      </c>
      <c r="E915" s="3">
        <v>194</v>
      </c>
      <c r="F915" s="3">
        <v>916</v>
      </c>
      <c r="G915" s="3">
        <v>800</v>
      </c>
      <c r="H915" t="str">
        <f t="shared" si="134"/>
        <v>37-194</v>
      </c>
      <c r="I915" t="b">
        <v>1</v>
      </c>
    </row>
    <row r="916" spans="1:9" x14ac:dyDescent="0.3">
      <c r="A916" t="s">
        <v>790</v>
      </c>
      <c r="B916" t="s">
        <v>791</v>
      </c>
      <c r="C916" t="s">
        <v>807</v>
      </c>
      <c r="D916" s="3">
        <v>37</v>
      </c>
      <c r="E916" s="3">
        <v>194</v>
      </c>
      <c r="F916" s="3">
        <v>917</v>
      </c>
      <c r="G916" s="3">
        <v>80</v>
      </c>
      <c r="H916" t="str">
        <f t="shared" si="134"/>
        <v>37-194</v>
      </c>
      <c r="I916" t="b">
        <v>1</v>
      </c>
    </row>
    <row r="917" spans="1:9" x14ac:dyDescent="0.3">
      <c r="A917" t="s">
        <v>957</v>
      </c>
      <c r="B917" t="s">
        <v>962</v>
      </c>
      <c r="C917" t="s">
        <v>963</v>
      </c>
      <c r="D917" s="3">
        <v>59</v>
      </c>
      <c r="E917" s="3">
        <v>195</v>
      </c>
      <c r="F917" s="3">
        <v>918</v>
      </c>
      <c r="G917" s="3">
        <v>50</v>
      </c>
      <c r="H917" t="str">
        <f t="shared" si="134"/>
        <v>59-195</v>
      </c>
      <c r="I917" t="b">
        <v>1</v>
      </c>
    </row>
    <row r="918" spans="1:9" x14ac:dyDescent="0.3">
      <c r="A918" t="s">
        <v>957</v>
      </c>
      <c r="B918" t="s">
        <v>962</v>
      </c>
      <c r="C918" t="s">
        <v>482</v>
      </c>
      <c r="D918" s="3">
        <v>59</v>
      </c>
      <c r="E918" s="3">
        <v>195</v>
      </c>
      <c r="F918" s="3">
        <v>919</v>
      </c>
      <c r="G918" s="3">
        <v>1540</v>
      </c>
      <c r="H918" t="str">
        <f t="shared" si="134"/>
        <v>59-195</v>
      </c>
      <c r="I918" t="b">
        <v>1</v>
      </c>
    </row>
    <row r="919" spans="1:9" x14ac:dyDescent="0.3">
      <c r="A919" t="s">
        <v>957</v>
      </c>
      <c r="B919" t="s">
        <v>962</v>
      </c>
      <c r="C919" t="s">
        <v>196</v>
      </c>
      <c r="D919" s="3">
        <v>59</v>
      </c>
      <c r="E919" s="3">
        <v>195</v>
      </c>
      <c r="F919" s="3">
        <v>920</v>
      </c>
      <c r="G919" s="3">
        <v>60</v>
      </c>
      <c r="H919" t="str">
        <f t="shared" si="134"/>
        <v>59-195</v>
      </c>
      <c r="I919" t="b">
        <v>1</v>
      </c>
    </row>
    <row r="920" spans="1:9" x14ac:dyDescent="0.3">
      <c r="A920" t="s">
        <v>957</v>
      </c>
      <c r="B920" t="s">
        <v>962</v>
      </c>
      <c r="C920" t="s">
        <v>798</v>
      </c>
      <c r="D920" s="3">
        <v>59</v>
      </c>
      <c r="E920" s="3">
        <v>195</v>
      </c>
      <c r="F920" s="3">
        <v>921</v>
      </c>
      <c r="G920" s="3">
        <v>340</v>
      </c>
      <c r="H920" t="str">
        <f t="shared" si="134"/>
        <v>59-195</v>
      </c>
      <c r="I920" t="b">
        <v>1</v>
      </c>
    </row>
    <row r="921" spans="1:9" x14ac:dyDescent="0.3">
      <c r="A921" t="s">
        <v>957</v>
      </c>
      <c r="B921" t="s">
        <v>962</v>
      </c>
      <c r="C921" t="s">
        <v>21</v>
      </c>
      <c r="D921" s="3">
        <v>59</v>
      </c>
      <c r="E921" s="3">
        <v>195</v>
      </c>
      <c r="F921" s="3">
        <v>922</v>
      </c>
      <c r="G921" s="3">
        <v>270</v>
      </c>
      <c r="H921" t="str">
        <f t="shared" si="134"/>
        <v>59-195</v>
      </c>
      <c r="I921" t="b">
        <v>1</v>
      </c>
    </row>
    <row r="922" spans="1:9" x14ac:dyDescent="0.3">
      <c r="A922" t="s">
        <v>957</v>
      </c>
      <c r="B922" t="s">
        <v>962</v>
      </c>
      <c r="C922" t="s">
        <v>643</v>
      </c>
      <c r="D922" s="3">
        <v>59</v>
      </c>
      <c r="E922" s="3">
        <v>195</v>
      </c>
      <c r="F922" s="3">
        <v>923</v>
      </c>
      <c r="G922" s="3">
        <v>1490</v>
      </c>
      <c r="H922" t="str">
        <f t="shared" si="134"/>
        <v>59-195</v>
      </c>
      <c r="I922" t="b">
        <v>1</v>
      </c>
    </row>
    <row r="923" spans="1:9" x14ac:dyDescent="0.3">
      <c r="A923" t="s">
        <v>957</v>
      </c>
      <c r="B923" t="s">
        <v>962</v>
      </c>
      <c r="C923" t="s">
        <v>964</v>
      </c>
      <c r="D923" s="3">
        <v>59</v>
      </c>
      <c r="E923" s="3">
        <v>195</v>
      </c>
      <c r="F923" s="3">
        <v>924</v>
      </c>
      <c r="G923" s="3">
        <v>70</v>
      </c>
      <c r="H923" t="str">
        <f t="shared" si="134"/>
        <v>59-195</v>
      </c>
      <c r="I923" t="b">
        <v>1</v>
      </c>
    </row>
    <row r="924" spans="1:9" x14ac:dyDescent="0.3">
      <c r="A924" t="s">
        <v>957</v>
      </c>
      <c r="B924" t="s">
        <v>962</v>
      </c>
      <c r="C924" t="s">
        <v>426</v>
      </c>
      <c r="D924" s="3">
        <v>59</v>
      </c>
      <c r="E924" s="3">
        <v>195</v>
      </c>
      <c r="F924" s="3">
        <v>925</v>
      </c>
      <c r="G924" s="3">
        <v>170</v>
      </c>
      <c r="H924" t="str">
        <f t="shared" si="134"/>
        <v>59-195</v>
      </c>
      <c r="I924" t="b">
        <v>1</v>
      </c>
    </row>
    <row r="925" spans="1:9" x14ac:dyDescent="0.3">
      <c r="A925" t="s">
        <v>957</v>
      </c>
      <c r="B925" t="s">
        <v>962</v>
      </c>
      <c r="C925" t="s">
        <v>965</v>
      </c>
      <c r="D925" s="3">
        <v>59</v>
      </c>
      <c r="E925" s="3">
        <v>195</v>
      </c>
      <c r="F925" s="3">
        <v>926</v>
      </c>
      <c r="G925" s="3">
        <v>160</v>
      </c>
      <c r="H925" t="str">
        <f t="shared" si="134"/>
        <v>59-195</v>
      </c>
      <c r="I925" t="b">
        <v>1</v>
      </c>
    </row>
    <row r="926" spans="1:9" x14ac:dyDescent="0.3">
      <c r="A926" t="s">
        <v>456</v>
      </c>
      <c r="B926" t="s">
        <v>535</v>
      </c>
      <c r="C926" t="s">
        <v>143</v>
      </c>
      <c r="D926" s="3">
        <v>29</v>
      </c>
      <c r="E926" s="3">
        <v>196</v>
      </c>
      <c r="F926" s="3">
        <v>927</v>
      </c>
      <c r="G926" s="3">
        <v>800</v>
      </c>
      <c r="H926" t="str">
        <f t="shared" si="134"/>
        <v>29-196</v>
      </c>
      <c r="I926" t="b">
        <v>1</v>
      </c>
    </row>
  </sheetData>
  <sortState xmlns:xlrd2="http://schemas.microsoft.com/office/spreadsheetml/2017/richdata2" ref="A2:G926">
    <sortCondition ref="E2:E926"/>
  </sortState>
  <conditionalFormatting sqref="M62:M1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GZ60">
    <cfRule type="containsText" dxfId="1" priority="2" operator="containsText" text="T">
      <formula>NOT(ISERROR(SEARCH("T",R2)))</formula>
    </cfRule>
    <cfRule type="containsText" dxfId="0" priority="3" operator="containsText" text="F">
      <formula>NOT(ISERROR(SEARCH("F",R2)))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139F-6E95-4602-AEA6-93C6A3F14498}">
  <dimension ref="A1:G926"/>
  <sheetViews>
    <sheetView topLeftCell="A898" workbookViewId="0">
      <selection activeCell="G1" sqref="A1:G926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t="s">
        <v>28</v>
      </c>
      <c r="B2" t="s">
        <v>37</v>
      </c>
      <c r="C2" t="s">
        <v>47</v>
      </c>
      <c r="D2" s="3">
        <v>4</v>
      </c>
      <c r="E2" s="3">
        <v>15</v>
      </c>
      <c r="F2" s="3">
        <v>52</v>
      </c>
      <c r="G2" s="3">
        <v>10</v>
      </c>
    </row>
    <row r="3" spans="1:7" x14ac:dyDescent="0.3">
      <c r="A3" t="s">
        <v>745</v>
      </c>
      <c r="B3" t="s">
        <v>757</v>
      </c>
      <c r="C3" t="s">
        <v>760</v>
      </c>
      <c r="D3" s="3">
        <v>36</v>
      </c>
      <c r="E3" s="3">
        <v>79</v>
      </c>
      <c r="F3" s="3">
        <v>289</v>
      </c>
      <c r="G3" s="3">
        <v>10</v>
      </c>
    </row>
    <row r="4" spans="1:7" x14ac:dyDescent="0.3">
      <c r="A4" t="s">
        <v>745</v>
      </c>
      <c r="B4" t="s">
        <v>757</v>
      </c>
      <c r="C4" t="s">
        <v>772</v>
      </c>
      <c r="D4" s="3">
        <v>36</v>
      </c>
      <c r="E4" s="3">
        <v>79</v>
      </c>
      <c r="F4" s="3">
        <v>303</v>
      </c>
      <c r="G4" s="3">
        <v>10</v>
      </c>
    </row>
    <row r="5" spans="1:7" x14ac:dyDescent="0.3">
      <c r="A5" t="s">
        <v>171</v>
      </c>
      <c r="B5" t="s">
        <v>172</v>
      </c>
      <c r="C5" t="s">
        <v>178</v>
      </c>
      <c r="D5" s="3">
        <v>15</v>
      </c>
      <c r="E5" s="3">
        <v>91</v>
      </c>
      <c r="F5" s="3">
        <v>350</v>
      </c>
      <c r="G5" s="3">
        <v>10</v>
      </c>
    </row>
    <row r="6" spans="1:7" x14ac:dyDescent="0.3">
      <c r="A6" t="s">
        <v>456</v>
      </c>
      <c r="B6" t="s">
        <v>500</v>
      </c>
      <c r="C6" t="s">
        <v>501</v>
      </c>
      <c r="D6" s="3">
        <v>29</v>
      </c>
      <c r="E6" s="3">
        <v>97</v>
      </c>
      <c r="F6" s="3">
        <v>366</v>
      </c>
      <c r="G6" s="3">
        <v>10</v>
      </c>
    </row>
    <row r="7" spans="1:7" x14ac:dyDescent="0.3">
      <c r="A7" t="s">
        <v>536</v>
      </c>
      <c r="B7" t="s">
        <v>563</v>
      </c>
      <c r="C7" t="s">
        <v>564</v>
      </c>
      <c r="D7" s="3">
        <v>30</v>
      </c>
      <c r="E7" s="3">
        <v>131</v>
      </c>
      <c r="F7" s="3">
        <v>600</v>
      </c>
      <c r="G7" s="3">
        <v>10</v>
      </c>
    </row>
    <row r="8" spans="1:7" x14ac:dyDescent="0.3">
      <c r="A8" t="s">
        <v>852</v>
      </c>
      <c r="B8" t="s">
        <v>853</v>
      </c>
      <c r="C8" t="s">
        <v>854</v>
      </c>
      <c r="D8" s="3">
        <v>43</v>
      </c>
      <c r="E8" s="3">
        <v>150</v>
      </c>
      <c r="F8" s="3">
        <v>645</v>
      </c>
      <c r="G8" s="3">
        <v>10</v>
      </c>
    </row>
    <row r="9" spans="1:7" x14ac:dyDescent="0.3">
      <c r="A9" t="s">
        <v>7</v>
      </c>
      <c r="B9" t="s">
        <v>8</v>
      </c>
      <c r="C9" t="s">
        <v>13</v>
      </c>
      <c r="D9" s="3">
        <v>2</v>
      </c>
      <c r="E9" s="3">
        <v>7</v>
      </c>
      <c r="F9" s="3">
        <v>29</v>
      </c>
      <c r="G9" s="3">
        <v>20</v>
      </c>
    </row>
    <row r="10" spans="1:7" x14ac:dyDescent="0.3">
      <c r="A10" t="s">
        <v>144</v>
      </c>
      <c r="B10" t="s">
        <v>145</v>
      </c>
      <c r="C10" t="s">
        <v>146</v>
      </c>
      <c r="D10" s="3">
        <v>11</v>
      </c>
      <c r="E10" s="3">
        <v>27</v>
      </c>
      <c r="F10" s="3">
        <v>100</v>
      </c>
      <c r="G10" s="3">
        <v>20</v>
      </c>
    </row>
    <row r="11" spans="1:7" x14ac:dyDescent="0.3">
      <c r="A11" t="s">
        <v>745</v>
      </c>
      <c r="B11" t="s">
        <v>746</v>
      </c>
      <c r="C11" t="s">
        <v>747</v>
      </c>
      <c r="D11" s="3">
        <v>36</v>
      </c>
      <c r="E11" s="3">
        <v>17</v>
      </c>
      <c r="F11" s="3">
        <v>161</v>
      </c>
      <c r="G11" s="3">
        <v>20</v>
      </c>
    </row>
    <row r="12" spans="1:7" x14ac:dyDescent="0.3">
      <c r="A12" t="s">
        <v>416</v>
      </c>
      <c r="B12" t="s">
        <v>424</v>
      </c>
      <c r="C12" t="s">
        <v>425</v>
      </c>
      <c r="D12" s="3">
        <v>27</v>
      </c>
      <c r="E12" s="3">
        <v>50</v>
      </c>
      <c r="F12" s="3">
        <v>182</v>
      </c>
      <c r="G12" s="3">
        <v>20</v>
      </c>
    </row>
    <row r="13" spans="1:7" x14ac:dyDescent="0.3">
      <c r="A13" t="s">
        <v>616</v>
      </c>
      <c r="B13" t="s">
        <v>617</v>
      </c>
      <c r="C13" t="s">
        <v>618</v>
      </c>
      <c r="D13" s="3">
        <v>28</v>
      </c>
      <c r="E13" s="3">
        <v>61</v>
      </c>
      <c r="F13" s="3">
        <v>215</v>
      </c>
      <c r="G13" s="3">
        <v>20</v>
      </c>
    </row>
    <row r="14" spans="1:7" x14ac:dyDescent="0.3">
      <c r="A14" t="s">
        <v>808</v>
      </c>
      <c r="B14" t="s">
        <v>810</v>
      </c>
      <c r="C14" t="s">
        <v>234</v>
      </c>
      <c r="D14" s="3">
        <v>38</v>
      </c>
      <c r="E14" s="3">
        <v>76</v>
      </c>
      <c r="F14" s="3">
        <v>262</v>
      </c>
      <c r="G14" s="3">
        <v>20</v>
      </c>
    </row>
    <row r="15" spans="1:7" x14ac:dyDescent="0.3">
      <c r="A15" t="s">
        <v>808</v>
      </c>
      <c r="B15" t="s">
        <v>810</v>
      </c>
      <c r="C15" t="s">
        <v>814</v>
      </c>
      <c r="D15" s="3">
        <v>38</v>
      </c>
      <c r="E15" s="3">
        <v>76</v>
      </c>
      <c r="F15" s="3">
        <v>265</v>
      </c>
      <c r="G15" s="3">
        <v>20</v>
      </c>
    </row>
    <row r="16" spans="1:7" x14ac:dyDescent="0.3">
      <c r="A16" t="s">
        <v>808</v>
      </c>
      <c r="B16" t="s">
        <v>810</v>
      </c>
      <c r="C16" t="s">
        <v>815</v>
      </c>
      <c r="D16" s="3">
        <v>38</v>
      </c>
      <c r="E16" s="3">
        <v>76</v>
      </c>
      <c r="F16" s="3">
        <v>266</v>
      </c>
      <c r="G16" s="3">
        <v>20</v>
      </c>
    </row>
    <row r="17" spans="1:7" x14ac:dyDescent="0.3">
      <c r="A17" t="s">
        <v>808</v>
      </c>
      <c r="B17" t="s">
        <v>810</v>
      </c>
      <c r="C17" t="s">
        <v>824</v>
      </c>
      <c r="D17" s="3">
        <v>38</v>
      </c>
      <c r="E17" s="3">
        <v>76</v>
      </c>
      <c r="F17" s="3">
        <v>277</v>
      </c>
      <c r="G17" s="3">
        <v>20</v>
      </c>
    </row>
    <row r="18" spans="1:7" x14ac:dyDescent="0.3">
      <c r="A18" t="s">
        <v>808</v>
      </c>
      <c r="B18" t="s">
        <v>810</v>
      </c>
      <c r="C18" t="s">
        <v>825</v>
      </c>
      <c r="D18" s="3">
        <v>38</v>
      </c>
      <c r="E18" s="3">
        <v>76</v>
      </c>
      <c r="F18" s="3">
        <v>278</v>
      </c>
      <c r="G18" s="3">
        <v>20</v>
      </c>
    </row>
    <row r="19" spans="1:7" x14ac:dyDescent="0.3">
      <c r="A19" t="s">
        <v>456</v>
      </c>
      <c r="B19" t="s">
        <v>507</v>
      </c>
      <c r="C19" t="s">
        <v>516</v>
      </c>
      <c r="D19" s="3">
        <v>29</v>
      </c>
      <c r="E19" s="3">
        <v>106</v>
      </c>
      <c r="F19" s="3">
        <v>408</v>
      </c>
      <c r="G19" s="3">
        <v>20</v>
      </c>
    </row>
    <row r="20" spans="1:7" x14ac:dyDescent="0.3">
      <c r="A20" t="s">
        <v>593</v>
      </c>
      <c r="B20" t="s">
        <v>626</v>
      </c>
      <c r="C20" t="s">
        <v>627</v>
      </c>
      <c r="D20" s="3">
        <v>31</v>
      </c>
      <c r="E20" s="3">
        <v>109</v>
      </c>
      <c r="F20" s="3">
        <v>458</v>
      </c>
      <c r="G20" s="3">
        <v>20</v>
      </c>
    </row>
    <row r="21" spans="1:7" x14ac:dyDescent="0.3">
      <c r="A21" t="s">
        <v>593</v>
      </c>
      <c r="B21" t="s">
        <v>626</v>
      </c>
      <c r="C21" t="s">
        <v>629</v>
      </c>
      <c r="D21" s="3">
        <v>31</v>
      </c>
      <c r="E21" s="3">
        <v>109</v>
      </c>
      <c r="F21" s="3">
        <v>460</v>
      </c>
      <c r="G21" s="3">
        <v>20</v>
      </c>
    </row>
    <row r="22" spans="1:7" x14ac:dyDescent="0.3">
      <c r="A22" t="s">
        <v>593</v>
      </c>
      <c r="B22" t="s">
        <v>626</v>
      </c>
      <c r="C22" t="s">
        <v>649</v>
      </c>
      <c r="D22" s="3">
        <v>31</v>
      </c>
      <c r="E22" s="3">
        <v>109</v>
      </c>
      <c r="F22" s="3">
        <v>480</v>
      </c>
      <c r="G22" s="3">
        <v>20</v>
      </c>
    </row>
    <row r="23" spans="1:7" x14ac:dyDescent="0.3">
      <c r="A23" t="s">
        <v>593</v>
      </c>
      <c r="B23" t="s">
        <v>626</v>
      </c>
      <c r="C23" t="s">
        <v>651</v>
      </c>
      <c r="D23" s="3">
        <v>31</v>
      </c>
      <c r="E23" s="3">
        <v>109</v>
      </c>
      <c r="F23" s="3">
        <v>482</v>
      </c>
      <c r="G23" s="3">
        <v>20</v>
      </c>
    </row>
    <row r="24" spans="1:7" x14ac:dyDescent="0.3">
      <c r="A24" t="s">
        <v>593</v>
      </c>
      <c r="B24" t="s">
        <v>656</v>
      </c>
      <c r="C24" t="s">
        <v>675</v>
      </c>
      <c r="D24" s="3">
        <v>31</v>
      </c>
      <c r="E24" s="3">
        <v>112</v>
      </c>
      <c r="F24" s="3">
        <v>509</v>
      </c>
      <c r="G24" s="3">
        <v>20</v>
      </c>
    </row>
    <row r="25" spans="1:7" x14ac:dyDescent="0.3">
      <c r="A25" t="s">
        <v>832</v>
      </c>
      <c r="B25" t="s">
        <v>833</v>
      </c>
      <c r="C25" t="s">
        <v>838</v>
      </c>
      <c r="D25" s="3">
        <v>39</v>
      </c>
      <c r="E25" s="3">
        <v>124</v>
      </c>
      <c r="F25" s="3">
        <v>564</v>
      </c>
      <c r="G25" s="3">
        <v>20</v>
      </c>
    </row>
    <row r="26" spans="1:7" x14ac:dyDescent="0.3">
      <c r="A26" t="s">
        <v>875</v>
      </c>
      <c r="B26" t="s">
        <v>896</v>
      </c>
      <c r="C26" t="s">
        <v>900</v>
      </c>
      <c r="D26" s="3">
        <v>50</v>
      </c>
      <c r="E26" s="3">
        <v>152</v>
      </c>
      <c r="F26" s="3">
        <v>651</v>
      </c>
      <c r="G26" s="3">
        <v>20</v>
      </c>
    </row>
    <row r="27" spans="1:7" x14ac:dyDescent="0.3">
      <c r="A27" t="s">
        <v>875</v>
      </c>
      <c r="B27" t="s">
        <v>896</v>
      </c>
      <c r="C27" t="s">
        <v>711</v>
      </c>
      <c r="D27" s="3">
        <v>50</v>
      </c>
      <c r="E27" s="3">
        <v>152</v>
      </c>
      <c r="F27" s="3">
        <v>666</v>
      </c>
      <c r="G27" s="3">
        <v>20</v>
      </c>
    </row>
    <row r="28" spans="1:7" x14ac:dyDescent="0.3">
      <c r="A28" t="s">
        <v>593</v>
      </c>
      <c r="B28" t="s">
        <v>694</v>
      </c>
      <c r="C28" t="s">
        <v>380</v>
      </c>
      <c r="D28" s="3">
        <v>31</v>
      </c>
      <c r="E28" s="3">
        <v>157</v>
      </c>
      <c r="F28" s="3">
        <v>684</v>
      </c>
      <c r="G28" s="3">
        <v>20</v>
      </c>
    </row>
    <row r="29" spans="1:7" x14ac:dyDescent="0.3">
      <c r="A29" t="s">
        <v>321</v>
      </c>
      <c r="B29" t="s">
        <v>322</v>
      </c>
      <c r="C29" t="s">
        <v>328</v>
      </c>
      <c r="D29" s="3">
        <v>21</v>
      </c>
      <c r="E29" s="3">
        <v>173</v>
      </c>
      <c r="F29" s="3">
        <v>740</v>
      </c>
      <c r="G29" s="3">
        <v>20</v>
      </c>
    </row>
    <row r="30" spans="1:7" x14ac:dyDescent="0.3">
      <c r="A30" t="s">
        <v>75</v>
      </c>
      <c r="B30" t="s">
        <v>82</v>
      </c>
      <c r="C30" t="s">
        <v>92</v>
      </c>
      <c r="D30" s="3">
        <v>7</v>
      </c>
      <c r="E30" s="3">
        <v>178</v>
      </c>
      <c r="F30" s="3">
        <v>769</v>
      </c>
      <c r="G30" s="3">
        <v>20</v>
      </c>
    </row>
    <row r="31" spans="1:7" x14ac:dyDescent="0.3">
      <c r="A31" t="s">
        <v>75</v>
      </c>
      <c r="B31" t="s">
        <v>82</v>
      </c>
      <c r="C31" t="s">
        <v>93</v>
      </c>
      <c r="D31" s="3">
        <v>7</v>
      </c>
      <c r="E31" s="3">
        <v>178</v>
      </c>
      <c r="F31" s="3">
        <v>770</v>
      </c>
      <c r="G31" s="3">
        <v>20</v>
      </c>
    </row>
    <row r="32" spans="1:7" x14ac:dyDescent="0.3">
      <c r="A32" t="s">
        <v>239</v>
      </c>
      <c r="B32" t="s">
        <v>245</v>
      </c>
      <c r="C32" t="s">
        <v>246</v>
      </c>
      <c r="D32" s="3">
        <v>17</v>
      </c>
      <c r="E32" s="3">
        <v>185</v>
      </c>
      <c r="F32" s="3">
        <v>812</v>
      </c>
      <c r="G32" s="3">
        <v>20</v>
      </c>
    </row>
    <row r="33" spans="1:7" x14ac:dyDescent="0.3">
      <c r="A33" t="s">
        <v>536</v>
      </c>
      <c r="B33" t="s">
        <v>537</v>
      </c>
      <c r="C33" t="s">
        <v>541</v>
      </c>
      <c r="D33" s="3">
        <v>30</v>
      </c>
      <c r="E33" s="3">
        <v>1</v>
      </c>
      <c r="F33" s="3">
        <v>4</v>
      </c>
      <c r="G33" s="3">
        <v>30</v>
      </c>
    </row>
    <row r="34" spans="1:7" x14ac:dyDescent="0.3">
      <c r="A34" t="s">
        <v>28</v>
      </c>
      <c r="B34" t="s">
        <v>37</v>
      </c>
      <c r="C34" t="s">
        <v>43</v>
      </c>
      <c r="D34" s="3">
        <v>4</v>
      </c>
      <c r="E34" s="3">
        <v>15</v>
      </c>
      <c r="F34" s="3">
        <v>48</v>
      </c>
      <c r="G34" s="3">
        <v>30</v>
      </c>
    </row>
    <row r="35" spans="1:7" x14ac:dyDescent="0.3">
      <c r="A35" t="s">
        <v>28</v>
      </c>
      <c r="B35" t="s">
        <v>37</v>
      </c>
      <c r="C35" t="s">
        <v>51</v>
      </c>
      <c r="D35" s="3">
        <v>4</v>
      </c>
      <c r="E35" s="3">
        <v>15</v>
      </c>
      <c r="F35" s="3">
        <v>56</v>
      </c>
      <c r="G35" s="3">
        <v>30</v>
      </c>
    </row>
    <row r="36" spans="1:7" x14ac:dyDescent="0.3">
      <c r="A36" t="s">
        <v>28</v>
      </c>
      <c r="B36" t="s">
        <v>37</v>
      </c>
      <c r="C36" t="s">
        <v>52</v>
      </c>
      <c r="D36" s="3">
        <v>4</v>
      </c>
      <c r="E36" s="3">
        <v>15</v>
      </c>
      <c r="F36" s="3">
        <v>57</v>
      </c>
      <c r="G36" s="3">
        <v>30</v>
      </c>
    </row>
    <row r="37" spans="1:7" x14ac:dyDescent="0.3">
      <c r="A37" t="s">
        <v>456</v>
      </c>
      <c r="B37" t="s">
        <v>474</v>
      </c>
      <c r="C37" t="s">
        <v>479</v>
      </c>
      <c r="D37" s="3">
        <v>29</v>
      </c>
      <c r="E37" s="3">
        <v>31</v>
      </c>
      <c r="F37" s="3">
        <v>120</v>
      </c>
      <c r="G37" s="3">
        <v>30</v>
      </c>
    </row>
    <row r="38" spans="1:7" x14ac:dyDescent="0.3">
      <c r="A38" t="s">
        <v>222</v>
      </c>
      <c r="B38" t="s">
        <v>223</v>
      </c>
      <c r="C38" t="s">
        <v>224</v>
      </c>
      <c r="D38" s="3">
        <v>16</v>
      </c>
      <c r="E38" s="3">
        <v>32</v>
      </c>
      <c r="F38" s="3">
        <v>122</v>
      </c>
      <c r="G38" s="3">
        <v>30</v>
      </c>
    </row>
    <row r="39" spans="1:7" x14ac:dyDescent="0.3">
      <c r="A39" t="s">
        <v>158</v>
      </c>
      <c r="B39" t="s">
        <v>159</v>
      </c>
      <c r="C39" t="s">
        <v>163</v>
      </c>
      <c r="D39" s="3">
        <v>13</v>
      </c>
      <c r="E39" s="3">
        <v>38</v>
      </c>
      <c r="F39" s="3">
        <v>141</v>
      </c>
      <c r="G39" s="3">
        <v>30</v>
      </c>
    </row>
    <row r="40" spans="1:7" x14ac:dyDescent="0.3">
      <c r="A40" t="s">
        <v>158</v>
      </c>
      <c r="B40" t="s">
        <v>159</v>
      </c>
      <c r="C40" t="s">
        <v>164</v>
      </c>
      <c r="D40" s="3">
        <v>13</v>
      </c>
      <c r="E40" s="3">
        <v>38</v>
      </c>
      <c r="F40" s="3">
        <v>142</v>
      </c>
      <c r="G40" s="3">
        <v>30</v>
      </c>
    </row>
    <row r="41" spans="1:7" x14ac:dyDescent="0.3">
      <c r="A41" t="s">
        <v>593</v>
      </c>
      <c r="B41" t="s">
        <v>601</v>
      </c>
      <c r="C41" t="s">
        <v>605</v>
      </c>
      <c r="D41" s="3">
        <v>31</v>
      </c>
      <c r="E41" s="3">
        <v>54</v>
      </c>
      <c r="F41" s="3">
        <v>190</v>
      </c>
      <c r="G41" s="3">
        <v>30</v>
      </c>
    </row>
    <row r="42" spans="1:7" x14ac:dyDescent="0.3">
      <c r="A42" t="s">
        <v>593</v>
      </c>
      <c r="B42" t="s">
        <v>601</v>
      </c>
      <c r="C42" t="s">
        <v>201</v>
      </c>
      <c r="D42" s="3">
        <v>31</v>
      </c>
      <c r="E42" s="3">
        <v>54</v>
      </c>
      <c r="F42" s="3">
        <v>191</v>
      </c>
      <c r="G42" s="3">
        <v>30</v>
      </c>
    </row>
    <row r="43" spans="1:7" x14ac:dyDescent="0.3">
      <c r="A43" t="s">
        <v>593</v>
      </c>
      <c r="B43" t="s">
        <v>617</v>
      </c>
      <c r="C43" t="s">
        <v>373</v>
      </c>
      <c r="D43" s="3">
        <v>31</v>
      </c>
      <c r="E43" s="3">
        <v>61</v>
      </c>
      <c r="F43" s="3">
        <v>218</v>
      </c>
      <c r="G43" s="3">
        <v>30</v>
      </c>
    </row>
    <row r="44" spans="1:7" x14ac:dyDescent="0.3">
      <c r="A44" t="s">
        <v>875</v>
      </c>
      <c r="B44" t="s">
        <v>878</v>
      </c>
      <c r="C44" t="s">
        <v>27</v>
      </c>
      <c r="D44" s="3">
        <v>50</v>
      </c>
      <c r="E44" s="3">
        <v>66</v>
      </c>
      <c r="F44" s="3">
        <v>224</v>
      </c>
      <c r="G44" s="3">
        <v>30</v>
      </c>
    </row>
    <row r="45" spans="1:7" x14ac:dyDescent="0.3">
      <c r="A45" t="s">
        <v>875</v>
      </c>
      <c r="B45" t="s">
        <v>881</v>
      </c>
      <c r="C45" t="s">
        <v>883</v>
      </c>
      <c r="D45" s="3">
        <v>50</v>
      </c>
      <c r="E45" s="3">
        <v>71</v>
      </c>
      <c r="F45" s="3">
        <v>234</v>
      </c>
      <c r="G45" s="3">
        <v>30</v>
      </c>
    </row>
    <row r="46" spans="1:7" x14ac:dyDescent="0.3">
      <c r="A46" t="s">
        <v>416</v>
      </c>
      <c r="B46" t="s">
        <v>427</v>
      </c>
      <c r="C46" t="s">
        <v>433</v>
      </c>
      <c r="D46" s="3">
        <v>27</v>
      </c>
      <c r="E46" s="3">
        <v>73</v>
      </c>
      <c r="F46" s="3">
        <v>242</v>
      </c>
      <c r="G46" s="3">
        <v>30</v>
      </c>
    </row>
    <row r="47" spans="1:7" x14ac:dyDescent="0.3">
      <c r="A47" t="s">
        <v>808</v>
      </c>
      <c r="B47" t="s">
        <v>810</v>
      </c>
      <c r="C47" t="s">
        <v>820</v>
      </c>
      <c r="D47" s="3">
        <v>38</v>
      </c>
      <c r="E47" s="3">
        <v>76</v>
      </c>
      <c r="F47" s="3">
        <v>273</v>
      </c>
      <c r="G47" s="3">
        <v>30</v>
      </c>
    </row>
    <row r="48" spans="1:7" x14ac:dyDescent="0.3">
      <c r="A48" t="s">
        <v>808</v>
      </c>
      <c r="B48" t="s">
        <v>810</v>
      </c>
      <c r="C48" t="s">
        <v>827</v>
      </c>
      <c r="D48" s="3">
        <v>38</v>
      </c>
      <c r="E48" s="3">
        <v>76</v>
      </c>
      <c r="F48" s="3">
        <v>281</v>
      </c>
      <c r="G48" s="3">
        <v>30</v>
      </c>
    </row>
    <row r="49" spans="1:7" x14ac:dyDescent="0.3">
      <c r="A49" t="s">
        <v>745</v>
      </c>
      <c r="B49" t="s">
        <v>757</v>
      </c>
      <c r="C49" t="s">
        <v>205</v>
      </c>
      <c r="D49" s="3">
        <v>36</v>
      </c>
      <c r="E49" s="3">
        <v>79</v>
      </c>
      <c r="F49" s="3">
        <v>314</v>
      </c>
      <c r="G49" s="3">
        <v>30</v>
      </c>
    </row>
    <row r="50" spans="1:7" x14ac:dyDescent="0.3">
      <c r="A50" t="s">
        <v>745</v>
      </c>
      <c r="B50" t="s">
        <v>757</v>
      </c>
      <c r="C50" t="s">
        <v>783</v>
      </c>
      <c r="D50" s="3">
        <v>36</v>
      </c>
      <c r="E50" s="3">
        <v>79</v>
      </c>
      <c r="F50" s="3">
        <v>315</v>
      </c>
      <c r="G50" s="3">
        <v>30</v>
      </c>
    </row>
    <row r="51" spans="1:7" x14ac:dyDescent="0.3">
      <c r="A51" t="s">
        <v>725</v>
      </c>
      <c r="B51" t="s">
        <v>735</v>
      </c>
      <c r="C51" t="s">
        <v>736</v>
      </c>
      <c r="D51" s="3">
        <v>35</v>
      </c>
      <c r="E51" s="3">
        <v>88</v>
      </c>
      <c r="F51" s="3">
        <v>341</v>
      </c>
      <c r="G51" s="3">
        <v>30</v>
      </c>
    </row>
    <row r="52" spans="1:7" x14ac:dyDescent="0.3">
      <c r="A52" t="s">
        <v>593</v>
      </c>
      <c r="B52" t="s">
        <v>621</v>
      </c>
      <c r="C52" t="s">
        <v>624</v>
      </c>
      <c r="D52" s="3">
        <v>31</v>
      </c>
      <c r="E52" s="3">
        <v>98</v>
      </c>
      <c r="F52" s="3">
        <v>376</v>
      </c>
      <c r="G52" s="3">
        <v>30</v>
      </c>
    </row>
    <row r="53" spans="1:7" x14ac:dyDescent="0.3">
      <c r="A53" t="s">
        <v>416</v>
      </c>
      <c r="B53" t="s">
        <v>450</v>
      </c>
      <c r="C53" t="s">
        <v>455</v>
      </c>
      <c r="D53" s="3">
        <v>27</v>
      </c>
      <c r="E53" s="3">
        <v>105</v>
      </c>
      <c r="F53" s="3">
        <v>399</v>
      </c>
      <c r="G53" s="3">
        <v>30</v>
      </c>
    </row>
    <row r="54" spans="1:7" x14ac:dyDescent="0.3">
      <c r="A54" t="s">
        <v>456</v>
      </c>
      <c r="B54" t="s">
        <v>507</v>
      </c>
      <c r="C54" t="s">
        <v>511</v>
      </c>
      <c r="D54" s="3">
        <v>29</v>
      </c>
      <c r="E54" s="3">
        <v>106</v>
      </c>
      <c r="F54" s="3">
        <v>403</v>
      </c>
      <c r="G54" s="3">
        <v>30</v>
      </c>
    </row>
    <row r="55" spans="1:7" x14ac:dyDescent="0.3">
      <c r="A55" t="s">
        <v>171</v>
      </c>
      <c r="B55" t="s">
        <v>188</v>
      </c>
      <c r="C55" t="s">
        <v>217</v>
      </c>
      <c r="D55" s="3">
        <v>15</v>
      </c>
      <c r="E55" s="3">
        <v>107</v>
      </c>
      <c r="F55" s="3">
        <v>443</v>
      </c>
      <c r="G55" s="3">
        <v>30</v>
      </c>
    </row>
    <row r="56" spans="1:7" x14ac:dyDescent="0.3">
      <c r="A56" t="s">
        <v>363</v>
      </c>
      <c r="B56" t="s">
        <v>366</v>
      </c>
      <c r="C56" t="s">
        <v>371</v>
      </c>
      <c r="D56" s="3">
        <v>26</v>
      </c>
      <c r="E56" s="3">
        <v>108</v>
      </c>
      <c r="F56" s="3">
        <v>454</v>
      </c>
      <c r="G56" s="3">
        <v>30</v>
      </c>
    </row>
    <row r="57" spans="1:7" x14ac:dyDescent="0.3">
      <c r="A57" t="s">
        <v>593</v>
      </c>
      <c r="B57" t="s">
        <v>626</v>
      </c>
      <c r="C57" t="s">
        <v>647</v>
      </c>
      <c r="D57" s="3">
        <v>31</v>
      </c>
      <c r="E57" s="3">
        <v>109</v>
      </c>
      <c r="F57" s="3">
        <v>478</v>
      </c>
      <c r="G57" s="3">
        <v>30</v>
      </c>
    </row>
    <row r="58" spans="1:7" x14ac:dyDescent="0.3">
      <c r="A58" t="s">
        <v>593</v>
      </c>
      <c r="B58" t="s">
        <v>626</v>
      </c>
      <c r="C58" t="s">
        <v>648</v>
      </c>
      <c r="D58" s="3">
        <v>31</v>
      </c>
      <c r="E58" s="3">
        <v>109</v>
      </c>
      <c r="F58" s="3">
        <v>479</v>
      </c>
      <c r="G58" s="3">
        <v>30</v>
      </c>
    </row>
    <row r="59" spans="1:7" x14ac:dyDescent="0.3">
      <c r="A59" t="s">
        <v>593</v>
      </c>
      <c r="B59" t="s">
        <v>626</v>
      </c>
      <c r="C59" t="s">
        <v>652</v>
      </c>
      <c r="D59" s="3">
        <v>31</v>
      </c>
      <c r="E59" s="3">
        <v>109</v>
      </c>
      <c r="F59" s="3">
        <v>483</v>
      </c>
      <c r="G59" s="3">
        <v>30</v>
      </c>
    </row>
    <row r="60" spans="1:7" x14ac:dyDescent="0.3">
      <c r="A60" t="s">
        <v>593</v>
      </c>
      <c r="B60" t="s">
        <v>656</v>
      </c>
      <c r="C60" t="s">
        <v>659</v>
      </c>
      <c r="D60" s="3">
        <v>31</v>
      </c>
      <c r="E60" s="3">
        <v>112</v>
      </c>
      <c r="F60" s="3">
        <v>490</v>
      </c>
      <c r="G60" s="3">
        <v>30</v>
      </c>
    </row>
    <row r="61" spans="1:7" x14ac:dyDescent="0.3">
      <c r="A61" t="s">
        <v>593</v>
      </c>
      <c r="B61" t="s">
        <v>656</v>
      </c>
      <c r="C61" t="s">
        <v>663</v>
      </c>
      <c r="D61" s="3">
        <v>31</v>
      </c>
      <c r="E61" s="3">
        <v>112</v>
      </c>
      <c r="F61" s="3">
        <v>495</v>
      </c>
      <c r="G61" s="3">
        <v>30</v>
      </c>
    </row>
    <row r="62" spans="1:7" x14ac:dyDescent="0.3">
      <c r="A62" t="s">
        <v>593</v>
      </c>
      <c r="B62" t="s">
        <v>656</v>
      </c>
      <c r="C62" t="s">
        <v>664</v>
      </c>
      <c r="D62" s="3">
        <v>31</v>
      </c>
      <c r="E62" s="3">
        <v>112</v>
      </c>
      <c r="F62" s="3">
        <v>496</v>
      </c>
      <c r="G62" s="3">
        <v>30</v>
      </c>
    </row>
    <row r="63" spans="1:7" x14ac:dyDescent="0.3">
      <c r="A63" t="s">
        <v>593</v>
      </c>
      <c r="B63" t="s">
        <v>656</v>
      </c>
      <c r="C63" t="s">
        <v>666</v>
      </c>
      <c r="D63" s="3">
        <v>31</v>
      </c>
      <c r="E63" s="3">
        <v>112</v>
      </c>
      <c r="F63" s="3">
        <v>498</v>
      </c>
      <c r="G63" s="3">
        <v>30</v>
      </c>
    </row>
    <row r="64" spans="1:7" x14ac:dyDescent="0.3">
      <c r="A64" t="s">
        <v>832</v>
      </c>
      <c r="B64" t="s">
        <v>833</v>
      </c>
      <c r="C64" t="s">
        <v>834</v>
      </c>
      <c r="D64" s="3">
        <v>39</v>
      </c>
      <c r="E64" s="3">
        <v>124</v>
      </c>
      <c r="F64" s="3">
        <v>554</v>
      </c>
      <c r="G64" s="3">
        <v>30</v>
      </c>
    </row>
    <row r="65" spans="1:7" x14ac:dyDescent="0.3">
      <c r="A65" t="s">
        <v>832</v>
      </c>
      <c r="B65" t="s">
        <v>833</v>
      </c>
      <c r="C65" t="s">
        <v>840</v>
      </c>
      <c r="D65" s="3">
        <v>39</v>
      </c>
      <c r="E65" s="3">
        <v>124</v>
      </c>
      <c r="F65" s="3">
        <v>566</v>
      </c>
      <c r="G65" s="3">
        <v>30</v>
      </c>
    </row>
    <row r="66" spans="1:7" x14ac:dyDescent="0.3">
      <c r="A66" t="s">
        <v>363</v>
      </c>
      <c r="B66" t="s">
        <v>390</v>
      </c>
      <c r="C66" t="s">
        <v>400</v>
      </c>
      <c r="D66" s="3">
        <v>26</v>
      </c>
      <c r="E66" s="3">
        <v>126</v>
      </c>
      <c r="F66" s="3">
        <v>578</v>
      </c>
      <c r="G66" s="3">
        <v>30</v>
      </c>
    </row>
    <row r="67" spans="1:7" x14ac:dyDescent="0.3">
      <c r="A67" t="s">
        <v>536</v>
      </c>
      <c r="B67" t="s">
        <v>563</v>
      </c>
      <c r="C67" t="s">
        <v>570</v>
      </c>
      <c r="D67" s="3">
        <v>30</v>
      </c>
      <c r="E67" s="3">
        <v>131</v>
      </c>
      <c r="F67" s="3">
        <v>608</v>
      </c>
      <c r="G67" s="3">
        <v>30</v>
      </c>
    </row>
    <row r="68" spans="1:7" x14ac:dyDescent="0.3">
      <c r="A68" t="s">
        <v>456</v>
      </c>
      <c r="B68" t="s">
        <v>520</v>
      </c>
      <c r="C68" t="s">
        <v>521</v>
      </c>
      <c r="D68" s="3">
        <v>29</v>
      </c>
      <c r="E68" s="3">
        <v>133</v>
      </c>
      <c r="F68" s="3">
        <v>612</v>
      </c>
      <c r="G68" s="3">
        <v>30</v>
      </c>
    </row>
    <row r="69" spans="1:7" x14ac:dyDescent="0.3">
      <c r="A69" t="s">
        <v>536</v>
      </c>
      <c r="B69" t="s">
        <v>581</v>
      </c>
      <c r="C69" t="s">
        <v>582</v>
      </c>
      <c r="D69" s="3">
        <v>30</v>
      </c>
      <c r="E69" s="3">
        <v>146</v>
      </c>
      <c r="F69" s="3">
        <v>634</v>
      </c>
      <c r="G69" s="3">
        <v>30</v>
      </c>
    </row>
    <row r="70" spans="1:7" x14ac:dyDescent="0.3">
      <c r="A70" t="s">
        <v>593</v>
      </c>
      <c r="B70" t="s">
        <v>688</v>
      </c>
      <c r="C70" t="s">
        <v>18</v>
      </c>
      <c r="D70" s="3">
        <v>31</v>
      </c>
      <c r="E70" s="3">
        <v>148</v>
      </c>
      <c r="F70" s="3">
        <v>641</v>
      </c>
      <c r="G70" s="3">
        <v>30</v>
      </c>
    </row>
    <row r="71" spans="1:7" x14ac:dyDescent="0.3">
      <c r="A71" t="s">
        <v>363</v>
      </c>
      <c r="B71" t="s">
        <v>413</v>
      </c>
      <c r="C71" t="s">
        <v>60</v>
      </c>
      <c r="D71" s="3">
        <v>26</v>
      </c>
      <c r="E71" s="3">
        <v>149</v>
      </c>
      <c r="F71" s="3">
        <v>644</v>
      </c>
      <c r="G71" s="3">
        <v>30</v>
      </c>
    </row>
    <row r="72" spans="1:7" x14ac:dyDescent="0.3">
      <c r="A72" t="s">
        <v>875</v>
      </c>
      <c r="B72" t="s">
        <v>896</v>
      </c>
      <c r="C72" t="s">
        <v>902</v>
      </c>
      <c r="D72" s="3">
        <v>50</v>
      </c>
      <c r="E72" s="3">
        <v>152</v>
      </c>
      <c r="F72" s="3">
        <v>653</v>
      </c>
      <c r="G72" s="3">
        <v>30</v>
      </c>
    </row>
    <row r="73" spans="1:7" x14ac:dyDescent="0.3">
      <c r="A73" t="s">
        <v>875</v>
      </c>
      <c r="B73" t="s">
        <v>896</v>
      </c>
      <c r="C73" t="s">
        <v>904</v>
      </c>
      <c r="D73" s="3">
        <v>50</v>
      </c>
      <c r="E73" s="3">
        <v>152</v>
      </c>
      <c r="F73" s="3">
        <v>656</v>
      </c>
      <c r="G73" s="3">
        <v>30</v>
      </c>
    </row>
    <row r="74" spans="1:7" x14ac:dyDescent="0.3">
      <c r="A74" t="s">
        <v>875</v>
      </c>
      <c r="B74" t="s">
        <v>896</v>
      </c>
      <c r="C74" t="s">
        <v>910</v>
      </c>
      <c r="D74" s="3">
        <v>50</v>
      </c>
      <c r="E74" s="3">
        <v>152</v>
      </c>
      <c r="F74" s="3">
        <v>664</v>
      </c>
      <c r="G74" s="3">
        <v>30</v>
      </c>
    </row>
    <row r="75" spans="1:7" x14ac:dyDescent="0.3">
      <c r="A75" t="s">
        <v>456</v>
      </c>
      <c r="B75" t="s">
        <v>527</v>
      </c>
      <c r="C75" t="s">
        <v>60</v>
      </c>
      <c r="D75" s="3">
        <v>29</v>
      </c>
      <c r="E75" s="3">
        <v>168</v>
      </c>
      <c r="F75" s="3">
        <v>721</v>
      </c>
      <c r="G75" s="3">
        <v>30</v>
      </c>
    </row>
    <row r="76" spans="1:7" x14ac:dyDescent="0.3">
      <c r="A76" t="s">
        <v>536</v>
      </c>
      <c r="B76" t="s">
        <v>585</v>
      </c>
      <c r="C76" t="s">
        <v>373</v>
      </c>
      <c r="D76" s="3">
        <v>30</v>
      </c>
      <c r="E76" s="3">
        <v>169</v>
      </c>
      <c r="F76" s="3">
        <v>725</v>
      </c>
      <c r="G76" s="3">
        <v>30</v>
      </c>
    </row>
    <row r="77" spans="1:7" x14ac:dyDescent="0.3">
      <c r="A77" t="s">
        <v>75</v>
      </c>
      <c r="B77" t="s">
        <v>82</v>
      </c>
      <c r="C77" t="s">
        <v>119</v>
      </c>
      <c r="D77" s="3">
        <v>7</v>
      </c>
      <c r="E77" s="3">
        <v>178</v>
      </c>
      <c r="F77" s="3">
        <v>796</v>
      </c>
      <c r="G77" s="3">
        <v>30</v>
      </c>
    </row>
    <row r="78" spans="1:7" x14ac:dyDescent="0.3">
      <c r="A78" t="s">
        <v>7</v>
      </c>
      <c r="B78" t="s">
        <v>20</v>
      </c>
      <c r="C78" t="s">
        <v>22</v>
      </c>
      <c r="D78" s="3">
        <v>2</v>
      </c>
      <c r="E78" s="3">
        <v>182</v>
      </c>
      <c r="F78" s="3">
        <v>808</v>
      </c>
      <c r="G78" s="3">
        <v>30</v>
      </c>
    </row>
    <row r="79" spans="1:7" x14ac:dyDescent="0.3">
      <c r="A79" t="s">
        <v>239</v>
      </c>
      <c r="B79" t="s">
        <v>245</v>
      </c>
      <c r="C79" t="s">
        <v>257</v>
      </c>
      <c r="D79" s="3">
        <v>17</v>
      </c>
      <c r="E79" s="3">
        <v>185</v>
      </c>
      <c r="F79" s="3">
        <v>824</v>
      </c>
      <c r="G79" s="3">
        <v>30</v>
      </c>
    </row>
    <row r="80" spans="1:7" x14ac:dyDescent="0.3">
      <c r="A80" t="s">
        <v>239</v>
      </c>
      <c r="B80" t="s">
        <v>245</v>
      </c>
      <c r="C80" t="s">
        <v>277</v>
      </c>
      <c r="D80" s="3">
        <v>17</v>
      </c>
      <c r="E80" s="3">
        <v>185</v>
      </c>
      <c r="F80" s="3">
        <v>845</v>
      </c>
      <c r="G80" s="3">
        <v>30</v>
      </c>
    </row>
    <row r="81" spans="1:7" x14ac:dyDescent="0.3">
      <c r="A81" t="s">
        <v>239</v>
      </c>
      <c r="B81" t="s">
        <v>245</v>
      </c>
      <c r="C81" t="s">
        <v>288</v>
      </c>
      <c r="D81" s="3">
        <v>17</v>
      </c>
      <c r="E81" s="3">
        <v>185</v>
      </c>
      <c r="F81" s="3">
        <v>857</v>
      </c>
      <c r="G81" s="3">
        <v>30</v>
      </c>
    </row>
    <row r="82" spans="1:7" x14ac:dyDescent="0.3">
      <c r="A82" t="s">
        <v>239</v>
      </c>
      <c r="B82" t="s">
        <v>245</v>
      </c>
      <c r="C82" t="s">
        <v>296</v>
      </c>
      <c r="D82" s="3">
        <v>17</v>
      </c>
      <c r="E82" s="3">
        <v>185</v>
      </c>
      <c r="F82" s="3">
        <v>865</v>
      </c>
      <c r="G82" s="3">
        <v>30</v>
      </c>
    </row>
    <row r="83" spans="1:7" x14ac:dyDescent="0.3">
      <c r="A83" t="s">
        <v>790</v>
      </c>
      <c r="B83" t="s">
        <v>791</v>
      </c>
      <c r="C83" t="s">
        <v>795</v>
      </c>
      <c r="D83" s="3">
        <v>37</v>
      </c>
      <c r="E83" s="3">
        <v>194</v>
      </c>
      <c r="F83" s="3">
        <v>900</v>
      </c>
      <c r="G83" s="3">
        <v>30</v>
      </c>
    </row>
    <row r="84" spans="1:7" x14ac:dyDescent="0.3">
      <c r="A84" s="8" t="s">
        <v>536</v>
      </c>
      <c r="B84" s="8" t="s">
        <v>537</v>
      </c>
      <c r="C84" s="8" t="s">
        <v>538</v>
      </c>
      <c r="D84" s="4">
        <v>30</v>
      </c>
      <c r="E84" s="4">
        <v>1</v>
      </c>
      <c r="F84" s="4">
        <v>1</v>
      </c>
      <c r="G84" s="4">
        <v>40</v>
      </c>
    </row>
    <row r="85" spans="1:7" x14ac:dyDescent="0.3">
      <c r="A85" t="s">
        <v>28</v>
      </c>
      <c r="B85" t="s">
        <v>29</v>
      </c>
      <c r="C85" t="s">
        <v>34</v>
      </c>
      <c r="D85" s="3">
        <v>4</v>
      </c>
      <c r="E85" s="3">
        <v>5</v>
      </c>
      <c r="F85" s="3">
        <v>21</v>
      </c>
      <c r="G85" s="3">
        <v>40</v>
      </c>
    </row>
    <row r="86" spans="1:7" x14ac:dyDescent="0.3">
      <c r="A86" t="s">
        <v>536</v>
      </c>
      <c r="B86" t="s">
        <v>544</v>
      </c>
      <c r="C86" t="s">
        <v>60</v>
      </c>
      <c r="D86" s="3">
        <v>30</v>
      </c>
      <c r="E86" s="3">
        <v>8</v>
      </c>
      <c r="F86" s="3">
        <v>33</v>
      </c>
      <c r="G86" s="3">
        <v>40</v>
      </c>
    </row>
    <row r="87" spans="1:7" x14ac:dyDescent="0.3">
      <c r="A87" t="s">
        <v>942</v>
      </c>
      <c r="B87" t="s">
        <v>943</v>
      </c>
      <c r="C87" t="s">
        <v>944</v>
      </c>
      <c r="D87" s="3">
        <v>56</v>
      </c>
      <c r="E87" s="3">
        <v>12</v>
      </c>
      <c r="F87" s="3">
        <v>39</v>
      </c>
      <c r="G87" s="3">
        <v>40</v>
      </c>
    </row>
    <row r="88" spans="1:7" x14ac:dyDescent="0.3">
      <c r="A88" t="s">
        <v>28</v>
      </c>
      <c r="B88" t="s">
        <v>37</v>
      </c>
      <c r="C88" t="s">
        <v>49</v>
      </c>
      <c r="D88" s="3">
        <v>4</v>
      </c>
      <c r="E88" s="3">
        <v>15</v>
      </c>
      <c r="F88" s="3">
        <v>54</v>
      </c>
      <c r="G88" s="3">
        <v>40</v>
      </c>
    </row>
    <row r="89" spans="1:7" x14ac:dyDescent="0.3">
      <c r="A89" t="s">
        <v>124</v>
      </c>
      <c r="B89" t="s">
        <v>125</v>
      </c>
      <c r="C89" t="s">
        <v>126</v>
      </c>
      <c r="D89" s="3">
        <v>8</v>
      </c>
      <c r="E89" s="3">
        <v>21</v>
      </c>
      <c r="F89" s="3">
        <v>78</v>
      </c>
      <c r="G89" s="3">
        <v>40</v>
      </c>
    </row>
    <row r="90" spans="1:7" x14ac:dyDescent="0.3">
      <c r="A90" t="s">
        <v>712</v>
      </c>
      <c r="B90" t="s">
        <v>713</v>
      </c>
      <c r="C90" t="s">
        <v>432</v>
      </c>
      <c r="D90" s="3">
        <v>33</v>
      </c>
      <c r="E90" s="3">
        <v>28</v>
      </c>
      <c r="F90" s="3">
        <v>104</v>
      </c>
      <c r="G90" s="3">
        <v>40</v>
      </c>
    </row>
    <row r="91" spans="1:7" x14ac:dyDescent="0.3">
      <c r="A91" t="s">
        <v>712</v>
      </c>
      <c r="B91" t="s">
        <v>713</v>
      </c>
      <c r="C91" t="s">
        <v>719</v>
      </c>
      <c r="D91" s="3">
        <v>33</v>
      </c>
      <c r="E91" s="3">
        <v>28</v>
      </c>
      <c r="F91" s="3">
        <v>109</v>
      </c>
      <c r="G91" s="3">
        <v>40</v>
      </c>
    </row>
    <row r="92" spans="1:7" x14ac:dyDescent="0.3">
      <c r="A92" t="s">
        <v>152</v>
      </c>
      <c r="B92" t="s">
        <v>153</v>
      </c>
      <c r="C92" t="s">
        <v>155</v>
      </c>
      <c r="D92" s="3">
        <v>12</v>
      </c>
      <c r="E92" s="3">
        <v>36</v>
      </c>
      <c r="F92" s="3">
        <v>132</v>
      </c>
      <c r="G92" s="3">
        <v>40</v>
      </c>
    </row>
    <row r="93" spans="1:7" x14ac:dyDescent="0.3">
      <c r="A93" t="s">
        <v>152</v>
      </c>
      <c r="B93" t="s">
        <v>153</v>
      </c>
      <c r="C93" t="s">
        <v>60</v>
      </c>
      <c r="D93" s="3">
        <v>12</v>
      </c>
      <c r="E93" s="3">
        <v>36</v>
      </c>
      <c r="F93" s="3">
        <v>134</v>
      </c>
      <c r="G93" s="3">
        <v>40</v>
      </c>
    </row>
    <row r="94" spans="1:7" x14ac:dyDescent="0.3">
      <c r="A94" t="s">
        <v>158</v>
      </c>
      <c r="B94" t="s">
        <v>159</v>
      </c>
      <c r="C94" t="s">
        <v>160</v>
      </c>
      <c r="D94" s="3">
        <v>13</v>
      </c>
      <c r="E94" s="3">
        <v>38</v>
      </c>
      <c r="F94" s="3">
        <v>138</v>
      </c>
      <c r="G94" s="3">
        <v>40</v>
      </c>
    </row>
    <row r="95" spans="1:7" x14ac:dyDescent="0.3">
      <c r="A95" t="s">
        <v>158</v>
      </c>
      <c r="B95" t="s">
        <v>159</v>
      </c>
      <c r="C95" t="s">
        <v>161</v>
      </c>
      <c r="D95" s="3">
        <v>13</v>
      </c>
      <c r="E95" s="3">
        <v>38</v>
      </c>
      <c r="F95" s="3">
        <v>139</v>
      </c>
      <c r="G95" s="3">
        <v>40</v>
      </c>
    </row>
    <row r="96" spans="1:7" x14ac:dyDescent="0.3">
      <c r="A96" t="s">
        <v>456</v>
      </c>
      <c r="B96" t="s">
        <v>483</v>
      </c>
      <c r="C96" t="s">
        <v>485</v>
      </c>
      <c r="D96" s="3">
        <v>29</v>
      </c>
      <c r="E96" s="3">
        <v>47</v>
      </c>
      <c r="F96" s="3">
        <v>166</v>
      </c>
      <c r="G96" s="3">
        <v>40</v>
      </c>
    </row>
    <row r="97" spans="1:7" x14ac:dyDescent="0.3">
      <c r="A97" t="s">
        <v>593</v>
      </c>
      <c r="B97" t="s">
        <v>601</v>
      </c>
      <c r="C97" t="s">
        <v>607</v>
      </c>
      <c r="D97" s="3">
        <v>31</v>
      </c>
      <c r="E97" s="3">
        <v>54</v>
      </c>
      <c r="F97" s="3">
        <v>193</v>
      </c>
      <c r="G97" s="3">
        <v>40</v>
      </c>
    </row>
    <row r="98" spans="1:7" x14ac:dyDescent="0.3">
      <c r="A98" t="s">
        <v>456</v>
      </c>
      <c r="B98" t="s">
        <v>492</v>
      </c>
      <c r="C98" t="s">
        <v>493</v>
      </c>
      <c r="D98" s="3">
        <v>29</v>
      </c>
      <c r="E98" s="3">
        <v>58</v>
      </c>
      <c r="F98" s="3">
        <v>208</v>
      </c>
      <c r="G98" s="3">
        <v>40</v>
      </c>
    </row>
    <row r="99" spans="1:7" x14ac:dyDescent="0.3">
      <c r="A99" t="s">
        <v>808</v>
      </c>
      <c r="B99" t="s">
        <v>810</v>
      </c>
      <c r="C99" t="s">
        <v>813</v>
      </c>
      <c r="D99" s="3">
        <v>38</v>
      </c>
      <c r="E99" s="3">
        <v>76</v>
      </c>
      <c r="F99" s="3">
        <v>264</v>
      </c>
      <c r="G99" s="3">
        <v>40</v>
      </c>
    </row>
    <row r="100" spans="1:7" x14ac:dyDescent="0.3">
      <c r="A100" t="s">
        <v>808</v>
      </c>
      <c r="B100" t="s">
        <v>810</v>
      </c>
      <c r="C100" t="s">
        <v>176</v>
      </c>
      <c r="D100" s="3">
        <v>38</v>
      </c>
      <c r="E100" s="3">
        <v>76</v>
      </c>
      <c r="F100" s="3">
        <v>267</v>
      </c>
      <c r="G100" s="3">
        <v>40</v>
      </c>
    </row>
    <row r="101" spans="1:7" x14ac:dyDescent="0.3">
      <c r="A101" t="s">
        <v>808</v>
      </c>
      <c r="B101" t="s">
        <v>810</v>
      </c>
      <c r="C101" t="s">
        <v>817</v>
      </c>
      <c r="D101" s="3">
        <v>38</v>
      </c>
      <c r="E101" s="3">
        <v>76</v>
      </c>
      <c r="F101" s="3">
        <v>270</v>
      </c>
      <c r="G101" s="3">
        <v>40</v>
      </c>
    </row>
    <row r="102" spans="1:7" x14ac:dyDescent="0.3">
      <c r="A102" t="s">
        <v>808</v>
      </c>
      <c r="B102" t="s">
        <v>810</v>
      </c>
      <c r="C102" t="s">
        <v>828</v>
      </c>
      <c r="D102" s="3">
        <v>38</v>
      </c>
      <c r="E102" s="3">
        <v>76</v>
      </c>
      <c r="F102" s="3">
        <v>282</v>
      </c>
      <c r="G102" s="3">
        <v>40</v>
      </c>
    </row>
    <row r="103" spans="1:7" x14ac:dyDescent="0.3">
      <c r="A103" t="s">
        <v>745</v>
      </c>
      <c r="B103" t="s">
        <v>757</v>
      </c>
      <c r="C103" t="s">
        <v>85</v>
      </c>
      <c r="D103" s="3">
        <v>36</v>
      </c>
      <c r="E103" s="3">
        <v>79</v>
      </c>
      <c r="F103" s="3">
        <v>296</v>
      </c>
      <c r="G103" s="3">
        <v>40</v>
      </c>
    </row>
    <row r="104" spans="1:7" x14ac:dyDescent="0.3">
      <c r="A104" t="s">
        <v>745</v>
      </c>
      <c r="B104" t="s">
        <v>757</v>
      </c>
      <c r="C104" t="s">
        <v>777</v>
      </c>
      <c r="D104" s="3">
        <v>36</v>
      </c>
      <c r="E104" s="3">
        <v>79</v>
      </c>
      <c r="F104" s="3">
        <v>308</v>
      </c>
      <c r="G104" s="3">
        <v>40</v>
      </c>
    </row>
    <row r="105" spans="1:7" x14ac:dyDescent="0.3">
      <c r="A105" t="s">
        <v>745</v>
      </c>
      <c r="B105" t="s">
        <v>757</v>
      </c>
      <c r="C105" t="s">
        <v>784</v>
      </c>
      <c r="D105" s="3">
        <v>36</v>
      </c>
      <c r="E105" s="3">
        <v>79</v>
      </c>
      <c r="F105" s="3">
        <v>317</v>
      </c>
      <c r="G105" s="3">
        <v>40</v>
      </c>
    </row>
    <row r="106" spans="1:7" x14ac:dyDescent="0.3">
      <c r="A106" t="s">
        <v>745</v>
      </c>
      <c r="B106" t="s">
        <v>757</v>
      </c>
      <c r="C106" t="s">
        <v>785</v>
      </c>
      <c r="D106" s="3">
        <v>36</v>
      </c>
      <c r="E106" s="3">
        <v>79</v>
      </c>
      <c r="F106" s="3">
        <v>318</v>
      </c>
      <c r="G106" s="3">
        <v>40</v>
      </c>
    </row>
    <row r="107" spans="1:7" x14ac:dyDescent="0.3">
      <c r="A107" t="s">
        <v>745</v>
      </c>
      <c r="B107" t="s">
        <v>757</v>
      </c>
      <c r="C107" t="s">
        <v>788</v>
      </c>
      <c r="D107" s="3">
        <v>36</v>
      </c>
      <c r="E107" s="3">
        <v>79</v>
      </c>
      <c r="F107" s="3">
        <v>321</v>
      </c>
      <c r="G107" s="3">
        <v>40</v>
      </c>
    </row>
    <row r="108" spans="1:7" x14ac:dyDescent="0.3">
      <c r="A108" t="s">
        <v>875</v>
      </c>
      <c r="B108" t="s">
        <v>884</v>
      </c>
      <c r="C108" t="s">
        <v>886</v>
      </c>
      <c r="D108" s="3">
        <v>50</v>
      </c>
      <c r="E108" s="3">
        <v>81</v>
      </c>
      <c r="F108" s="3">
        <v>325</v>
      </c>
      <c r="G108" s="3">
        <v>40</v>
      </c>
    </row>
    <row r="109" spans="1:7" x14ac:dyDescent="0.3">
      <c r="A109" t="s">
        <v>456</v>
      </c>
      <c r="B109" t="s">
        <v>496</v>
      </c>
      <c r="C109" t="s">
        <v>497</v>
      </c>
      <c r="D109" s="3">
        <v>29</v>
      </c>
      <c r="E109" s="3">
        <v>89</v>
      </c>
      <c r="F109" s="3">
        <v>342</v>
      </c>
      <c r="G109" s="3">
        <v>40</v>
      </c>
    </row>
    <row r="110" spans="1:7" x14ac:dyDescent="0.3">
      <c r="A110" t="s">
        <v>171</v>
      </c>
      <c r="B110" t="s">
        <v>172</v>
      </c>
      <c r="C110" t="s">
        <v>174</v>
      </c>
      <c r="D110" s="3">
        <v>15</v>
      </c>
      <c r="E110" s="3">
        <v>91</v>
      </c>
      <c r="F110" s="3">
        <v>346</v>
      </c>
      <c r="G110" s="3">
        <v>40</v>
      </c>
    </row>
    <row r="111" spans="1:7" x14ac:dyDescent="0.3">
      <c r="A111" t="s">
        <v>171</v>
      </c>
      <c r="B111" t="s">
        <v>172</v>
      </c>
      <c r="C111" t="s">
        <v>183</v>
      </c>
      <c r="D111" s="3">
        <v>15</v>
      </c>
      <c r="E111" s="3">
        <v>91</v>
      </c>
      <c r="F111" s="3">
        <v>355</v>
      </c>
      <c r="G111" s="3">
        <v>40</v>
      </c>
    </row>
    <row r="112" spans="1:7" x14ac:dyDescent="0.3">
      <c r="A112" t="s">
        <v>593</v>
      </c>
      <c r="B112" t="s">
        <v>621</v>
      </c>
      <c r="C112" t="s">
        <v>623</v>
      </c>
      <c r="D112" s="3">
        <v>31</v>
      </c>
      <c r="E112" s="3">
        <v>98</v>
      </c>
      <c r="F112" s="3">
        <v>375</v>
      </c>
      <c r="G112" s="3">
        <v>40</v>
      </c>
    </row>
    <row r="113" spans="1:7" x14ac:dyDescent="0.3">
      <c r="A113" t="s">
        <v>171</v>
      </c>
      <c r="B113" t="s">
        <v>188</v>
      </c>
      <c r="C113" t="s">
        <v>200</v>
      </c>
      <c r="D113" s="3">
        <v>15</v>
      </c>
      <c r="E113" s="3">
        <v>107</v>
      </c>
      <c r="F113" s="3">
        <v>424</v>
      </c>
      <c r="G113" s="3">
        <v>40</v>
      </c>
    </row>
    <row r="114" spans="1:7" x14ac:dyDescent="0.3">
      <c r="A114" t="s">
        <v>171</v>
      </c>
      <c r="B114" t="s">
        <v>188</v>
      </c>
      <c r="C114" t="s">
        <v>215</v>
      </c>
      <c r="D114" s="3">
        <v>15</v>
      </c>
      <c r="E114" s="3">
        <v>107</v>
      </c>
      <c r="F114" s="3">
        <v>440</v>
      </c>
      <c r="G114" s="3">
        <v>40</v>
      </c>
    </row>
    <row r="115" spans="1:7" x14ac:dyDescent="0.3">
      <c r="A115" t="s">
        <v>171</v>
      </c>
      <c r="B115" t="s">
        <v>188</v>
      </c>
      <c r="C115" t="s">
        <v>218</v>
      </c>
      <c r="D115" s="3">
        <v>15</v>
      </c>
      <c r="E115" s="3">
        <v>107</v>
      </c>
      <c r="F115" s="3">
        <v>444</v>
      </c>
      <c r="G115" s="3">
        <v>40</v>
      </c>
    </row>
    <row r="116" spans="1:7" x14ac:dyDescent="0.3">
      <c r="A116" t="s">
        <v>593</v>
      </c>
      <c r="B116" t="s">
        <v>626</v>
      </c>
      <c r="C116" t="s">
        <v>636</v>
      </c>
      <c r="D116" s="3">
        <v>31</v>
      </c>
      <c r="E116" s="3">
        <v>109</v>
      </c>
      <c r="F116" s="3">
        <v>467</v>
      </c>
      <c r="G116" s="3">
        <v>40</v>
      </c>
    </row>
    <row r="117" spans="1:7" x14ac:dyDescent="0.3">
      <c r="A117" t="s">
        <v>593</v>
      </c>
      <c r="B117" t="s">
        <v>656</v>
      </c>
      <c r="C117" t="s">
        <v>660</v>
      </c>
      <c r="D117" s="3">
        <v>31</v>
      </c>
      <c r="E117" s="3">
        <v>112</v>
      </c>
      <c r="F117" s="3">
        <v>491</v>
      </c>
      <c r="G117" s="3">
        <v>40</v>
      </c>
    </row>
    <row r="118" spans="1:7" x14ac:dyDescent="0.3">
      <c r="A118" t="s">
        <v>843</v>
      </c>
      <c r="B118" t="s">
        <v>844</v>
      </c>
      <c r="C118" t="s">
        <v>515</v>
      </c>
      <c r="D118" s="3">
        <v>40</v>
      </c>
      <c r="E118" s="3">
        <v>118</v>
      </c>
      <c r="F118" s="3">
        <v>529</v>
      </c>
      <c r="G118" s="3">
        <v>40</v>
      </c>
    </row>
    <row r="119" spans="1:7" x14ac:dyDescent="0.3">
      <c r="A119" t="s">
        <v>363</v>
      </c>
      <c r="B119" t="s">
        <v>379</v>
      </c>
      <c r="C119" t="s">
        <v>381</v>
      </c>
      <c r="D119" s="3">
        <v>26</v>
      </c>
      <c r="E119" s="3">
        <v>123</v>
      </c>
      <c r="F119" s="3">
        <v>538</v>
      </c>
      <c r="G119" s="3">
        <v>40</v>
      </c>
    </row>
    <row r="120" spans="1:7" x14ac:dyDescent="0.3">
      <c r="A120" t="s">
        <v>832</v>
      </c>
      <c r="B120" t="s">
        <v>833</v>
      </c>
      <c r="C120" t="s">
        <v>414</v>
      </c>
      <c r="D120" s="3">
        <v>39</v>
      </c>
      <c r="E120" s="3">
        <v>124</v>
      </c>
      <c r="F120" s="3">
        <v>559</v>
      </c>
      <c r="G120" s="3">
        <v>40</v>
      </c>
    </row>
    <row r="121" spans="1:7" x14ac:dyDescent="0.3">
      <c r="A121" t="s">
        <v>363</v>
      </c>
      <c r="B121" t="s">
        <v>390</v>
      </c>
      <c r="C121" t="s">
        <v>393</v>
      </c>
      <c r="D121" s="3">
        <v>26</v>
      </c>
      <c r="E121" s="3">
        <v>126</v>
      </c>
      <c r="F121" s="3">
        <v>570</v>
      </c>
      <c r="G121" s="3">
        <v>40</v>
      </c>
    </row>
    <row r="122" spans="1:7" x14ac:dyDescent="0.3">
      <c r="A122" t="s">
        <v>363</v>
      </c>
      <c r="B122" t="s">
        <v>390</v>
      </c>
      <c r="C122" t="s">
        <v>394</v>
      </c>
      <c r="D122" s="3">
        <v>26</v>
      </c>
      <c r="E122" s="3">
        <v>126</v>
      </c>
      <c r="F122" s="3">
        <v>571</v>
      </c>
      <c r="G122" s="3">
        <v>40</v>
      </c>
    </row>
    <row r="123" spans="1:7" x14ac:dyDescent="0.3">
      <c r="A123" t="s">
        <v>363</v>
      </c>
      <c r="B123" t="s">
        <v>390</v>
      </c>
      <c r="C123" t="s">
        <v>402</v>
      </c>
      <c r="D123" s="3">
        <v>26</v>
      </c>
      <c r="E123" s="3">
        <v>126</v>
      </c>
      <c r="F123" s="3">
        <v>582</v>
      </c>
      <c r="G123" s="3">
        <v>40</v>
      </c>
    </row>
    <row r="124" spans="1:7" x14ac:dyDescent="0.3">
      <c r="A124" t="s">
        <v>363</v>
      </c>
      <c r="B124" t="s">
        <v>390</v>
      </c>
      <c r="C124" t="s">
        <v>410</v>
      </c>
      <c r="D124" s="3">
        <v>26</v>
      </c>
      <c r="E124" s="3">
        <v>126</v>
      </c>
      <c r="F124" s="3">
        <v>591</v>
      </c>
      <c r="G124" s="3">
        <v>40</v>
      </c>
    </row>
    <row r="125" spans="1:7" x14ac:dyDescent="0.3">
      <c r="A125" t="s">
        <v>869</v>
      </c>
      <c r="B125" t="s">
        <v>870</v>
      </c>
      <c r="C125" t="s">
        <v>872</v>
      </c>
      <c r="D125" s="3">
        <v>48</v>
      </c>
      <c r="E125" s="3">
        <v>129</v>
      </c>
      <c r="F125" s="3">
        <v>598</v>
      </c>
      <c r="G125" s="3">
        <v>40</v>
      </c>
    </row>
    <row r="126" spans="1:7" x14ac:dyDescent="0.3">
      <c r="A126" t="s">
        <v>848</v>
      </c>
      <c r="B126" t="s">
        <v>849</v>
      </c>
      <c r="C126" t="s">
        <v>851</v>
      </c>
      <c r="D126" s="3">
        <v>42</v>
      </c>
      <c r="E126" s="3">
        <v>140</v>
      </c>
      <c r="F126" s="3">
        <v>625</v>
      </c>
      <c r="G126" s="3">
        <v>40</v>
      </c>
    </row>
    <row r="127" spans="1:7" x14ac:dyDescent="0.3">
      <c r="A127" t="s">
        <v>536</v>
      </c>
      <c r="B127" t="s">
        <v>577</v>
      </c>
      <c r="C127" t="s">
        <v>578</v>
      </c>
      <c r="D127" s="3">
        <v>30</v>
      </c>
      <c r="E127" s="3">
        <v>145</v>
      </c>
      <c r="F127" s="3">
        <v>631</v>
      </c>
      <c r="G127" s="3">
        <v>40</v>
      </c>
    </row>
    <row r="128" spans="1:7" x14ac:dyDescent="0.3">
      <c r="A128" t="s">
        <v>875</v>
      </c>
      <c r="B128" t="s">
        <v>896</v>
      </c>
      <c r="C128" t="s">
        <v>898</v>
      </c>
      <c r="D128" s="3">
        <v>50</v>
      </c>
      <c r="E128" s="3">
        <v>152</v>
      </c>
      <c r="F128" s="3">
        <v>649</v>
      </c>
      <c r="G128" s="3">
        <v>40</v>
      </c>
    </row>
    <row r="129" spans="1:7" x14ac:dyDescent="0.3">
      <c r="A129" t="s">
        <v>875</v>
      </c>
      <c r="B129" t="s">
        <v>896</v>
      </c>
      <c r="C129" t="s">
        <v>899</v>
      </c>
      <c r="D129" s="3">
        <v>50</v>
      </c>
      <c r="E129" s="3">
        <v>152</v>
      </c>
      <c r="F129" s="3">
        <v>650</v>
      </c>
      <c r="G129" s="3">
        <v>40</v>
      </c>
    </row>
    <row r="130" spans="1:7" x14ac:dyDescent="0.3">
      <c r="A130" t="s">
        <v>875</v>
      </c>
      <c r="B130" t="s">
        <v>896</v>
      </c>
      <c r="C130" t="s">
        <v>909</v>
      </c>
      <c r="D130" s="3">
        <v>50</v>
      </c>
      <c r="E130" s="3">
        <v>152</v>
      </c>
      <c r="F130" s="3">
        <v>663</v>
      </c>
      <c r="G130" s="3">
        <v>40</v>
      </c>
    </row>
    <row r="131" spans="1:7" x14ac:dyDescent="0.3">
      <c r="A131" t="s">
        <v>875</v>
      </c>
      <c r="B131" t="s">
        <v>896</v>
      </c>
      <c r="C131" t="s">
        <v>915</v>
      </c>
      <c r="D131" s="3">
        <v>50</v>
      </c>
      <c r="E131" s="3">
        <v>152</v>
      </c>
      <c r="F131" s="3">
        <v>676</v>
      </c>
      <c r="G131" s="3">
        <v>40</v>
      </c>
    </row>
    <row r="132" spans="1:7" x14ac:dyDescent="0.3">
      <c r="A132" t="s">
        <v>344</v>
      </c>
      <c r="B132" t="s">
        <v>345</v>
      </c>
      <c r="C132" t="s">
        <v>346</v>
      </c>
      <c r="D132" s="3">
        <v>23</v>
      </c>
      <c r="E132" s="3">
        <v>162</v>
      </c>
      <c r="F132" s="3">
        <v>703</v>
      </c>
      <c r="G132" s="3">
        <v>40</v>
      </c>
    </row>
    <row r="133" spans="1:7" x14ac:dyDescent="0.3">
      <c r="A133" t="s">
        <v>456</v>
      </c>
      <c r="B133" t="s">
        <v>527</v>
      </c>
      <c r="C133" t="s">
        <v>528</v>
      </c>
      <c r="D133" s="3">
        <v>29</v>
      </c>
      <c r="E133" s="3">
        <v>168</v>
      </c>
      <c r="F133" s="3">
        <v>718</v>
      </c>
      <c r="G133" s="3">
        <v>40</v>
      </c>
    </row>
    <row r="134" spans="1:7" x14ac:dyDescent="0.3">
      <c r="A134" t="s">
        <v>536</v>
      </c>
      <c r="B134" t="s">
        <v>585</v>
      </c>
      <c r="C134" t="s">
        <v>539</v>
      </c>
      <c r="D134" s="3">
        <v>30</v>
      </c>
      <c r="E134" s="3">
        <v>169</v>
      </c>
      <c r="F134" s="3">
        <v>723</v>
      </c>
      <c r="G134" s="3">
        <v>40</v>
      </c>
    </row>
    <row r="135" spans="1:7" x14ac:dyDescent="0.3">
      <c r="A135" t="s">
        <v>321</v>
      </c>
      <c r="B135" t="s">
        <v>322</v>
      </c>
      <c r="C135" t="s">
        <v>325</v>
      </c>
      <c r="D135" s="3">
        <v>21</v>
      </c>
      <c r="E135" s="3">
        <v>173</v>
      </c>
      <c r="F135" s="3">
        <v>734</v>
      </c>
      <c r="G135" s="3">
        <v>40</v>
      </c>
    </row>
    <row r="136" spans="1:7" x14ac:dyDescent="0.3">
      <c r="A136" t="s">
        <v>536</v>
      </c>
      <c r="B136" t="s">
        <v>587</v>
      </c>
      <c r="C136" t="s">
        <v>588</v>
      </c>
      <c r="D136" s="3">
        <v>30</v>
      </c>
      <c r="E136" s="3">
        <v>174</v>
      </c>
      <c r="F136" s="3">
        <v>744</v>
      </c>
      <c r="G136" s="3">
        <v>40</v>
      </c>
    </row>
    <row r="137" spans="1:7" x14ac:dyDescent="0.3">
      <c r="A137" t="s">
        <v>536</v>
      </c>
      <c r="B137" t="s">
        <v>587</v>
      </c>
      <c r="C137" t="s">
        <v>589</v>
      </c>
      <c r="D137" s="3">
        <v>30</v>
      </c>
      <c r="E137" s="3">
        <v>174</v>
      </c>
      <c r="F137" s="3">
        <v>745</v>
      </c>
      <c r="G137" s="3">
        <v>40</v>
      </c>
    </row>
    <row r="138" spans="1:7" x14ac:dyDescent="0.3">
      <c r="A138" t="s">
        <v>75</v>
      </c>
      <c r="B138" t="s">
        <v>82</v>
      </c>
      <c r="C138" t="s">
        <v>98</v>
      </c>
      <c r="D138" s="3">
        <v>7</v>
      </c>
      <c r="E138" s="3">
        <v>178</v>
      </c>
      <c r="F138" s="3">
        <v>775</v>
      </c>
      <c r="G138" s="3">
        <v>40</v>
      </c>
    </row>
    <row r="139" spans="1:7" x14ac:dyDescent="0.3">
      <c r="A139" t="s">
        <v>456</v>
      </c>
      <c r="B139" t="s">
        <v>532</v>
      </c>
      <c r="C139" t="s">
        <v>534</v>
      </c>
      <c r="D139" s="3">
        <v>29</v>
      </c>
      <c r="E139" s="3">
        <v>179</v>
      </c>
      <c r="F139" s="3">
        <v>802</v>
      </c>
      <c r="G139" s="3">
        <v>40</v>
      </c>
    </row>
    <row r="140" spans="1:7" x14ac:dyDescent="0.3">
      <c r="A140" t="s">
        <v>239</v>
      </c>
      <c r="B140" t="s">
        <v>245</v>
      </c>
      <c r="C140" t="s">
        <v>254</v>
      </c>
      <c r="D140" s="3">
        <v>17</v>
      </c>
      <c r="E140" s="3">
        <v>185</v>
      </c>
      <c r="F140" s="3">
        <v>821</v>
      </c>
      <c r="G140" s="3">
        <v>40</v>
      </c>
    </row>
    <row r="141" spans="1:7" x14ac:dyDescent="0.3">
      <c r="A141" t="s">
        <v>239</v>
      </c>
      <c r="B141" t="s">
        <v>245</v>
      </c>
      <c r="C141" t="s">
        <v>286</v>
      </c>
      <c r="D141" s="3">
        <v>17</v>
      </c>
      <c r="E141" s="3">
        <v>185</v>
      </c>
      <c r="F141" s="3">
        <v>855</v>
      </c>
      <c r="G141" s="3">
        <v>40</v>
      </c>
    </row>
    <row r="142" spans="1:7" x14ac:dyDescent="0.3">
      <c r="A142" t="s">
        <v>239</v>
      </c>
      <c r="B142" t="s">
        <v>245</v>
      </c>
      <c r="C142" t="s">
        <v>306</v>
      </c>
      <c r="D142" s="3">
        <v>17</v>
      </c>
      <c r="E142" s="3">
        <v>185</v>
      </c>
      <c r="F142" s="3">
        <v>876</v>
      </c>
      <c r="G142" s="3">
        <v>40</v>
      </c>
    </row>
    <row r="143" spans="1:7" x14ac:dyDescent="0.3">
      <c r="A143" t="s">
        <v>790</v>
      </c>
      <c r="B143" t="s">
        <v>791</v>
      </c>
      <c r="C143" t="s">
        <v>794</v>
      </c>
      <c r="D143" s="3">
        <v>37</v>
      </c>
      <c r="E143" s="3">
        <v>194</v>
      </c>
      <c r="F143" s="3">
        <v>898</v>
      </c>
      <c r="G143" s="3">
        <v>40</v>
      </c>
    </row>
    <row r="144" spans="1:7" x14ac:dyDescent="0.3">
      <c r="A144" t="s">
        <v>790</v>
      </c>
      <c r="B144" t="s">
        <v>791</v>
      </c>
      <c r="C144" t="s">
        <v>353</v>
      </c>
      <c r="D144" s="3">
        <v>37</v>
      </c>
      <c r="E144" s="3">
        <v>194</v>
      </c>
      <c r="F144" s="3">
        <v>906</v>
      </c>
      <c r="G144" s="3">
        <v>40</v>
      </c>
    </row>
    <row r="145" spans="1:7" x14ac:dyDescent="0.3">
      <c r="A145" t="s">
        <v>790</v>
      </c>
      <c r="B145" t="s">
        <v>791</v>
      </c>
      <c r="C145" t="s">
        <v>802</v>
      </c>
      <c r="D145" s="3">
        <v>37</v>
      </c>
      <c r="E145" s="3">
        <v>194</v>
      </c>
      <c r="F145" s="3">
        <v>908</v>
      </c>
      <c r="G145" s="3">
        <v>40</v>
      </c>
    </row>
    <row r="146" spans="1:7" x14ac:dyDescent="0.3">
      <c r="A146" s="8" t="s">
        <v>536</v>
      </c>
      <c r="B146" s="8" t="s">
        <v>537</v>
      </c>
      <c r="C146" s="8" t="s">
        <v>539</v>
      </c>
      <c r="D146" s="4">
        <v>30</v>
      </c>
      <c r="E146" s="4">
        <v>1</v>
      </c>
      <c r="F146" s="4">
        <v>2</v>
      </c>
      <c r="G146" s="4">
        <v>50</v>
      </c>
    </row>
    <row r="147" spans="1:7" x14ac:dyDescent="0.3">
      <c r="A147" t="s">
        <v>456</v>
      </c>
      <c r="B147" t="s">
        <v>457</v>
      </c>
      <c r="C147" t="s">
        <v>459</v>
      </c>
      <c r="D147" s="3">
        <v>29</v>
      </c>
      <c r="E147" s="3">
        <v>2</v>
      </c>
      <c r="F147" s="3">
        <v>7</v>
      </c>
      <c r="G147" s="3">
        <v>50</v>
      </c>
    </row>
    <row r="148" spans="1:7" x14ac:dyDescent="0.3">
      <c r="A148" t="s">
        <v>593</v>
      </c>
      <c r="B148" t="s">
        <v>596</v>
      </c>
      <c r="C148" t="s">
        <v>179</v>
      </c>
      <c r="D148" s="3">
        <v>31</v>
      </c>
      <c r="E148" s="3">
        <v>9</v>
      </c>
      <c r="F148" s="3">
        <v>34</v>
      </c>
      <c r="G148" s="3">
        <v>50</v>
      </c>
    </row>
    <row r="149" spans="1:7" x14ac:dyDescent="0.3">
      <c r="A149" t="s">
        <v>363</v>
      </c>
      <c r="B149" t="s">
        <v>364</v>
      </c>
      <c r="C149" t="s">
        <v>365</v>
      </c>
      <c r="D149" s="3">
        <v>26</v>
      </c>
      <c r="E149" s="3">
        <v>10</v>
      </c>
      <c r="F149" s="3">
        <v>35</v>
      </c>
      <c r="G149" s="3">
        <v>50</v>
      </c>
    </row>
    <row r="150" spans="1:7" x14ac:dyDescent="0.3">
      <c r="A150" t="s">
        <v>28</v>
      </c>
      <c r="B150" t="s">
        <v>37</v>
      </c>
      <c r="C150" t="s">
        <v>41</v>
      </c>
      <c r="D150" s="3">
        <v>4</v>
      </c>
      <c r="E150" s="3">
        <v>15</v>
      </c>
      <c r="F150" s="3">
        <v>46</v>
      </c>
      <c r="G150" s="3">
        <v>50</v>
      </c>
    </row>
    <row r="151" spans="1:7" x14ac:dyDescent="0.3">
      <c r="A151" t="s">
        <v>28</v>
      </c>
      <c r="B151" t="s">
        <v>37</v>
      </c>
      <c r="C151" t="s">
        <v>11</v>
      </c>
      <c r="D151" s="3">
        <v>4</v>
      </c>
      <c r="E151" s="3">
        <v>15</v>
      </c>
      <c r="F151" s="3">
        <v>58</v>
      </c>
      <c r="G151" s="3">
        <v>50</v>
      </c>
    </row>
    <row r="152" spans="1:7" x14ac:dyDescent="0.3">
      <c r="A152" t="s">
        <v>28</v>
      </c>
      <c r="B152" t="s">
        <v>37</v>
      </c>
      <c r="C152" t="s">
        <v>61</v>
      </c>
      <c r="D152" s="3">
        <v>4</v>
      </c>
      <c r="E152" s="3">
        <v>15</v>
      </c>
      <c r="F152" s="3">
        <v>67</v>
      </c>
      <c r="G152" s="3">
        <v>50</v>
      </c>
    </row>
    <row r="153" spans="1:7" x14ac:dyDescent="0.3">
      <c r="A153" t="s">
        <v>456</v>
      </c>
      <c r="B153" t="s">
        <v>474</v>
      </c>
      <c r="C153" t="s">
        <v>475</v>
      </c>
      <c r="D153" s="3">
        <v>29</v>
      </c>
      <c r="E153" s="3">
        <v>31</v>
      </c>
      <c r="F153" s="3">
        <v>115</v>
      </c>
      <c r="G153" s="3">
        <v>50</v>
      </c>
    </row>
    <row r="154" spans="1:7" x14ac:dyDescent="0.3">
      <c r="A154" t="s">
        <v>456</v>
      </c>
      <c r="B154" t="s">
        <v>474</v>
      </c>
      <c r="C154" t="s">
        <v>478</v>
      </c>
      <c r="D154" s="3">
        <v>29</v>
      </c>
      <c r="E154" s="3">
        <v>31</v>
      </c>
      <c r="F154" s="3">
        <v>119</v>
      </c>
      <c r="G154" s="3">
        <v>50</v>
      </c>
    </row>
    <row r="155" spans="1:7" x14ac:dyDescent="0.3">
      <c r="A155" t="s">
        <v>725</v>
      </c>
      <c r="B155" t="s">
        <v>729</v>
      </c>
      <c r="C155" t="s">
        <v>60</v>
      </c>
      <c r="D155" s="3">
        <v>35</v>
      </c>
      <c r="E155" s="3">
        <v>39</v>
      </c>
      <c r="F155" s="3">
        <v>153</v>
      </c>
      <c r="G155" s="3">
        <v>50</v>
      </c>
    </row>
    <row r="156" spans="1:7" x14ac:dyDescent="0.3">
      <c r="A156" t="s">
        <v>416</v>
      </c>
      <c r="B156" t="s">
        <v>424</v>
      </c>
      <c r="C156" t="s">
        <v>398</v>
      </c>
      <c r="D156" s="3">
        <v>27</v>
      </c>
      <c r="E156" s="3">
        <v>50</v>
      </c>
      <c r="F156" s="3">
        <v>180</v>
      </c>
      <c r="G156" s="3">
        <v>50</v>
      </c>
    </row>
    <row r="157" spans="1:7" x14ac:dyDescent="0.3">
      <c r="A157" t="s">
        <v>593</v>
      </c>
      <c r="B157" t="s">
        <v>601</v>
      </c>
      <c r="C157" t="s">
        <v>612</v>
      </c>
      <c r="D157" s="3">
        <v>31</v>
      </c>
      <c r="E157" s="3">
        <v>54</v>
      </c>
      <c r="F157" s="3">
        <v>199</v>
      </c>
      <c r="G157" s="3">
        <v>50</v>
      </c>
    </row>
    <row r="158" spans="1:7" x14ac:dyDescent="0.3">
      <c r="A158" t="s">
        <v>593</v>
      </c>
      <c r="B158" t="s">
        <v>601</v>
      </c>
      <c r="C158" t="s">
        <v>614</v>
      </c>
      <c r="D158" s="3">
        <v>31</v>
      </c>
      <c r="E158" s="3">
        <v>54</v>
      </c>
      <c r="F158" s="3">
        <v>201</v>
      </c>
      <c r="G158" s="3">
        <v>50</v>
      </c>
    </row>
    <row r="159" spans="1:7" x14ac:dyDescent="0.3">
      <c r="A159" t="s">
        <v>875</v>
      </c>
      <c r="B159" t="s">
        <v>881</v>
      </c>
      <c r="C159" t="s">
        <v>882</v>
      </c>
      <c r="D159" s="3">
        <v>50</v>
      </c>
      <c r="E159" s="3">
        <v>71</v>
      </c>
      <c r="F159" s="3">
        <v>233</v>
      </c>
      <c r="G159" s="3">
        <v>50</v>
      </c>
    </row>
    <row r="160" spans="1:7" x14ac:dyDescent="0.3">
      <c r="A160" t="s">
        <v>416</v>
      </c>
      <c r="B160" t="s">
        <v>427</v>
      </c>
      <c r="C160" t="s">
        <v>437</v>
      </c>
      <c r="D160" s="3">
        <v>27</v>
      </c>
      <c r="E160" s="3">
        <v>73</v>
      </c>
      <c r="F160" s="3">
        <v>248</v>
      </c>
      <c r="G160" s="3">
        <v>50</v>
      </c>
    </row>
    <row r="161" spans="1:7" x14ac:dyDescent="0.3">
      <c r="A161" t="s">
        <v>808</v>
      </c>
      <c r="B161" t="s">
        <v>810</v>
      </c>
      <c r="C161" t="s">
        <v>818</v>
      </c>
      <c r="D161" s="3">
        <v>38</v>
      </c>
      <c r="E161" s="3">
        <v>76</v>
      </c>
      <c r="F161" s="3">
        <v>271</v>
      </c>
      <c r="G161" s="3">
        <v>50</v>
      </c>
    </row>
    <row r="162" spans="1:7" x14ac:dyDescent="0.3">
      <c r="A162" t="s">
        <v>808</v>
      </c>
      <c r="B162" t="s">
        <v>810</v>
      </c>
      <c r="C162" t="s">
        <v>819</v>
      </c>
      <c r="D162" s="3">
        <v>38</v>
      </c>
      <c r="E162" s="3">
        <v>76</v>
      </c>
      <c r="F162" s="3">
        <v>272</v>
      </c>
      <c r="G162" s="3">
        <v>50</v>
      </c>
    </row>
    <row r="163" spans="1:7" x14ac:dyDescent="0.3">
      <c r="A163" t="s">
        <v>745</v>
      </c>
      <c r="B163" t="s">
        <v>757</v>
      </c>
      <c r="C163" t="s">
        <v>762</v>
      </c>
      <c r="D163" s="3">
        <v>36</v>
      </c>
      <c r="E163" s="3">
        <v>79</v>
      </c>
      <c r="F163" s="3">
        <v>292</v>
      </c>
      <c r="G163" s="3">
        <v>50</v>
      </c>
    </row>
    <row r="164" spans="1:7" x14ac:dyDescent="0.3">
      <c r="A164" t="s">
        <v>745</v>
      </c>
      <c r="B164" t="s">
        <v>757</v>
      </c>
      <c r="C164" t="s">
        <v>764</v>
      </c>
      <c r="D164" s="3">
        <v>36</v>
      </c>
      <c r="E164" s="3">
        <v>79</v>
      </c>
      <c r="F164" s="3">
        <v>294</v>
      </c>
      <c r="G164" s="3">
        <v>50</v>
      </c>
    </row>
    <row r="165" spans="1:7" x14ac:dyDescent="0.3">
      <c r="A165" t="s">
        <v>745</v>
      </c>
      <c r="B165" t="s">
        <v>757</v>
      </c>
      <c r="C165" t="s">
        <v>769</v>
      </c>
      <c r="D165" s="3">
        <v>36</v>
      </c>
      <c r="E165" s="3">
        <v>79</v>
      </c>
      <c r="F165" s="3">
        <v>300</v>
      </c>
      <c r="G165" s="3">
        <v>50</v>
      </c>
    </row>
    <row r="166" spans="1:7" x14ac:dyDescent="0.3">
      <c r="A166" t="s">
        <v>745</v>
      </c>
      <c r="B166" t="s">
        <v>757</v>
      </c>
      <c r="C166" t="s">
        <v>775</v>
      </c>
      <c r="D166" s="3">
        <v>36</v>
      </c>
      <c r="E166" s="3">
        <v>79</v>
      </c>
      <c r="F166" s="3">
        <v>306</v>
      </c>
      <c r="G166" s="3">
        <v>50</v>
      </c>
    </row>
    <row r="167" spans="1:7" x14ac:dyDescent="0.3">
      <c r="A167" t="s">
        <v>745</v>
      </c>
      <c r="B167" t="s">
        <v>757</v>
      </c>
      <c r="C167" t="s">
        <v>780</v>
      </c>
      <c r="D167" s="3">
        <v>36</v>
      </c>
      <c r="E167" s="3">
        <v>79</v>
      </c>
      <c r="F167" s="3">
        <v>311</v>
      </c>
      <c r="G167" s="3">
        <v>50</v>
      </c>
    </row>
    <row r="168" spans="1:7" x14ac:dyDescent="0.3">
      <c r="A168" t="s">
        <v>942</v>
      </c>
      <c r="B168" t="s">
        <v>945</v>
      </c>
      <c r="C168" t="s">
        <v>66</v>
      </c>
      <c r="D168" s="3">
        <v>56</v>
      </c>
      <c r="E168" s="3">
        <v>84</v>
      </c>
      <c r="F168" s="3">
        <v>331</v>
      </c>
      <c r="G168" s="3">
        <v>50</v>
      </c>
    </row>
    <row r="169" spans="1:7" x14ac:dyDescent="0.3">
      <c r="A169" t="s">
        <v>942</v>
      </c>
      <c r="B169" t="s">
        <v>945</v>
      </c>
      <c r="C169" t="s">
        <v>948</v>
      </c>
      <c r="D169" s="3">
        <v>56</v>
      </c>
      <c r="E169" s="3">
        <v>84</v>
      </c>
      <c r="F169" s="3">
        <v>332</v>
      </c>
      <c r="G169" s="3">
        <v>50</v>
      </c>
    </row>
    <row r="170" spans="1:7" x14ac:dyDescent="0.3">
      <c r="A170" t="s">
        <v>456</v>
      </c>
      <c r="B170" t="s">
        <v>498</v>
      </c>
      <c r="C170" t="s">
        <v>60</v>
      </c>
      <c r="D170" s="3">
        <v>29</v>
      </c>
      <c r="E170" s="3">
        <v>90</v>
      </c>
      <c r="F170" s="3">
        <v>344</v>
      </c>
      <c r="G170" s="3">
        <v>50</v>
      </c>
    </row>
    <row r="171" spans="1:7" x14ac:dyDescent="0.3">
      <c r="A171" t="s">
        <v>928</v>
      </c>
      <c r="B171" t="s">
        <v>929</v>
      </c>
      <c r="C171" t="s">
        <v>930</v>
      </c>
      <c r="D171" s="3">
        <v>52</v>
      </c>
      <c r="E171" s="3">
        <v>93</v>
      </c>
      <c r="F171" s="3">
        <v>362</v>
      </c>
      <c r="G171" s="3">
        <v>50</v>
      </c>
    </row>
    <row r="172" spans="1:7" x14ac:dyDescent="0.3">
      <c r="A172" t="s">
        <v>331</v>
      </c>
      <c r="B172" t="s">
        <v>340</v>
      </c>
      <c r="C172" t="s">
        <v>341</v>
      </c>
      <c r="D172" s="3">
        <v>22</v>
      </c>
      <c r="E172" s="3">
        <v>101</v>
      </c>
      <c r="F172" s="3">
        <v>380</v>
      </c>
      <c r="G172" s="3">
        <v>50</v>
      </c>
    </row>
    <row r="173" spans="1:7" x14ac:dyDescent="0.3">
      <c r="A173" t="s">
        <v>416</v>
      </c>
      <c r="B173" t="s">
        <v>450</v>
      </c>
      <c r="C173" t="s">
        <v>451</v>
      </c>
      <c r="D173" s="3">
        <v>27</v>
      </c>
      <c r="E173" s="3">
        <v>105</v>
      </c>
      <c r="F173" s="3">
        <v>394</v>
      </c>
      <c r="G173" s="3">
        <v>50</v>
      </c>
    </row>
    <row r="174" spans="1:7" x14ac:dyDescent="0.3">
      <c r="A174" t="s">
        <v>456</v>
      </c>
      <c r="B174" t="s">
        <v>507</v>
      </c>
      <c r="C174" t="s">
        <v>515</v>
      </c>
      <c r="D174" s="3">
        <v>29</v>
      </c>
      <c r="E174" s="3">
        <v>106</v>
      </c>
      <c r="F174" s="3">
        <v>407</v>
      </c>
      <c r="G174" s="3">
        <v>50</v>
      </c>
    </row>
    <row r="175" spans="1:7" x14ac:dyDescent="0.3">
      <c r="A175" t="s">
        <v>171</v>
      </c>
      <c r="B175" t="s">
        <v>188</v>
      </c>
      <c r="C175" t="s">
        <v>175</v>
      </c>
      <c r="D175" s="3">
        <v>15</v>
      </c>
      <c r="E175" s="3">
        <v>107</v>
      </c>
      <c r="F175" s="3">
        <v>413</v>
      </c>
      <c r="G175" s="3">
        <v>50</v>
      </c>
    </row>
    <row r="176" spans="1:7" x14ac:dyDescent="0.3">
      <c r="A176" t="s">
        <v>593</v>
      </c>
      <c r="B176" t="s">
        <v>626</v>
      </c>
      <c r="C176" t="s">
        <v>632</v>
      </c>
      <c r="D176" s="3">
        <v>31</v>
      </c>
      <c r="E176" s="3">
        <v>109</v>
      </c>
      <c r="F176" s="3">
        <v>463</v>
      </c>
      <c r="G176" s="3">
        <v>50</v>
      </c>
    </row>
    <row r="177" spans="1:7" x14ac:dyDescent="0.3">
      <c r="A177" t="s">
        <v>593</v>
      </c>
      <c r="B177" t="s">
        <v>626</v>
      </c>
      <c r="C177" t="s">
        <v>634</v>
      </c>
      <c r="D177" s="3">
        <v>31</v>
      </c>
      <c r="E177" s="3">
        <v>109</v>
      </c>
      <c r="F177" s="3">
        <v>465</v>
      </c>
      <c r="G177" s="3">
        <v>50</v>
      </c>
    </row>
    <row r="178" spans="1:7" x14ac:dyDescent="0.3">
      <c r="A178" t="s">
        <v>593</v>
      </c>
      <c r="B178" t="s">
        <v>626</v>
      </c>
      <c r="C178" t="s">
        <v>637</v>
      </c>
      <c r="D178" s="3">
        <v>31</v>
      </c>
      <c r="E178" s="3">
        <v>109</v>
      </c>
      <c r="F178" s="3">
        <v>468</v>
      </c>
      <c r="G178" s="3">
        <v>50</v>
      </c>
    </row>
    <row r="179" spans="1:7" x14ac:dyDescent="0.3">
      <c r="A179" t="s">
        <v>593</v>
      </c>
      <c r="B179" t="s">
        <v>626</v>
      </c>
      <c r="C179" t="s">
        <v>642</v>
      </c>
      <c r="D179" s="3">
        <v>31</v>
      </c>
      <c r="E179" s="3">
        <v>109</v>
      </c>
      <c r="F179" s="3">
        <v>473</v>
      </c>
      <c r="G179" s="3">
        <v>50</v>
      </c>
    </row>
    <row r="180" spans="1:7" x14ac:dyDescent="0.3">
      <c r="A180" t="s">
        <v>593</v>
      </c>
      <c r="B180" t="s">
        <v>626</v>
      </c>
      <c r="C180" t="s">
        <v>653</v>
      </c>
      <c r="D180" s="3">
        <v>31</v>
      </c>
      <c r="E180" s="3">
        <v>109</v>
      </c>
      <c r="F180" s="3">
        <v>484</v>
      </c>
      <c r="G180" s="3">
        <v>50</v>
      </c>
    </row>
    <row r="181" spans="1:7" x14ac:dyDescent="0.3">
      <c r="A181" t="s">
        <v>875</v>
      </c>
      <c r="B181" t="s">
        <v>888</v>
      </c>
      <c r="C181" t="s">
        <v>891</v>
      </c>
      <c r="D181" s="3">
        <v>50</v>
      </c>
      <c r="E181" s="3">
        <v>113</v>
      </c>
      <c r="F181" s="3">
        <v>513</v>
      </c>
      <c r="G181" s="3">
        <v>50</v>
      </c>
    </row>
    <row r="182" spans="1:7" x14ac:dyDescent="0.3">
      <c r="A182" t="s">
        <v>536</v>
      </c>
      <c r="B182" t="s">
        <v>560</v>
      </c>
      <c r="C182" t="s">
        <v>557</v>
      </c>
      <c r="D182" s="3">
        <v>30</v>
      </c>
      <c r="E182" s="3">
        <v>117</v>
      </c>
      <c r="F182" s="3">
        <v>525</v>
      </c>
      <c r="G182" s="3">
        <v>50</v>
      </c>
    </row>
    <row r="183" spans="1:7" x14ac:dyDescent="0.3">
      <c r="A183" t="s">
        <v>363</v>
      </c>
      <c r="B183" t="s">
        <v>379</v>
      </c>
      <c r="C183" t="s">
        <v>386</v>
      </c>
      <c r="D183" s="3">
        <v>26</v>
      </c>
      <c r="E183" s="3">
        <v>123</v>
      </c>
      <c r="F183" s="3">
        <v>546</v>
      </c>
      <c r="G183" s="3">
        <v>50</v>
      </c>
    </row>
    <row r="184" spans="1:7" x14ac:dyDescent="0.3">
      <c r="A184" t="s">
        <v>832</v>
      </c>
      <c r="B184" t="s">
        <v>833</v>
      </c>
      <c r="C184" t="s">
        <v>835</v>
      </c>
      <c r="D184" s="3">
        <v>39</v>
      </c>
      <c r="E184" s="3">
        <v>124</v>
      </c>
      <c r="F184" s="3">
        <v>556</v>
      </c>
      <c r="G184" s="3">
        <v>50</v>
      </c>
    </row>
    <row r="185" spans="1:7" x14ac:dyDescent="0.3">
      <c r="A185" t="s">
        <v>832</v>
      </c>
      <c r="B185" t="s">
        <v>833</v>
      </c>
      <c r="C185" t="s">
        <v>204</v>
      </c>
      <c r="D185" s="3">
        <v>39</v>
      </c>
      <c r="E185" s="3">
        <v>124</v>
      </c>
      <c r="F185" s="3">
        <v>560</v>
      </c>
      <c r="G185" s="3">
        <v>50</v>
      </c>
    </row>
    <row r="186" spans="1:7" x14ac:dyDescent="0.3">
      <c r="A186" t="s">
        <v>832</v>
      </c>
      <c r="B186" t="s">
        <v>833</v>
      </c>
      <c r="C186" t="s">
        <v>60</v>
      </c>
      <c r="D186" s="3">
        <v>39</v>
      </c>
      <c r="E186" s="3">
        <v>124</v>
      </c>
      <c r="F186" s="3">
        <v>563</v>
      </c>
      <c r="G186" s="3">
        <v>50</v>
      </c>
    </row>
    <row r="187" spans="1:7" x14ac:dyDescent="0.3">
      <c r="A187" t="s">
        <v>832</v>
      </c>
      <c r="B187" t="s">
        <v>833</v>
      </c>
      <c r="C187" t="s">
        <v>839</v>
      </c>
      <c r="D187" s="3">
        <v>39</v>
      </c>
      <c r="E187" s="3">
        <v>124</v>
      </c>
      <c r="F187" s="3">
        <v>565</v>
      </c>
      <c r="G187" s="3">
        <v>50</v>
      </c>
    </row>
    <row r="188" spans="1:7" x14ac:dyDescent="0.3">
      <c r="A188" t="s">
        <v>363</v>
      </c>
      <c r="B188" t="s">
        <v>390</v>
      </c>
      <c r="C188" t="s">
        <v>398</v>
      </c>
      <c r="D188" s="3">
        <v>26</v>
      </c>
      <c r="E188" s="3">
        <v>126</v>
      </c>
      <c r="F188" s="3">
        <v>576</v>
      </c>
      <c r="G188" s="3">
        <v>50</v>
      </c>
    </row>
    <row r="189" spans="1:7" x14ac:dyDescent="0.3">
      <c r="A189" t="s">
        <v>363</v>
      </c>
      <c r="B189" t="s">
        <v>390</v>
      </c>
      <c r="C189" t="s">
        <v>399</v>
      </c>
      <c r="D189" s="3">
        <v>26</v>
      </c>
      <c r="E189" s="3">
        <v>126</v>
      </c>
      <c r="F189" s="3">
        <v>577</v>
      </c>
      <c r="G189" s="3">
        <v>50</v>
      </c>
    </row>
    <row r="190" spans="1:7" x14ac:dyDescent="0.3">
      <c r="A190" t="s">
        <v>363</v>
      </c>
      <c r="B190" t="s">
        <v>390</v>
      </c>
      <c r="C190" t="s">
        <v>403</v>
      </c>
      <c r="D190" s="3">
        <v>26</v>
      </c>
      <c r="E190" s="3">
        <v>126</v>
      </c>
      <c r="F190" s="3">
        <v>583</v>
      </c>
      <c r="G190" s="3">
        <v>50</v>
      </c>
    </row>
    <row r="191" spans="1:7" x14ac:dyDescent="0.3">
      <c r="A191" t="s">
        <v>869</v>
      </c>
      <c r="B191" t="s">
        <v>870</v>
      </c>
      <c r="C191" t="s">
        <v>126</v>
      </c>
      <c r="D191" s="3">
        <v>48</v>
      </c>
      <c r="E191" s="3">
        <v>129</v>
      </c>
      <c r="F191" s="3">
        <v>596</v>
      </c>
      <c r="G191" s="3">
        <v>50</v>
      </c>
    </row>
    <row r="192" spans="1:7" x14ac:dyDescent="0.3">
      <c r="A192" t="s">
        <v>808</v>
      </c>
      <c r="B192" t="s">
        <v>829</v>
      </c>
      <c r="C192" t="s">
        <v>830</v>
      </c>
      <c r="D192" s="3">
        <v>38</v>
      </c>
      <c r="E192" s="3">
        <v>138</v>
      </c>
      <c r="F192" s="3">
        <v>621</v>
      </c>
      <c r="G192" s="3">
        <v>50</v>
      </c>
    </row>
    <row r="193" spans="1:7" x14ac:dyDescent="0.3">
      <c r="A193" t="s">
        <v>832</v>
      </c>
      <c r="B193" t="s">
        <v>841</v>
      </c>
      <c r="C193" t="s">
        <v>842</v>
      </c>
      <c r="D193" s="3">
        <v>39</v>
      </c>
      <c r="E193" s="3">
        <v>143</v>
      </c>
      <c r="F193" s="3">
        <v>629</v>
      </c>
      <c r="G193" s="3">
        <v>50</v>
      </c>
    </row>
    <row r="194" spans="1:7" x14ac:dyDescent="0.3">
      <c r="A194" t="s">
        <v>536</v>
      </c>
      <c r="B194" t="s">
        <v>575</v>
      </c>
      <c r="C194" t="s">
        <v>576</v>
      </c>
      <c r="D194" s="3">
        <v>30</v>
      </c>
      <c r="E194" s="3">
        <v>144</v>
      </c>
      <c r="F194" s="3">
        <v>630</v>
      </c>
      <c r="G194" s="3">
        <v>50</v>
      </c>
    </row>
    <row r="195" spans="1:7" x14ac:dyDescent="0.3">
      <c r="A195" t="s">
        <v>875</v>
      </c>
      <c r="B195" t="s">
        <v>896</v>
      </c>
      <c r="C195" t="s">
        <v>912</v>
      </c>
      <c r="D195" s="3">
        <v>50</v>
      </c>
      <c r="E195" s="3">
        <v>152</v>
      </c>
      <c r="F195" s="3">
        <v>671</v>
      </c>
      <c r="G195" s="3">
        <v>50</v>
      </c>
    </row>
    <row r="196" spans="1:7" x14ac:dyDescent="0.3">
      <c r="A196" t="s">
        <v>593</v>
      </c>
      <c r="B196" t="s">
        <v>694</v>
      </c>
      <c r="C196" t="s">
        <v>696</v>
      </c>
      <c r="D196" s="3">
        <v>31</v>
      </c>
      <c r="E196" s="3">
        <v>157</v>
      </c>
      <c r="F196" s="3">
        <v>685</v>
      </c>
      <c r="G196" s="3">
        <v>50</v>
      </c>
    </row>
    <row r="197" spans="1:7" x14ac:dyDescent="0.3">
      <c r="A197" t="s">
        <v>931</v>
      </c>
      <c r="B197" t="s">
        <v>932</v>
      </c>
      <c r="C197" t="s">
        <v>353</v>
      </c>
      <c r="D197" s="3">
        <v>53</v>
      </c>
      <c r="E197" s="3">
        <v>160</v>
      </c>
      <c r="F197" s="3">
        <v>699</v>
      </c>
      <c r="G197" s="3">
        <v>50</v>
      </c>
    </row>
    <row r="198" spans="1:7" x14ac:dyDescent="0.3">
      <c r="A198" t="s">
        <v>861</v>
      </c>
      <c r="B198" t="s">
        <v>862</v>
      </c>
      <c r="C198" t="s">
        <v>863</v>
      </c>
      <c r="D198" s="3">
        <v>46</v>
      </c>
      <c r="E198" s="3">
        <v>170</v>
      </c>
      <c r="F198" s="3">
        <v>726</v>
      </c>
      <c r="G198" s="3">
        <v>50</v>
      </c>
    </row>
    <row r="199" spans="1:7" x14ac:dyDescent="0.3">
      <c r="A199" t="s">
        <v>861</v>
      </c>
      <c r="B199" t="s">
        <v>862</v>
      </c>
      <c r="C199" t="s">
        <v>60</v>
      </c>
      <c r="D199" s="3">
        <v>46</v>
      </c>
      <c r="E199" s="3">
        <v>170</v>
      </c>
      <c r="F199" s="3">
        <v>727</v>
      </c>
      <c r="G199" s="3">
        <v>50</v>
      </c>
    </row>
    <row r="200" spans="1:7" x14ac:dyDescent="0.3">
      <c r="A200" t="s">
        <v>321</v>
      </c>
      <c r="B200" t="s">
        <v>322</v>
      </c>
      <c r="C200" t="s">
        <v>324</v>
      </c>
      <c r="D200" s="3">
        <v>21</v>
      </c>
      <c r="E200" s="3">
        <v>173</v>
      </c>
      <c r="F200" s="3">
        <v>733</v>
      </c>
      <c r="G200" s="3">
        <v>50</v>
      </c>
    </row>
    <row r="201" spans="1:7" x14ac:dyDescent="0.3">
      <c r="A201" t="s">
        <v>321</v>
      </c>
      <c r="B201" t="s">
        <v>322</v>
      </c>
      <c r="C201" t="s">
        <v>329</v>
      </c>
      <c r="D201" s="3">
        <v>21</v>
      </c>
      <c r="E201" s="3">
        <v>173</v>
      </c>
      <c r="F201" s="3">
        <v>741</v>
      </c>
      <c r="G201" s="3">
        <v>50</v>
      </c>
    </row>
    <row r="202" spans="1:7" x14ac:dyDescent="0.3">
      <c r="A202" t="s">
        <v>75</v>
      </c>
      <c r="B202" t="s">
        <v>82</v>
      </c>
      <c r="C202" t="s">
        <v>84</v>
      </c>
      <c r="D202" s="3">
        <v>7</v>
      </c>
      <c r="E202" s="3">
        <v>178</v>
      </c>
      <c r="F202" s="3">
        <v>761</v>
      </c>
      <c r="G202" s="3">
        <v>50</v>
      </c>
    </row>
    <row r="203" spans="1:7" x14ac:dyDescent="0.3">
      <c r="A203" t="s">
        <v>75</v>
      </c>
      <c r="B203" t="s">
        <v>82</v>
      </c>
      <c r="C203" t="s">
        <v>102</v>
      </c>
      <c r="D203" s="3">
        <v>7</v>
      </c>
      <c r="E203" s="3">
        <v>178</v>
      </c>
      <c r="F203" s="3">
        <v>779</v>
      </c>
      <c r="G203" s="3">
        <v>50</v>
      </c>
    </row>
    <row r="204" spans="1:7" x14ac:dyDescent="0.3">
      <c r="A204" t="s">
        <v>75</v>
      </c>
      <c r="B204" t="s">
        <v>82</v>
      </c>
      <c r="C204" t="s">
        <v>111</v>
      </c>
      <c r="D204" s="3">
        <v>7</v>
      </c>
      <c r="E204" s="3">
        <v>178</v>
      </c>
      <c r="F204" s="3">
        <v>788</v>
      </c>
      <c r="G204" s="3">
        <v>50</v>
      </c>
    </row>
    <row r="205" spans="1:7" x14ac:dyDescent="0.3">
      <c r="A205" t="s">
        <v>75</v>
      </c>
      <c r="B205" t="s">
        <v>82</v>
      </c>
      <c r="C205" t="s">
        <v>117</v>
      </c>
      <c r="D205" s="3">
        <v>7</v>
      </c>
      <c r="E205" s="3">
        <v>178</v>
      </c>
      <c r="F205" s="3">
        <v>794</v>
      </c>
      <c r="G205" s="3">
        <v>50</v>
      </c>
    </row>
    <row r="206" spans="1:7" x14ac:dyDescent="0.3">
      <c r="A206" t="s">
        <v>873</v>
      </c>
      <c r="B206" t="s">
        <v>874</v>
      </c>
      <c r="C206" t="s">
        <v>230</v>
      </c>
      <c r="D206" s="3">
        <v>49</v>
      </c>
      <c r="E206" s="3">
        <v>181</v>
      </c>
      <c r="F206" s="3">
        <v>806</v>
      </c>
      <c r="G206" s="3">
        <v>50</v>
      </c>
    </row>
    <row r="207" spans="1:7" x14ac:dyDescent="0.3">
      <c r="A207" t="s">
        <v>239</v>
      </c>
      <c r="B207" t="s">
        <v>245</v>
      </c>
      <c r="C207" t="s">
        <v>201</v>
      </c>
      <c r="D207" s="3">
        <v>17</v>
      </c>
      <c r="E207" s="3">
        <v>185</v>
      </c>
      <c r="F207" s="3">
        <v>843</v>
      </c>
      <c r="G207" s="3">
        <v>50</v>
      </c>
    </row>
    <row r="208" spans="1:7" x14ac:dyDescent="0.3">
      <c r="A208" t="s">
        <v>239</v>
      </c>
      <c r="B208" t="s">
        <v>245</v>
      </c>
      <c r="C208" t="s">
        <v>279</v>
      </c>
      <c r="D208" s="3">
        <v>17</v>
      </c>
      <c r="E208" s="3">
        <v>185</v>
      </c>
      <c r="F208" s="3">
        <v>847</v>
      </c>
      <c r="G208" s="3">
        <v>50</v>
      </c>
    </row>
    <row r="209" spans="1:7" x14ac:dyDescent="0.3">
      <c r="A209" t="s">
        <v>239</v>
      </c>
      <c r="B209" t="s">
        <v>245</v>
      </c>
      <c r="C209" t="s">
        <v>208</v>
      </c>
      <c r="D209" s="3">
        <v>17</v>
      </c>
      <c r="E209" s="3">
        <v>185</v>
      </c>
      <c r="F209" s="3">
        <v>849</v>
      </c>
      <c r="G209" s="3">
        <v>50</v>
      </c>
    </row>
    <row r="210" spans="1:7" x14ac:dyDescent="0.3">
      <c r="A210" t="s">
        <v>239</v>
      </c>
      <c r="B210" t="s">
        <v>245</v>
      </c>
      <c r="C210" t="s">
        <v>289</v>
      </c>
      <c r="D210" s="3">
        <v>17</v>
      </c>
      <c r="E210" s="3">
        <v>185</v>
      </c>
      <c r="F210" s="3">
        <v>858</v>
      </c>
      <c r="G210" s="3">
        <v>50</v>
      </c>
    </row>
    <row r="211" spans="1:7" x14ac:dyDescent="0.3">
      <c r="A211" t="s">
        <v>239</v>
      </c>
      <c r="B211" t="s">
        <v>245</v>
      </c>
      <c r="C211" t="s">
        <v>293</v>
      </c>
      <c r="D211" s="3">
        <v>17</v>
      </c>
      <c r="E211" s="3">
        <v>185</v>
      </c>
      <c r="F211" s="3">
        <v>862</v>
      </c>
      <c r="G211" s="3">
        <v>50</v>
      </c>
    </row>
    <row r="212" spans="1:7" x14ac:dyDescent="0.3">
      <c r="A212" t="s">
        <v>239</v>
      </c>
      <c r="B212" t="s">
        <v>245</v>
      </c>
      <c r="C212" t="s">
        <v>294</v>
      </c>
      <c r="D212" s="3">
        <v>17</v>
      </c>
      <c r="E212" s="3">
        <v>185</v>
      </c>
      <c r="F212" s="3">
        <v>863</v>
      </c>
      <c r="G212" s="3">
        <v>50</v>
      </c>
    </row>
    <row r="213" spans="1:7" x14ac:dyDescent="0.3">
      <c r="A213" t="s">
        <v>239</v>
      </c>
      <c r="B213" t="s">
        <v>245</v>
      </c>
      <c r="C213" t="s">
        <v>297</v>
      </c>
      <c r="D213" s="3">
        <v>17</v>
      </c>
      <c r="E213" s="3">
        <v>185</v>
      </c>
      <c r="F213" s="3">
        <v>866</v>
      </c>
      <c r="G213" s="3">
        <v>50</v>
      </c>
    </row>
    <row r="214" spans="1:7" x14ac:dyDescent="0.3">
      <c r="A214" t="s">
        <v>239</v>
      </c>
      <c r="B214" t="s">
        <v>245</v>
      </c>
      <c r="C214" t="s">
        <v>301</v>
      </c>
      <c r="D214" s="3">
        <v>17</v>
      </c>
      <c r="E214" s="3">
        <v>185</v>
      </c>
      <c r="F214" s="3">
        <v>871</v>
      </c>
      <c r="G214" s="3">
        <v>50</v>
      </c>
    </row>
    <row r="215" spans="1:7" x14ac:dyDescent="0.3">
      <c r="A215" t="s">
        <v>790</v>
      </c>
      <c r="B215" t="s">
        <v>791</v>
      </c>
      <c r="C215" t="s">
        <v>792</v>
      </c>
      <c r="D215" s="3">
        <v>37</v>
      </c>
      <c r="E215" s="3">
        <v>194</v>
      </c>
      <c r="F215" s="3">
        <v>896</v>
      </c>
      <c r="G215" s="3">
        <v>50</v>
      </c>
    </row>
    <row r="216" spans="1:7" x14ac:dyDescent="0.3">
      <c r="A216" t="s">
        <v>790</v>
      </c>
      <c r="B216" t="s">
        <v>791</v>
      </c>
      <c r="C216" t="s">
        <v>803</v>
      </c>
      <c r="D216" s="3">
        <v>37</v>
      </c>
      <c r="E216" s="3">
        <v>194</v>
      </c>
      <c r="F216" s="3">
        <v>909</v>
      </c>
      <c r="G216" s="3">
        <v>50</v>
      </c>
    </row>
    <row r="217" spans="1:7" x14ac:dyDescent="0.3">
      <c r="A217" t="s">
        <v>790</v>
      </c>
      <c r="B217" t="s">
        <v>791</v>
      </c>
      <c r="C217" t="s">
        <v>488</v>
      </c>
      <c r="D217" s="3">
        <v>37</v>
      </c>
      <c r="E217" s="3">
        <v>194</v>
      </c>
      <c r="F217" s="3">
        <v>911</v>
      </c>
      <c r="G217" s="3">
        <v>50</v>
      </c>
    </row>
    <row r="218" spans="1:7" x14ac:dyDescent="0.3">
      <c r="A218" t="s">
        <v>790</v>
      </c>
      <c r="B218" t="s">
        <v>791</v>
      </c>
      <c r="C218" t="s">
        <v>805</v>
      </c>
      <c r="D218" s="3">
        <v>37</v>
      </c>
      <c r="E218" s="3">
        <v>194</v>
      </c>
      <c r="F218" s="3">
        <v>913</v>
      </c>
      <c r="G218" s="3">
        <v>50</v>
      </c>
    </row>
    <row r="219" spans="1:7" x14ac:dyDescent="0.3">
      <c r="A219" t="s">
        <v>957</v>
      </c>
      <c r="B219" t="s">
        <v>962</v>
      </c>
      <c r="C219" t="s">
        <v>963</v>
      </c>
      <c r="D219" s="3">
        <v>59</v>
      </c>
      <c r="E219" s="3">
        <v>195</v>
      </c>
      <c r="F219" s="3">
        <v>918</v>
      </c>
      <c r="G219" s="3">
        <v>50</v>
      </c>
    </row>
    <row r="220" spans="1:7" x14ac:dyDescent="0.3">
      <c r="A220" t="s">
        <v>28</v>
      </c>
      <c r="B220" t="s">
        <v>37</v>
      </c>
      <c r="C220" t="s">
        <v>39</v>
      </c>
      <c r="D220" s="3">
        <v>4</v>
      </c>
      <c r="E220" s="3">
        <v>15</v>
      </c>
      <c r="F220" s="3">
        <v>44</v>
      </c>
      <c r="G220" s="3">
        <v>60</v>
      </c>
    </row>
    <row r="221" spans="1:7" x14ac:dyDescent="0.3">
      <c r="A221" t="s">
        <v>864</v>
      </c>
      <c r="B221" t="s">
        <v>865</v>
      </c>
      <c r="C221" t="s">
        <v>866</v>
      </c>
      <c r="D221" s="3">
        <v>47</v>
      </c>
      <c r="E221" s="3">
        <v>19</v>
      </c>
      <c r="F221" s="3">
        <v>76</v>
      </c>
      <c r="G221" s="3">
        <v>60</v>
      </c>
    </row>
    <row r="222" spans="1:7" x14ac:dyDescent="0.3">
      <c r="A222" t="s">
        <v>239</v>
      </c>
      <c r="B222" t="s">
        <v>240</v>
      </c>
      <c r="C222" t="s">
        <v>241</v>
      </c>
      <c r="D222" s="3">
        <v>17</v>
      </c>
      <c r="E222" s="3">
        <v>25</v>
      </c>
      <c r="F222" s="3">
        <v>92</v>
      </c>
      <c r="G222" s="3">
        <v>60</v>
      </c>
    </row>
    <row r="223" spans="1:7" x14ac:dyDescent="0.3">
      <c r="A223" t="s">
        <v>712</v>
      </c>
      <c r="B223" t="s">
        <v>713</v>
      </c>
      <c r="C223" t="s">
        <v>715</v>
      </c>
      <c r="D223" s="3">
        <v>33</v>
      </c>
      <c r="E223" s="3">
        <v>28</v>
      </c>
      <c r="F223" s="3">
        <v>105</v>
      </c>
      <c r="G223" s="3">
        <v>60</v>
      </c>
    </row>
    <row r="224" spans="1:7" x14ac:dyDescent="0.3">
      <c r="A224" t="s">
        <v>456</v>
      </c>
      <c r="B224" t="s">
        <v>474</v>
      </c>
      <c r="C224" t="s">
        <v>234</v>
      </c>
      <c r="D224" s="3">
        <v>29</v>
      </c>
      <c r="E224" s="3">
        <v>31</v>
      </c>
      <c r="F224" s="3">
        <v>116</v>
      </c>
      <c r="G224" s="3">
        <v>60</v>
      </c>
    </row>
    <row r="225" spans="1:7" x14ac:dyDescent="0.3">
      <c r="A225" t="s">
        <v>456</v>
      </c>
      <c r="B225" t="s">
        <v>474</v>
      </c>
      <c r="C225" t="s">
        <v>477</v>
      </c>
      <c r="D225" s="3">
        <v>29</v>
      </c>
      <c r="E225" s="3">
        <v>31</v>
      </c>
      <c r="F225" s="3">
        <v>118</v>
      </c>
      <c r="G225" s="3">
        <v>60</v>
      </c>
    </row>
    <row r="226" spans="1:7" x14ac:dyDescent="0.3">
      <c r="A226" t="s">
        <v>158</v>
      </c>
      <c r="B226" t="s">
        <v>159</v>
      </c>
      <c r="C226" t="s">
        <v>137</v>
      </c>
      <c r="D226" s="3">
        <v>13</v>
      </c>
      <c r="E226" s="3">
        <v>38</v>
      </c>
      <c r="F226" s="3">
        <v>137</v>
      </c>
      <c r="G226" s="3">
        <v>60</v>
      </c>
    </row>
    <row r="227" spans="1:7" x14ac:dyDescent="0.3">
      <c r="A227" t="s">
        <v>725</v>
      </c>
      <c r="B227" t="s">
        <v>729</v>
      </c>
      <c r="C227" t="s">
        <v>731</v>
      </c>
      <c r="D227" s="3">
        <v>35</v>
      </c>
      <c r="E227" s="3">
        <v>39</v>
      </c>
      <c r="F227" s="3">
        <v>149</v>
      </c>
      <c r="G227" s="3">
        <v>60</v>
      </c>
    </row>
    <row r="228" spans="1:7" x14ac:dyDescent="0.3">
      <c r="A228" t="s">
        <v>725</v>
      </c>
      <c r="B228" t="s">
        <v>729</v>
      </c>
      <c r="C228" t="s">
        <v>734</v>
      </c>
      <c r="D228" s="3">
        <v>35</v>
      </c>
      <c r="E228" s="3">
        <v>39</v>
      </c>
      <c r="F228" s="3">
        <v>154</v>
      </c>
      <c r="G228" s="3">
        <v>60</v>
      </c>
    </row>
    <row r="229" spans="1:7" x14ac:dyDescent="0.3">
      <c r="A229" t="s">
        <v>416</v>
      </c>
      <c r="B229" t="s">
        <v>421</v>
      </c>
      <c r="C229" t="s">
        <v>423</v>
      </c>
      <c r="D229" s="3">
        <v>27</v>
      </c>
      <c r="E229" s="3">
        <v>49</v>
      </c>
      <c r="F229" s="3">
        <v>179</v>
      </c>
      <c r="G229" s="3">
        <v>60</v>
      </c>
    </row>
    <row r="230" spans="1:7" x14ac:dyDescent="0.3">
      <c r="A230" t="s">
        <v>593</v>
      </c>
      <c r="B230" t="s">
        <v>601</v>
      </c>
      <c r="C230" t="s">
        <v>603</v>
      </c>
      <c r="D230" s="3">
        <v>31</v>
      </c>
      <c r="E230" s="3">
        <v>54</v>
      </c>
      <c r="F230" s="3">
        <v>188</v>
      </c>
      <c r="G230" s="3">
        <v>60</v>
      </c>
    </row>
    <row r="231" spans="1:7" x14ac:dyDescent="0.3">
      <c r="A231" t="s">
        <v>593</v>
      </c>
      <c r="B231" t="s">
        <v>601</v>
      </c>
      <c r="C231" t="s">
        <v>604</v>
      </c>
      <c r="D231" s="3">
        <v>31</v>
      </c>
      <c r="E231" s="3">
        <v>54</v>
      </c>
      <c r="F231" s="3">
        <v>189</v>
      </c>
      <c r="G231" s="3">
        <v>60</v>
      </c>
    </row>
    <row r="232" spans="1:7" x14ac:dyDescent="0.3">
      <c r="A232" t="s">
        <v>456</v>
      </c>
      <c r="B232" t="s">
        <v>492</v>
      </c>
      <c r="C232" t="s">
        <v>60</v>
      </c>
      <c r="D232" s="3">
        <v>29</v>
      </c>
      <c r="E232" s="3">
        <v>58</v>
      </c>
      <c r="F232" s="3">
        <v>207</v>
      </c>
      <c r="G232" s="3">
        <v>60</v>
      </c>
    </row>
    <row r="233" spans="1:7" x14ac:dyDescent="0.3">
      <c r="A233" t="s">
        <v>317</v>
      </c>
      <c r="B233" t="s">
        <v>318</v>
      </c>
      <c r="C233" t="s">
        <v>60</v>
      </c>
      <c r="D233" s="3">
        <v>20</v>
      </c>
      <c r="E233" s="3">
        <v>60</v>
      </c>
      <c r="F233" s="3">
        <v>214</v>
      </c>
      <c r="G233" s="3">
        <v>60</v>
      </c>
    </row>
    <row r="234" spans="1:7" x14ac:dyDescent="0.3">
      <c r="A234" t="s">
        <v>23</v>
      </c>
      <c r="B234" t="s">
        <v>26</v>
      </c>
      <c r="C234" t="s">
        <v>27</v>
      </c>
      <c r="D234" s="3">
        <v>3</v>
      </c>
      <c r="E234" s="3">
        <v>64</v>
      </c>
      <c r="F234" s="3">
        <v>220</v>
      </c>
      <c r="G234" s="3">
        <v>60</v>
      </c>
    </row>
    <row r="235" spans="1:7" x14ac:dyDescent="0.3">
      <c r="A235" t="s">
        <v>28</v>
      </c>
      <c r="B235" t="s">
        <v>63</v>
      </c>
      <c r="C235" t="s">
        <v>66</v>
      </c>
      <c r="D235" s="3">
        <v>4</v>
      </c>
      <c r="E235" s="3">
        <v>65</v>
      </c>
      <c r="F235" s="3">
        <v>223</v>
      </c>
      <c r="G235" s="3">
        <v>60</v>
      </c>
    </row>
    <row r="236" spans="1:7" x14ac:dyDescent="0.3">
      <c r="A236" t="s">
        <v>347</v>
      </c>
      <c r="B236" t="s">
        <v>348</v>
      </c>
      <c r="C236" t="s">
        <v>349</v>
      </c>
      <c r="D236" s="3">
        <v>24</v>
      </c>
      <c r="E236" s="3">
        <v>68</v>
      </c>
      <c r="F236" s="3">
        <v>227</v>
      </c>
      <c r="G236" s="3">
        <v>60</v>
      </c>
    </row>
    <row r="237" spans="1:7" x14ac:dyDescent="0.3">
      <c r="A237" t="s">
        <v>416</v>
      </c>
      <c r="B237" t="s">
        <v>427</v>
      </c>
      <c r="C237" t="s">
        <v>428</v>
      </c>
      <c r="D237" s="3">
        <v>27</v>
      </c>
      <c r="E237" s="3">
        <v>73</v>
      </c>
      <c r="F237" s="3">
        <v>236</v>
      </c>
      <c r="G237" s="3">
        <v>60</v>
      </c>
    </row>
    <row r="238" spans="1:7" x14ac:dyDescent="0.3">
      <c r="A238" t="s">
        <v>416</v>
      </c>
      <c r="B238" t="s">
        <v>427</v>
      </c>
      <c r="C238" t="s">
        <v>430</v>
      </c>
      <c r="D238" s="3">
        <v>27</v>
      </c>
      <c r="E238" s="3">
        <v>73</v>
      </c>
      <c r="F238" s="3">
        <v>239</v>
      </c>
      <c r="G238" s="3">
        <v>60</v>
      </c>
    </row>
    <row r="239" spans="1:7" x14ac:dyDescent="0.3">
      <c r="A239" t="s">
        <v>416</v>
      </c>
      <c r="B239" t="s">
        <v>427</v>
      </c>
      <c r="C239" t="s">
        <v>431</v>
      </c>
      <c r="D239" s="3">
        <v>27</v>
      </c>
      <c r="E239" s="3">
        <v>73</v>
      </c>
      <c r="F239" s="3">
        <v>240</v>
      </c>
      <c r="G239" s="3">
        <v>60</v>
      </c>
    </row>
    <row r="240" spans="1:7" x14ac:dyDescent="0.3">
      <c r="A240" t="s">
        <v>416</v>
      </c>
      <c r="B240" t="s">
        <v>427</v>
      </c>
      <c r="C240" t="s">
        <v>112</v>
      </c>
      <c r="D240" s="3">
        <v>27</v>
      </c>
      <c r="E240" s="3">
        <v>73</v>
      </c>
      <c r="F240" s="3">
        <v>247</v>
      </c>
      <c r="G240" s="3">
        <v>60</v>
      </c>
    </row>
    <row r="241" spans="1:7" x14ac:dyDescent="0.3">
      <c r="A241" t="s">
        <v>808</v>
      </c>
      <c r="B241" t="s">
        <v>810</v>
      </c>
      <c r="C241" t="s">
        <v>811</v>
      </c>
      <c r="D241" s="3">
        <v>38</v>
      </c>
      <c r="E241" s="3">
        <v>76</v>
      </c>
      <c r="F241" s="3">
        <v>261</v>
      </c>
      <c r="G241" s="3">
        <v>60</v>
      </c>
    </row>
    <row r="242" spans="1:7" x14ac:dyDescent="0.3">
      <c r="A242" t="s">
        <v>808</v>
      </c>
      <c r="B242" t="s">
        <v>810</v>
      </c>
      <c r="C242" t="s">
        <v>826</v>
      </c>
      <c r="D242" s="3">
        <v>38</v>
      </c>
      <c r="E242" s="3">
        <v>76</v>
      </c>
      <c r="F242" s="3">
        <v>279</v>
      </c>
      <c r="G242" s="3">
        <v>60</v>
      </c>
    </row>
    <row r="243" spans="1:7" x14ac:dyDescent="0.3">
      <c r="A243" t="s">
        <v>745</v>
      </c>
      <c r="B243" t="s">
        <v>757</v>
      </c>
      <c r="C243" t="s">
        <v>766</v>
      </c>
      <c r="D243" s="3">
        <v>36</v>
      </c>
      <c r="E243" s="3">
        <v>79</v>
      </c>
      <c r="F243" s="3">
        <v>297</v>
      </c>
      <c r="G243" s="3">
        <v>60</v>
      </c>
    </row>
    <row r="244" spans="1:7" x14ac:dyDescent="0.3">
      <c r="A244" t="s">
        <v>745</v>
      </c>
      <c r="B244" t="s">
        <v>757</v>
      </c>
      <c r="C244" t="s">
        <v>781</v>
      </c>
      <c r="D244" s="3">
        <v>36</v>
      </c>
      <c r="E244" s="3">
        <v>79</v>
      </c>
      <c r="F244" s="3">
        <v>312</v>
      </c>
      <c r="G244" s="3">
        <v>60</v>
      </c>
    </row>
    <row r="245" spans="1:7" x14ac:dyDescent="0.3">
      <c r="A245" t="s">
        <v>171</v>
      </c>
      <c r="B245" t="s">
        <v>172</v>
      </c>
      <c r="C245" t="s">
        <v>181</v>
      </c>
      <c r="D245" s="3">
        <v>15</v>
      </c>
      <c r="E245" s="3">
        <v>91</v>
      </c>
      <c r="F245" s="3">
        <v>353</v>
      </c>
      <c r="G245" s="3">
        <v>60</v>
      </c>
    </row>
    <row r="246" spans="1:7" x14ac:dyDescent="0.3">
      <c r="A246" t="s">
        <v>171</v>
      </c>
      <c r="B246" t="s">
        <v>172</v>
      </c>
      <c r="C246" t="s">
        <v>185</v>
      </c>
      <c r="D246" s="3">
        <v>15</v>
      </c>
      <c r="E246" s="3">
        <v>91</v>
      </c>
      <c r="F246" s="3">
        <v>357</v>
      </c>
      <c r="G246" s="3">
        <v>60</v>
      </c>
    </row>
    <row r="247" spans="1:7" x14ac:dyDescent="0.3">
      <c r="A247" t="s">
        <v>593</v>
      </c>
      <c r="B247" t="s">
        <v>621</v>
      </c>
      <c r="C247" t="s">
        <v>622</v>
      </c>
      <c r="D247" s="3">
        <v>31</v>
      </c>
      <c r="E247" s="3">
        <v>98</v>
      </c>
      <c r="F247" s="3">
        <v>374</v>
      </c>
      <c r="G247" s="3">
        <v>60</v>
      </c>
    </row>
    <row r="248" spans="1:7" x14ac:dyDescent="0.3">
      <c r="A248" t="s">
        <v>725</v>
      </c>
      <c r="B248" t="s">
        <v>737</v>
      </c>
      <c r="C248" t="s">
        <v>739</v>
      </c>
      <c r="D248" s="3">
        <v>35</v>
      </c>
      <c r="E248" s="3">
        <v>103</v>
      </c>
      <c r="F248" s="3">
        <v>386</v>
      </c>
      <c r="G248" s="3">
        <v>60</v>
      </c>
    </row>
    <row r="249" spans="1:7" x14ac:dyDescent="0.3">
      <c r="A249" t="s">
        <v>171</v>
      </c>
      <c r="B249" t="s">
        <v>188</v>
      </c>
      <c r="C249" t="s">
        <v>195</v>
      </c>
      <c r="D249" s="3">
        <v>15</v>
      </c>
      <c r="E249" s="3">
        <v>107</v>
      </c>
      <c r="F249" s="3">
        <v>417</v>
      </c>
      <c r="G249" s="3">
        <v>60</v>
      </c>
    </row>
    <row r="250" spans="1:7" x14ac:dyDescent="0.3">
      <c r="A250" t="s">
        <v>171</v>
      </c>
      <c r="B250" t="s">
        <v>188</v>
      </c>
      <c r="C250" t="s">
        <v>203</v>
      </c>
      <c r="D250" s="3">
        <v>15</v>
      </c>
      <c r="E250" s="3">
        <v>107</v>
      </c>
      <c r="F250" s="3">
        <v>427</v>
      </c>
      <c r="G250" s="3">
        <v>60</v>
      </c>
    </row>
    <row r="251" spans="1:7" x14ac:dyDescent="0.3">
      <c r="A251" t="s">
        <v>171</v>
      </c>
      <c r="B251" t="s">
        <v>188</v>
      </c>
      <c r="C251" t="s">
        <v>205</v>
      </c>
      <c r="D251" s="3">
        <v>15</v>
      </c>
      <c r="E251" s="3">
        <v>107</v>
      </c>
      <c r="F251" s="3">
        <v>429</v>
      </c>
      <c r="G251" s="3">
        <v>60</v>
      </c>
    </row>
    <row r="252" spans="1:7" x14ac:dyDescent="0.3">
      <c r="A252" t="s">
        <v>171</v>
      </c>
      <c r="B252" t="s">
        <v>188</v>
      </c>
      <c r="C252" t="s">
        <v>209</v>
      </c>
      <c r="D252" s="3">
        <v>15</v>
      </c>
      <c r="E252" s="3">
        <v>107</v>
      </c>
      <c r="F252" s="3">
        <v>433</v>
      </c>
      <c r="G252" s="3">
        <v>60</v>
      </c>
    </row>
    <row r="253" spans="1:7" x14ac:dyDescent="0.3">
      <c r="A253" t="s">
        <v>171</v>
      </c>
      <c r="B253" t="s">
        <v>188</v>
      </c>
      <c r="C253" t="s">
        <v>219</v>
      </c>
      <c r="D253" s="3">
        <v>15</v>
      </c>
      <c r="E253" s="3">
        <v>107</v>
      </c>
      <c r="F253" s="3">
        <v>445</v>
      </c>
      <c r="G253" s="3">
        <v>60</v>
      </c>
    </row>
    <row r="254" spans="1:7" x14ac:dyDescent="0.3">
      <c r="A254" t="s">
        <v>171</v>
      </c>
      <c r="B254" t="s">
        <v>188</v>
      </c>
      <c r="C254" t="s">
        <v>220</v>
      </c>
      <c r="D254" s="3">
        <v>15</v>
      </c>
      <c r="E254" s="3">
        <v>107</v>
      </c>
      <c r="F254" s="3">
        <v>447</v>
      </c>
      <c r="G254" s="3">
        <v>60</v>
      </c>
    </row>
    <row r="255" spans="1:7" x14ac:dyDescent="0.3">
      <c r="A255" t="s">
        <v>593</v>
      </c>
      <c r="B255" t="s">
        <v>626</v>
      </c>
      <c r="C255" t="s">
        <v>640</v>
      </c>
      <c r="D255" s="3">
        <v>31</v>
      </c>
      <c r="E255" s="3">
        <v>109</v>
      </c>
      <c r="F255" s="3">
        <v>471</v>
      </c>
      <c r="G255" s="3">
        <v>60</v>
      </c>
    </row>
    <row r="256" spans="1:7" x14ac:dyDescent="0.3">
      <c r="A256" t="s">
        <v>593</v>
      </c>
      <c r="B256" t="s">
        <v>626</v>
      </c>
      <c r="C256" t="s">
        <v>650</v>
      </c>
      <c r="D256" s="3">
        <v>31</v>
      </c>
      <c r="E256" s="3">
        <v>109</v>
      </c>
      <c r="F256" s="3">
        <v>481</v>
      </c>
      <c r="G256" s="3">
        <v>60</v>
      </c>
    </row>
    <row r="257" spans="1:7" x14ac:dyDescent="0.3">
      <c r="A257" t="s">
        <v>593</v>
      </c>
      <c r="B257" t="s">
        <v>656</v>
      </c>
      <c r="C257" t="s">
        <v>658</v>
      </c>
      <c r="D257" s="3">
        <v>31</v>
      </c>
      <c r="E257" s="3">
        <v>112</v>
      </c>
      <c r="F257" s="3">
        <v>489</v>
      </c>
      <c r="G257" s="3">
        <v>60</v>
      </c>
    </row>
    <row r="258" spans="1:7" x14ac:dyDescent="0.3">
      <c r="A258" t="s">
        <v>593</v>
      </c>
      <c r="B258" t="s">
        <v>656</v>
      </c>
      <c r="C258" t="s">
        <v>661</v>
      </c>
      <c r="D258" s="3">
        <v>31</v>
      </c>
      <c r="E258" s="3">
        <v>112</v>
      </c>
      <c r="F258" s="3">
        <v>492</v>
      </c>
      <c r="G258" s="3">
        <v>60</v>
      </c>
    </row>
    <row r="259" spans="1:7" x14ac:dyDescent="0.3">
      <c r="A259" t="s">
        <v>593</v>
      </c>
      <c r="B259" t="s">
        <v>656</v>
      </c>
      <c r="C259" t="s">
        <v>234</v>
      </c>
      <c r="D259" s="3">
        <v>31</v>
      </c>
      <c r="E259" s="3">
        <v>112</v>
      </c>
      <c r="F259" s="3">
        <v>493</v>
      </c>
      <c r="G259" s="3">
        <v>60</v>
      </c>
    </row>
    <row r="260" spans="1:7" x14ac:dyDescent="0.3">
      <c r="A260" t="s">
        <v>593</v>
      </c>
      <c r="B260" t="s">
        <v>656</v>
      </c>
      <c r="C260" t="s">
        <v>662</v>
      </c>
      <c r="D260" s="3">
        <v>31</v>
      </c>
      <c r="E260" s="3">
        <v>112</v>
      </c>
      <c r="F260" s="3">
        <v>494</v>
      </c>
      <c r="G260" s="3">
        <v>60</v>
      </c>
    </row>
    <row r="261" spans="1:7" x14ac:dyDescent="0.3">
      <c r="A261" t="s">
        <v>593</v>
      </c>
      <c r="B261" t="s">
        <v>656</v>
      </c>
      <c r="C261" t="s">
        <v>669</v>
      </c>
      <c r="D261" s="3">
        <v>31</v>
      </c>
      <c r="E261" s="3">
        <v>112</v>
      </c>
      <c r="F261" s="3">
        <v>501</v>
      </c>
      <c r="G261" s="3">
        <v>60</v>
      </c>
    </row>
    <row r="262" spans="1:7" x14ac:dyDescent="0.3">
      <c r="A262" t="s">
        <v>593</v>
      </c>
      <c r="B262" t="s">
        <v>656</v>
      </c>
      <c r="C262" t="s">
        <v>673</v>
      </c>
      <c r="D262" s="3">
        <v>31</v>
      </c>
      <c r="E262" s="3">
        <v>112</v>
      </c>
      <c r="F262" s="3">
        <v>506</v>
      </c>
      <c r="G262" s="3">
        <v>60</v>
      </c>
    </row>
    <row r="263" spans="1:7" x14ac:dyDescent="0.3">
      <c r="A263" t="s">
        <v>536</v>
      </c>
      <c r="B263" t="s">
        <v>560</v>
      </c>
      <c r="C263" t="s">
        <v>60</v>
      </c>
      <c r="D263" s="3">
        <v>30</v>
      </c>
      <c r="E263" s="3">
        <v>117</v>
      </c>
      <c r="F263" s="3">
        <v>526</v>
      </c>
      <c r="G263" s="3">
        <v>60</v>
      </c>
    </row>
    <row r="264" spans="1:7" x14ac:dyDescent="0.3">
      <c r="A264" t="s">
        <v>456</v>
      </c>
      <c r="B264" t="s">
        <v>519</v>
      </c>
      <c r="C264" t="s">
        <v>60</v>
      </c>
      <c r="D264" s="3">
        <v>29</v>
      </c>
      <c r="E264" s="3">
        <v>119</v>
      </c>
      <c r="F264" s="3">
        <v>531</v>
      </c>
      <c r="G264" s="3">
        <v>60</v>
      </c>
    </row>
    <row r="265" spans="1:7" x14ac:dyDescent="0.3">
      <c r="A265" t="s">
        <v>363</v>
      </c>
      <c r="B265" t="s">
        <v>379</v>
      </c>
      <c r="C265" t="s">
        <v>382</v>
      </c>
      <c r="D265" s="3">
        <v>26</v>
      </c>
      <c r="E265" s="3">
        <v>123</v>
      </c>
      <c r="F265" s="3">
        <v>539</v>
      </c>
      <c r="G265" s="3">
        <v>60</v>
      </c>
    </row>
    <row r="266" spans="1:7" x14ac:dyDescent="0.3">
      <c r="A266" t="s">
        <v>363</v>
      </c>
      <c r="B266" t="s">
        <v>379</v>
      </c>
      <c r="C266" t="s">
        <v>326</v>
      </c>
      <c r="D266" s="3">
        <v>26</v>
      </c>
      <c r="E266" s="3">
        <v>123</v>
      </c>
      <c r="F266" s="3">
        <v>542</v>
      </c>
      <c r="G266" s="3">
        <v>60</v>
      </c>
    </row>
    <row r="267" spans="1:7" x14ac:dyDescent="0.3">
      <c r="A267" t="s">
        <v>363</v>
      </c>
      <c r="B267" t="s">
        <v>379</v>
      </c>
      <c r="C267" t="s">
        <v>387</v>
      </c>
      <c r="D267" s="3">
        <v>26</v>
      </c>
      <c r="E267" s="3">
        <v>123</v>
      </c>
      <c r="F267" s="3">
        <v>547</v>
      </c>
      <c r="G267" s="3">
        <v>60</v>
      </c>
    </row>
    <row r="268" spans="1:7" x14ac:dyDescent="0.3">
      <c r="A268" t="s">
        <v>363</v>
      </c>
      <c r="B268" t="s">
        <v>379</v>
      </c>
      <c r="C268" t="s">
        <v>303</v>
      </c>
      <c r="D268" s="3">
        <v>26</v>
      </c>
      <c r="E268" s="3">
        <v>123</v>
      </c>
      <c r="F268" s="3">
        <v>552</v>
      </c>
      <c r="G268" s="3">
        <v>60</v>
      </c>
    </row>
    <row r="269" spans="1:7" x14ac:dyDescent="0.3">
      <c r="A269" t="s">
        <v>536</v>
      </c>
      <c r="B269" t="s">
        <v>563</v>
      </c>
      <c r="C269" t="s">
        <v>567</v>
      </c>
      <c r="D269" s="3">
        <v>30</v>
      </c>
      <c r="E269" s="3">
        <v>131</v>
      </c>
      <c r="F269" s="3">
        <v>603</v>
      </c>
      <c r="G269" s="3">
        <v>60</v>
      </c>
    </row>
    <row r="270" spans="1:7" x14ac:dyDescent="0.3">
      <c r="A270" t="s">
        <v>593</v>
      </c>
      <c r="B270" t="s">
        <v>683</v>
      </c>
      <c r="C270" t="s">
        <v>686</v>
      </c>
      <c r="D270" s="3">
        <v>31</v>
      </c>
      <c r="E270" s="3">
        <v>136</v>
      </c>
      <c r="F270" s="3">
        <v>618</v>
      </c>
      <c r="G270" s="3">
        <v>60</v>
      </c>
    </row>
    <row r="271" spans="1:7" x14ac:dyDescent="0.3">
      <c r="A271" t="s">
        <v>848</v>
      </c>
      <c r="B271" t="s">
        <v>849</v>
      </c>
      <c r="C271" t="s">
        <v>850</v>
      </c>
      <c r="D271" s="3">
        <v>42</v>
      </c>
      <c r="E271" s="3">
        <v>140</v>
      </c>
      <c r="F271" s="3">
        <v>623</v>
      </c>
      <c r="G271" s="3">
        <v>60</v>
      </c>
    </row>
    <row r="272" spans="1:7" x14ac:dyDescent="0.3">
      <c r="A272" t="s">
        <v>848</v>
      </c>
      <c r="B272" t="s">
        <v>849</v>
      </c>
      <c r="C272" t="s">
        <v>543</v>
      </c>
      <c r="D272" s="3">
        <v>42</v>
      </c>
      <c r="E272" s="3">
        <v>140</v>
      </c>
      <c r="F272" s="3">
        <v>624</v>
      </c>
      <c r="G272" s="3">
        <v>60</v>
      </c>
    </row>
    <row r="273" spans="1:7" x14ac:dyDescent="0.3">
      <c r="A273" t="s">
        <v>536</v>
      </c>
      <c r="B273" t="s">
        <v>573</v>
      </c>
      <c r="C273" t="s">
        <v>546</v>
      </c>
      <c r="D273" s="3">
        <v>30</v>
      </c>
      <c r="E273" s="3">
        <v>142</v>
      </c>
      <c r="F273" s="3">
        <v>626</v>
      </c>
      <c r="G273" s="3">
        <v>60</v>
      </c>
    </row>
    <row r="274" spans="1:7" x14ac:dyDescent="0.3">
      <c r="A274" t="s">
        <v>875</v>
      </c>
      <c r="B274" t="s">
        <v>896</v>
      </c>
      <c r="C274" t="s">
        <v>786</v>
      </c>
      <c r="D274" s="3">
        <v>50</v>
      </c>
      <c r="E274" s="3">
        <v>152</v>
      </c>
      <c r="F274" s="3">
        <v>669</v>
      </c>
      <c r="G274" s="3">
        <v>60</v>
      </c>
    </row>
    <row r="275" spans="1:7" x14ac:dyDescent="0.3">
      <c r="A275" t="s">
        <v>875</v>
      </c>
      <c r="B275" t="s">
        <v>896</v>
      </c>
      <c r="C275" t="s">
        <v>913</v>
      </c>
      <c r="D275" s="3">
        <v>50</v>
      </c>
      <c r="E275" s="3">
        <v>152</v>
      </c>
      <c r="F275" s="3">
        <v>674</v>
      </c>
      <c r="G275" s="3">
        <v>60</v>
      </c>
    </row>
    <row r="276" spans="1:7" x14ac:dyDescent="0.3">
      <c r="A276" t="s">
        <v>858</v>
      </c>
      <c r="B276" t="s">
        <v>859</v>
      </c>
      <c r="C276" t="s">
        <v>860</v>
      </c>
      <c r="D276" s="3">
        <v>45</v>
      </c>
      <c r="E276" s="3">
        <v>154</v>
      </c>
      <c r="F276" s="3">
        <v>680</v>
      </c>
      <c r="G276" s="3">
        <v>60</v>
      </c>
    </row>
    <row r="277" spans="1:7" x14ac:dyDescent="0.3">
      <c r="A277" t="s">
        <v>593</v>
      </c>
      <c r="B277" t="s">
        <v>694</v>
      </c>
      <c r="C277" t="s">
        <v>700</v>
      </c>
      <c r="D277" s="3">
        <v>31</v>
      </c>
      <c r="E277" s="3">
        <v>157</v>
      </c>
      <c r="F277" s="3">
        <v>690</v>
      </c>
      <c r="G277" s="3">
        <v>60</v>
      </c>
    </row>
    <row r="278" spans="1:7" x14ac:dyDescent="0.3">
      <c r="A278" t="s">
        <v>931</v>
      </c>
      <c r="B278" t="s">
        <v>932</v>
      </c>
      <c r="C278" t="s">
        <v>429</v>
      </c>
      <c r="D278" s="3">
        <v>53</v>
      </c>
      <c r="E278" s="3">
        <v>160</v>
      </c>
      <c r="F278" s="3">
        <v>694</v>
      </c>
      <c r="G278" s="3">
        <v>60</v>
      </c>
    </row>
    <row r="279" spans="1:7" x14ac:dyDescent="0.3">
      <c r="A279" t="s">
        <v>875</v>
      </c>
      <c r="B279" t="s">
        <v>918</v>
      </c>
      <c r="C279" t="s">
        <v>807</v>
      </c>
      <c r="D279" s="3">
        <v>50</v>
      </c>
      <c r="E279" s="3">
        <v>164</v>
      </c>
      <c r="F279" s="3">
        <v>714</v>
      </c>
      <c r="G279" s="3">
        <v>60</v>
      </c>
    </row>
    <row r="280" spans="1:7" x14ac:dyDescent="0.3">
      <c r="A280" t="s">
        <v>456</v>
      </c>
      <c r="B280" t="s">
        <v>527</v>
      </c>
      <c r="C280" t="s">
        <v>531</v>
      </c>
      <c r="D280" s="3">
        <v>29</v>
      </c>
      <c r="E280" s="3">
        <v>168</v>
      </c>
      <c r="F280" s="3">
        <v>722</v>
      </c>
      <c r="G280" s="3">
        <v>60</v>
      </c>
    </row>
    <row r="281" spans="1:7" x14ac:dyDescent="0.3">
      <c r="A281" t="s">
        <v>321</v>
      </c>
      <c r="B281" t="s">
        <v>322</v>
      </c>
      <c r="C281" t="s">
        <v>323</v>
      </c>
      <c r="D281" s="3">
        <v>21</v>
      </c>
      <c r="E281" s="3">
        <v>173</v>
      </c>
      <c r="F281" s="3">
        <v>732</v>
      </c>
      <c r="G281" s="3">
        <v>60</v>
      </c>
    </row>
    <row r="282" spans="1:7" x14ac:dyDescent="0.3">
      <c r="A282" t="s">
        <v>321</v>
      </c>
      <c r="B282" t="s">
        <v>322</v>
      </c>
      <c r="C282" t="s">
        <v>326</v>
      </c>
      <c r="D282" s="3">
        <v>21</v>
      </c>
      <c r="E282" s="3">
        <v>173</v>
      </c>
      <c r="F282" s="3">
        <v>735</v>
      </c>
      <c r="G282" s="3">
        <v>60</v>
      </c>
    </row>
    <row r="283" spans="1:7" x14ac:dyDescent="0.3">
      <c r="A283" t="s">
        <v>75</v>
      </c>
      <c r="B283" t="s">
        <v>82</v>
      </c>
      <c r="C283" t="s">
        <v>85</v>
      </c>
      <c r="D283" s="3">
        <v>7</v>
      </c>
      <c r="E283" s="3">
        <v>178</v>
      </c>
      <c r="F283" s="3">
        <v>762</v>
      </c>
      <c r="G283" s="3">
        <v>60</v>
      </c>
    </row>
    <row r="284" spans="1:7" x14ac:dyDescent="0.3">
      <c r="A284" t="s">
        <v>75</v>
      </c>
      <c r="B284" t="s">
        <v>82</v>
      </c>
      <c r="C284" t="s">
        <v>91</v>
      </c>
      <c r="D284" s="3">
        <v>7</v>
      </c>
      <c r="E284" s="3">
        <v>178</v>
      </c>
      <c r="F284" s="3">
        <v>768</v>
      </c>
      <c r="G284" s="3">
        <v>60</v>
      </c>
    </row>
    <row r="285" spans="1:7" x14ac:dyDescent="0.3">
      <c r="A285" t="s">
        <v>75</v>
      </c>
      <c r="B285" t="s">
        <v>82</v>
      </c>
      <c r="C285" t="s">
        <v>100</v>
      </c>
      <c r="D285" s="3">
        <v>7</v>
      </c>
      <c r="E285" s="3">
        <v>178</v>
      </c>
      <c r="F285" s="3">
        <v>777</v>
      </c>
      <c r="G285" s="3">
        <v>60</v>
      </c>
    </row>
    <row r="286" spans="1:7" x14ac:dyDescent="0.3">
      <c r="A286" t="s">
        <v>75</v>
      </c>
      <c r="B286" t="s">
        <v>82</v>
      </c>
      <c r="C286" t="s">
        <v>109</v>
      </c>
      <c r="D286" s="3">
        <v>7</v>
      </c>
      <c r="E286" s="3">
        <v>178</v>
      </c>
      <c r="F286" s="3">
        <v>786</v>
      </c>
      <c r="G286" s="3">
        <v>60</v>
      </c>
    </row>
    <row r="287" spans="1:7" x14ac:dyDescent="0.3">
      <c r="A287" t="s">
        <v>75</v>
      </c>
      <c r="B287" t="s">
        <v>82</v>
      </c>
      <c r="C287" t="s">
        <v>110</v>
      </c>
      <c r="D287" s="3">
        <v>7</v>
      </c>
      <c r="E287" s="3">
        <v>178</v>
      </c>
      <c r="F287" s="3">
        <v>787</v>
      </c>
      <c r="G287" s="3">
        <v>60</v>
      </c>
    </row>
    <row r="288" spans="1:7" x14ac:dyDescent="0.3">
      <c r="A288" t="s">
        <v>75</v>
      </c>
      <c r="B288" t="s">
        <v>82</v>
      </c>
      <c r="C288" t="s">
        <v>116</v>
      </c>
      <c r="D288" s="3">
        <v>7</v>
      </c>
      <c r="E288" s="3">
        <v>178</v>
      </c>
      <c r="F288" s="3">
        <v>793</v>
      </c>
      <c r="G288" s="3">
        <v>60</v>
      </c>
    </row>
    <row r="289" spans="1:7" x14ac:dyDescent="0.3">
      <c r="A289" t="s">
        <v>456</v>
      </c>
      <c r="B289" t="s">
        <v>532</v>
      </c>
      <c r="C289" t="s">
        <v>60</v>
      </c>
      <c r="D289" s="3">
        <v>29</v>
      </c>
      <c r="E289" s="3">
        <v>179</v>
      </c>
      <c r="F289" s="3">
        <v>804</v>
      </c>
      <c r="G289" s="3">
        <v>60</v>
      </c>
    </row>
    <row r="290" spans="1:7" x14ac:dyDescent="0.3">
      <c r="A290" t="s">
        <v>239</v>
      </c>
      <c r="B290" t="s">
        <v>245</v>
      </c>
      <c r="C290" t="s">
        <v>256</v>
      </c>
      <c r="D290" s="3">
        <v>17</v>
      </c>
      <c r="E290" s="3">
        <v>185</v>
      </c>
      <c r="F290" s="3">
        <v>823</v>
      </c>
      <c r="G290" s="3">
        <v>60</v>
      </c>
    </row>
    <row r="291" spans="1:7" x14ac:dyDescent="0.3">
      <c r="A291" t="s">
        <v>239</v>
      </c>
      <c r="B291" t="s">
        <v>245</v>
      </c>
      <c r="C291" t="s">
        <v>266</v>
      </c>
      <c r="D291" s="3">
        <v>17</v>
      </c>
      <c r="E291" s="3">
        <v>185</v>
      </c>
      <c r="F291" s="3">
        <v>833</v>
      </c>
      <c r="G291" s="3">
        <v>60</v>
      </c>
    </row>
    <row r="292" spans="1:7" x14ac:dyDescent="0.3">
      <c r="A292" t="s">
        <v>239</v>
      </c>
      <c r="B292" t="s">
        <v>245</v>
      </c>
      <c r="C292" t="s">
        <v>269</v>
      </c>
      <c r="D292" s="3">
        <v>17</v>
      </c>
      <c r="E292" s="3">
        <v>185</v>
      </c>
      <c r="F292" s="3">
        <v>836</v>
      </c>
      <c r="G292" s="3">
        <v>60</v>
      </c>
    </row>
    <row r="293" spans="1:7" x14ac:dyDescent="0.3">
      <c r="A293" t="s">
        <v>239</v>
      </c>
      <c r="B293" t="s">
        <v>245</v>
      </c>
      <c r="C293" t="s">
        <v>272</v>
      </c>
      <c r="D293" s="3">
        <v>17</v>
      </c>
      <c r="E293" s="3">
        <v>185</v>
      </c>
      <c r="F293" s="3">
        <v>839</v>
      </c>
      <c r="G293" s="3">
        <v>60</v>
      </c>
    </row>
    <row r="294" spans="1:7" x14ac:dyDescent="0.3">
      <c r="A294" t="s">
        <v>593</v>
      </c>
      <c r="B294" t="s">
        <v>703</v>
      </c>
      <c r="C294" t="s">
        <v>60</v>
      </c>
      <c r="D294" s="3">
        <v>31</v>
      </c>
      <c r="E294" s="3">
        <v>188</v>
      </c>
      <c r="F294" s="3">
        <v>880</v>
      </c>
      <c r="G294" s="3">
        <v>60</v>
      </c>
    </row>
    <row r="295" spans="1:7" x14ac:dyDescent="0.3">
      <c r="A295" t="s">
        <v>790</v>
      </c>
      <c r="B295" t="s">
        <v>791</v>
      </c>
      <c r="C295" t="s">
        <v>793</v>
      </c>
      <c r="D295" s="3">
        <v>37</v>
      </c>
      <c r="E295" s="3">
        <v>194</v>
      </c>
      <c r="F295" s="3">
        <v>897</v>
      </c>
      <c r="G295" s="3">
        <v>60</v>
      </c>
    </row>
    <row r="296" spans="1:7" x14ac:dyDescent="0.3">
      <c r="A296" t="s">
        <v>957</v>
      </c>
      <c r="B296" t="s">
        <v>962</v>
      </c>
      <c r="C296" t="s">
        <v>196</v>
      </c>
      <c r="D296" s="3">
        <v>59</v>
      </c>
      <c r="E296" s="3">
        <v>195</v>
      </c>
      <c r="F296" s="3">
        <v>920</v>
      </c>
      <c r="G296" s="3">
        <v>60</v>
      </c>
    </row>
    <row r="297" spans="1:7" x14ac:dyDescent="0.3">
      <c r="A297" t="s">
        <v>456</v>
      </c>
      <c r="B297" t="s">
        <v>457</v>
      </c>
      <c r="C297" t="s">
        <v>461</v>
      </c>
      <c r="D297" s="3">
        <v>29</v>
      </c>
      <c r="E297" s="3">
        <v>2</v>
      </c>
      <c r="F297" s="3">
        <v>9</v>
      </c>
      <c r="G297" s="3">
        <v>70</v>
      </c>
    </row>
    <row r="298" spans="1:7" x14ac:dyDescent="0.3">
      <c r="A298" t="s">
        <v>28</v>
      </c>
      <c r="B298" t="s">
        <v>37</v>
      </c>
      <c r="C298" t="s">
        <v>55</v>
      </c>
      <c r="D298" s="3">
        <v>4</v>
      </c>
      <c r="E298" s="3">
        <v>15</v>
      </c>
      <c r="F298" s="3">
        <v>61</v>
      </c>
      <c r="G298" s="3">
        <v>70</v>
      </c>
    </row>
    <row r="299" spans="1:7" x14ac:dyDescent="0.3">
      <c r="A299" t="s">
        <v>875</v>
      </c>
      <c r="B299" t="s">
        <v>876</v>
      </c>
      <c r="C299" t="s">
        <v>877</v>
      </c>
      <c r="D299" s="3">
        <v>50</v>
      </c>
      <c r="E299" s="3">
        <v>26</v>
      </c>
      <c r="F299" s="3">
        <v>98</v>
      </c>
      <c r="G299" s="3">
        <v>70</v>
      </c>
    </row>
    <row r="300" spans="1:7" x14ac:dyDescent="0.3">
      <c r="A300" t="s">
        <v>875</v>
      </c>
      <c r="B300" t="s">
        <v>876</v>
      </c>
      <c r="C300" t="s">
        <v>60</v>
      </c>
      <c r="D300" s="3">
        <v>50</v>
      </c>
      <c r="E300" s="3">
        <v>26</v>
      </c>
      <c r="F300" s="3">
        <v>99</v>
      </c>
      <c r="G300" s="3">
        <v>70</v>
      </c>
    </row>
    <row r="301" spans="1:7" x14ac:dyDescent="0.3">
      <c r="A301" t="s">
        <v>456</v>
      </c>
      <c r="B301" t="s">
        <v>474</v>
      </c>
      <c r="C301" t="s">
        <v>480</v>
      </c>
      <c r="D301" s="3">
        <v>29</v>
      </c>
      <c r="E301" s="3">
        <v>31</v>
      </c>
      <c r="F301" s="3">
        <v>121</v>
      </c>
      <c r="G301" s="3">
        <v>70</v>
      </c>
    </row>
    <row r="302" spans="1:7" x14ac:dyDescent="0.3">
      <c r="A302" t="s">
        <v>456</v>
      </c>
      <c r="B302" t="s">
        <v>481</v>
      </c>
      <c r="C302" t="s">
        <v>482</v>
      </c>
      <c r="D302" s="3">
        <v>29</v>
      </c>
      <c r="E302" s="3">
        <v>37</v>
      </c>
      <c r="F302" s="3">
        <v>136</v>
      </c>
      <c r="G302" s="3">
        <v>70</v>
      </c>
    </row>
    <row r="303" spans="1:7" x14ac:dyDescent="0.3">
      <c r="A303" t="s">
        <v>158</v>
      </c>
      <c r="B303" t="s">
        <v>159</v>
      </c>
      <c r="C303" t="s">
        <v>165</v>
      </c>
      <c r="D303" s="3">
        <v>13</v>
      </c>
      <c r="E303" s="3">
        <v>38</v>
      </c>
      <c r="F303" s="3">
        <v>143</v>
      </c>
      <c r="G303" s="3">
        <v>70</v>
      </c>
    </row>
    <row r="304" spans="1:7" x14ac:dyDescent="0.3">
      <c r="A304" t="s">
        <v>725</v>
      </c>
      <c r="B304" t="s">
        <v>729</v>
      </c>
      <c r="C304" t="s">
        <v>733</v>
      </c>
      <c r="D304" s="3">
        <v>35</v>
      </c>
      <c r="E304" s="3">
        <v>39</v>
      </c>
      <c r="F304" s="3">
        <v>151</v>
      </c>
      <c r="G304" s="3">
        <v>70</v>
      </c>
    </row>
    <row r="305" spans="1:7" x14ac:dyDescent="0.3">
      <c r="A305" t="s">
        <v>456</v>
      </c>
      <c r="B305" t="s">
        <v>483</v>
      </c>
      <c r="C305" t="s">
        <v>486</v>
      </c>
      <c r="D305" s="3">
        <v>29</v>
      </c>
      <c r="E305" s="3">
        <v>47</v>
      </c>
      <c r="F305" s="3">
        <v>167</v>
      </c>
      <c r="G305" s="3">
        <v>70</v>
      </c>
    </row>
    <row r="306" spans="1:7" x14ac:dyDescent="0.3">
      <c r="A306" t="s">
        <v>593</v>
      </c>
      <c r="B306" t="s">
        <v>601</v>
      </c>
      <c r="C306" t="s">
        <v>606</v>
      </c>
      <c r="D306" s="3">
        <v>31</v>
      </c>
      <c r="E306" s="3">
        <v>54</v>
      </c>
      <c r="F306" s="3">
        <v>192</v>
      </c>
      <c r="G306" s="3">
        <v>70</v>
      </c>
    </row>
    <row r="307" spans="1:7" x14ac:dyDescent="0.3">
      <c r="A307" t="s">
        <v>593</v>
      </c>
      <c r="B307" t="s">
        <v>601</v>
      </c>
      <c r="C307" t="s">
        <v>613</v>
      </c>
      <c r="D307" s="3">
        <v>31</v>
      </c>
      <c r="E307" s="3">
        <v>54</v>
      </c>
      <c r="F307" s="3">
        <v>200</v>
      </c>
      <c r="G307" s="3">
        <v>70</v>
      </c>
    </row>
    <row r="308" spans="1:7" x14ac:dyDescent="0.3">
      <c r="A308" t="s">
        <v>456</v>
      </c>
      <c r="B308" t="s">
        <v>492</v>
      </c>
      <c r="C308" t="s">
        <v>494</v>
      </c>
      <c r="D308" s="3">
        <v>29</v>
      </c>
      <c r="E308" s="3">
        <v>58</v>
      </c>
      <c r="F308" s="3">
        <v>209</v>
      </c>
      <c r="G308" s="3">
        <v>70</v>
      </c>
    </row>
    <row r="309" spans="1:7" x14ac:dyDescent="0.3">
      <c r="A309" t="s">
        <v>317</v>
      </c>
      <c r="B309" t="s">
        <v>318</v>
      </c>
      <c r="C309" t="s">
        <v>319</v>
      </c>
      <c r="D309" s="3">
        <v>20</v>
      </c>
      <c r="E309" s="3">
        <v>60</v>
      </c>
      <c r="F309" s="3">
        <v>212</v>
      </c>
      <c r="G309" s="3">
        <v>70</v>
      </c>
    </row>
    <row r="310" spans="1:7" x14ac:dyDescent="0.3">
      <c r="A310" t="s">
        <v>416</v>
      </c>
      <c r="B310" t="s">
        <v>427</v>
      </c>
      <c r="C310" t="s">
        <v>367</v>
      </c>
      <c r="D310" s="3">
        <v>27</v>
      </c>
      <c r="E310" s="3">
        <v>73</v>
      </c>
      <c r="F310" s="3">
        <v>237</v>
      </c>
      <c r="G310" s="3">
        <v>70</v>
      </c>
    </row>
    <row r="311" spans="1:7" x14ac:dyDescent="0.3">
      <c r="A311" t="s">
        <v>416</v>
      </c>
      <c r="B311" t="s">
        <v>427</v>
      </c>
      <c r="C311" t="s">
        <v>444</v>
      </c>
      <c r="D311" s="3">
        <v>27</v>
      </c>
      <c r="E311" s="3">
        <v>73</v>
      </c>
      <c r="F311" s="3">
        <v>255</v>
      </c>
      <c r="G311" s="3">
        <v>70</v>
      </c>
    </row>
    <row r="312" spans="1:7" x14ac:dyDescent="0.3">
      <c r="A312" t="s">
        <v>745</v>
      </c>
      <c r="B312" t="s">
        <v>757</v>
      </c>
      <c r="C312" t="s">
        <v>779</v>
      </c>
      <c r="D312" s="3">
        <v>36</v>
      </c>
      <c r="E312" s="3">
        <v>79</v>
      </c>
      <c r="F312" s="3">
        <v>310</v>
      </c>
      <c r="G312" s="3">
        <v>70</v>
      </c>
    </row>
    <row r="313" spans="1:7" x14ac:dyDescent="0.3">
      <c r="A313" t="s">
        <v>745</v>
      </c>
      <c r="B313" t="s">
        <v>757</v>
      </c>
      <c r="C313" t="s">
        <v>782</v>
      </c>
      <c r="D313" s="3">
        <v>36</v>
      </c>
      <c r="E313" s="3">
        <v>79</v>
      </c>
      <c r="F313" s="3">
        <v>313</v>
      </c>
      <c r="G313" s="3">
        <v>70</v>
      </c>
    </row>
    <row r="314" spans="1:7" x14ac:dyDescent="0.3">
      <c r="A314" t="s">
        <v>745</v>
      </c>
      <c r="B314" t="s">
        <v>757</v>
      </c>
      <c r="C314" t="s">
        <v>786</v>
      </c>
      <c r="D314" s="3">
        <v>36</v>
      </c>
      <c r="E314" s="3">
        <v>79</v>
      </c>
      <c r="F314" s="3">
        <v>319</v>
      </c>
      <c r="G314" s="3">
        <v>70</v>
      </c>
    </row>
    <row r="315" spans="1:7" x14ac:dyDescent="0.3">
      <c r="A315" t="s">
        <v>745</v>
      </c>
      <c r="B315" t="s">
        <v>757</v>
      </c>
      <c r="C315" t="s">
        <v>787</v>
      </c>
      <c r="D315" s="3">
        <v>36</v>
      </c>
      <c r="E315" s="3">
        <v>79</v>
      </c>
      <c r="F315" s="3">
        <v>320</v>
      </c>
      <c r="G315" s="3">
        <v>70</v>
      </c>
    </row>
    <row r="316" spans="1:7" x14ac:dyDescent="0.3">
      <c r="A316" t="s">
        <v>745</v>
      </c>
      <c r="B316" t="s">
        <v>757</v>
      </c>
      <c r="C316" t="s">
        <v>789</v>
      </c>
      <c r="D316" s="3">
        <v>36</v>
      </c>
      <c r="E316" s="3">
        <v>79</v>
      </c>
      <c r="F316" s="3">
        <v>322</v>
      </c>
      <c r="G316" s="3">
        <v>70</v>
      </c>
    </row>
    <row r="317" spans="1:7" x14ac:dyDescent="0.3">
      <c r="A317" t="s">
        <v>171</v>
      </c>
      <c r="B317" t="s">
        <v>172</v>
      </c>
      <c r="C317" t="s">
        <v>175</v>
      </c>
      <c r="D317" s="3">
        <v>15</v>
      </c>
      <c r="E317" s="3">
        <v>91</v>
      </c>
      <c r="F317" s="3">
        <v>347</v>
      </c>
      <c r="G317" s="3">
        <v>70</v>
      </c>
    </row>
    <row r="318" spans="1:7" x14ac:dyDescent="0.3">
      <c r="A318" t="s">
        <v>171</v>
      </c>
      <c r="B318" t="s">
        <v>172</v>
      </c>
      <c r="C318" t="s">
        <v>186</v>
      </c>
      <c r="D318" s="3">
        <v>15</v>
      </c>
      <c r="E318" s="3">
        <v>91</v>
      </c>
      <c r="F318" s="3">
        <v>358</v>
      </c>
      <c r="G318" s="3">
        <v>70</v>
      </c>
    </row>
    <row r="319" spans="1:7" x14ac:dyDescent="0.3">
      <c r="A319" t="s">
        <v>875</v>
      </c>
      <c r="B319" t="s">
        <v>887</v>
      </c>
      <c r="C319" t="s">
        <v>400</v>
      </c>
      <c r="D319" s="3">
        <v>50</v>
      </c>
      <c r="E319" s="3">
        <v>104</v>
      </c>
      <c r="F319" s="3">
        <v>389</v>
      </c>
      <c r="G319" s="3">
        <v>70</v>
      </c>
    </row>
    <row r="320" spans="1:7" x14ac:dyDescent="0.3">
      <c r="A320" t="s">
        <v>456</v>
      </c>
      <c r="B320" t="s">
        <v>507</v>
      </c>
      <c r="C320" t="s">
        <v>508</v>
      </c>
      <c r="D320" s="3">
        <v>29</v>
      </c>
      <c r="E320" s="3">
        <v>106</v>
      </c>
      <c r="F320" s="3">
        <v>400</v>
      </c>
      <c r="G320" s="3">
        <v>70</v>
      </c>
    </row>
    <row r="321" spans="1:7" x14ac:dyDescent="0.3">
      <c r="A321" t="s">
        <v>171</v>
      </c>
      <c r="B321" t="s">
        <v>188</v>
      </c>
      <c r="C321" t="s">
        <v>196</v>
      </c>
      <c r="D321" s="3">
        <v>15</v>
      </c>
      <c r="E321" s="3">
        <v>107</v>
      </c>
      <c r="F321" s="3">
        <v>418</v>
      </c>
      <c r="G321" s="3">
        <v>70</v>
      </c>
    </row>
    <row r="322" spans="1:7" x14ac:dyDescent="0.3">
      <c r="A322" t="s">
        <v>171</v>
      </c>
      <c r="B322" t="s">
        <v>188</v>
      </c>
      <c r="C322" t="s">
        <v>197</v>
      </c>
      <c r="D322" s="3">
        <v>15</v>
      </c>
      <c r="E322" s="3">
        <v>107</v>
      </c>
      <c r="F322" s="3">
        <v>419</v>
      </c>
      <c r="G322" s="3">
        <v>70</v>
      </c>
    </row>
    <row r="323" spans="1:7" x14ac:dyDescent="0.3">
      <c r="A323" t="s">
        <v>171</v>
      </c>
      <c r="B323" t="s">
        <v>188</v>
      </c>
      <c r="C323" t="s">
        <v>207</v>
      </c>
      <c r="D323" s="3">
        <v>15</v>
      </c>
      <c r="E323" s="3">
        <v>107</v>
      </c>
      <c r="F323" s="3">
        <v>431</v>
      </c>
      <c r="G323" s="3">
        <v>70</v>
      </c>
    </row>
    <row r="324" spans="1:7" x14ac:dyDescent="0.3">
      <c r="A324" t="s">
        <v>171</v>
      </c>
      <c r="B324" t="s">
        <v>188</v>
      </c>
      <c r="C324" t="s">
        <v>212</v>
      </c>
      <c r="D324" s="3">
        <v>15</v>
      </c>
      <c r="E324" s="3">
        <v>107</v>
      </c>
      <c r="F324" s="3">
        <v>436</v>
      </c>
      <c r="G324" s="3">
        <v>70</v>
      </c>
    </row>
    <row r="325" spans="1:7" x14ac:dyDescent="0.3">
      <c r="A325" t="s">
        <v>593</v>
      </c>
      <c r="B325" t="s">
        <v>626</v>
      </c>
      <c r="C325" t="s">
        <v>628</v>
      </c>
      <c r="D325" s="3">
        <v>31</v>
      </c>
      <c r="E325" s="3">
        <v>109</v>
      </c>
      <c r="F325" s="3">
        <v>459</v>
      </c>
      <c r="G325" s="3">
        <v>70</v>
      </c>
    </row>
    <row r="326" spans="1:7" x14ac:dyDescent="0.3">
      <c r="A326" t="s">
        <v>593</v>
      </c>
      <c r="B326" t="s">
        <v>626</v>
      </c>
      <c r="C326" t="s">
        <v>639</v>
      </c>
      <c r="D326" s="3">
        <v>31</v>
      </c>
      <c r="E326" s="3">
        <v>109</v>
      </c>
      <c r="F326" s="3">
        <v>470</v>
      </c>
      <c r="G326" s="3">
        <v>70</v>
      </c>
    </row>
    <row r="327" spans="1:7" x14ac:dyDescent="0.3">
      <c r="A327" t="s">
        <v>593</v>
      </c>
      <c r="B327" t="s">
        <v>626</v>
      </c>
      <c r="C327" t="s">
        <v>645</v>
      </c>
      <c r="D327" s="3">
        <v>31</v>
      </c>
      <c r="E327" s="3">
        <v>109</v>
      </c>
      <c r="F327" s="3">
        <v>476</v>
      </c>
      <c r="G327" s="3">
        <v>70</v>
      </c>
    </row>
    <row r="328" spans="1:7" x14ac:dyDescent="0.3">
      <c r="A328" t="s">
        <v>536</v>
      </c>
      <c r="B328" t="s">
        <v>560</v>
      </c>
      <c r="C328" t="s">
        <v>561</v>
      </c>
      <c r="D328" s="3">
        <v>30</v>
      </c>
      <c r="E328" s="3">
        <v>117</v>
      </c>
      <c r="F328" s="3">
        <v>524</v>
      </c>
      <c r="G328" s="3">
        <v>70</v>
      </c>
    </row>
    <row r="329" spans="1:7" x14ac:dyDescent="0.3">
      <c r="A329" t="s">
        <v>363</v>
      </c>
      <c r="B329" t="s">
        <v>379</v>
      </c>
      <c r="C329" t="s">
        <v>27</v>
      </c>
      <c r="D329" s="3">
        <v>26</v>
      </c>
      <c r="E329" s="3">
        <v>123</v>
      </c>
      <c r="F329" s="3">
        <v>544</v>
      </c>
      <c r="G329" s="3">
        <v>70</v>
      </c>
    </row>
    <row r="330" spans="1:7" x14ac:dyDescent="0.3">
      <c r="A330" t="s">
        <v>536</v>
      </c>
      <c r="B330" t="s">
        <v>562</v>
      </c>
      <c r="C330" t="s">
        <v>546</v>
      </c>
      <c r="D330" s="3">
        <v>30</v>
      </c>
      <c r="E330" s="3">
        <v>125</v>
      </c>
      <c r="F330" s="3">
        <v>567</v>
      </c>
      <c r="G330" s="3">
        <v>70</v>
      </c>
    </row>
    <row r="331" spans="1:7" x14ac:dyDescent="0.3">
      <c r="A331" t="s">
        <v>869</v>
      </c>
      <c r="B331" t="s">
        <v>870</v>
      </c>
      <c r="C331" t="s">
        <v>871</v>
      </c>
      <c r="D331" s="3">
        <v>48</v>
      </c>
      <c r="E331" s="3">
        <v>129</v>
      </c>
      <c r="F331" s="3">
        <v>597</v>
      </c>
      <c r="G331" s="3">
        <v>70</v>
      </c>
    </row>
    <row r="332" spans="1:7" x14ac:dyDescent="0.3">
      <c r="A332" t="s">
        <v>456</v>
      </c>
      <c r="B332" t="s">
        <v>522</v>
      </c>
      <c r="C332" t="s">
        <v>523</v>
      </c>
      <c r="D332" s="3">
        <v>29</v>
      </c>
      <c r="E332" s="3">
        <v>134</v>
      </c>
      <c r="F332" s="3">
        <v>614</v>
      </c>
      <c r="G332" s="3">
        <v>70</v>
      </c>
    </row>
    <row r="333" spans="1:7" x14ac:dyDescent="0.3">
      <c r="A333" t="s">
        <v>363</v>
      </c>
      <c r="B333" t="s">
        <v>413</v>
      </c>
      <c r="C333" t="s">
        <v>414</v>
      </c>
      <c r="D333" s="3">
        <v>26</v>
      </c>
      <c r="E333" s="3">
        <v>149</v>
      </c>
      <c r="F333" s="3">
        <v>642</v>
      </c>
      <c r="G333" s="3">
        <v>70</v>
      </c>
    </row>
    <row r="334" spans="1:7" x14ac:dyDescent="0.3">
      <c r="A334" t="s">
        <v>875</v>
      </c>
      <c r="B334" t="s">
        <v>896</v>
      </c>
      <c r="C334" t="s">
        <v>897</v>
      </c>
      <c r="D334" s="3">
        <v>50</v>
      </c>
      <c r="E334" s="3">
        <v>152</v>
      </c>
      <c r="F334" s="3">
        <v>648</v>
      </c>
      <c r="G334" s="3">
        <v>70</v>
      </c>
    </row>
    <row r="335" spans="1:7" x14ac:dyDescent="0.3">
      <c r="A335" t="s">
        <v>875</v>
      </c>
      <c r="B335" t="s">
        <v>896</v>
      </c>
      <c r="C335" t="s">
        <v>907</v>
      </c>
      <c r="D335" s="3">
        <v>50</v>
      </c>
      <c r="E335" s="3">
        <v>152</v>
      </c>
      <c r="F335" s="3">
        <v>660</v>
      </c>
      <c r="G335" s="3">
        <v>70</v>
      </c>
    </row>
    <row r="336" spans="1:7" x14ac:dyDescent="0.3">
      <c r="A336" t="s">
        <v>875</v>
      </c>
      <c r="B336" t="s">
        <v>896</v>
      </c>
      <c r="C336" t="s">
        <v>290</v>
      </c>
      <c r="D336" s="3">
        <v>50</v>
      </c>
      <c r="E336" s="3">
        <v>152</v>
      </c>
      <c r="F336" s="3">
        <v>668</v>
      </c>
      <c r="G336" s="3">
        <v>70</v>
      </c>
    </row>
    <row r="337" spans="1:7" x14ac:dyDescent="0.3">
      <c r="A337" t="s">
        <v>931</v>
      </c>
      <c r="B337" t="s">
        <v>932</v>
      </c>
      <c r="C337" t="s">
        <v>933</v>
      </c>
      <c r="D337" s="3">
        <v>53</v>
      </c>
      <c r="E337" s="3">
        <v>160</v>
      </c>
      <c r="F337" s="3">
        <v>695</v>
      </c>
      <c r="G337" s="3">
        <v>70</v>
      </c>
    </row>
    <row r="338" spans="1:7" x14ac:dyDescent="0.3">
      <c r="A338" t="s">
        <v>222</v>
      </c>
      <c r="B338" t="s">
        <v>231</v>
      </c>
      <c r="C338" t="s">
        <v>233</v>
      </c>
      <c r="D338" s="3">
        <v>16</v>
      </c>
      <c r="E338" s="3">
        <v>163</v>
      </c>
      <c r="F338" s="3">
        <v>705</v>
      </c>
      <c r="G338" s="3">
        <v>70</v>
      </c>
    </row>
    <row r="339" spans="1:7" x14ac:dyDescent="0.3">
      <c r="A339" t="s">
        <v>924</v>
      </c>
      <c r="B339" t="s">
        <v>927</v>
      </c>
      <c r="C339" t="s">
        <v>367</v>
      </c>
      <c r="D339" s="3">
        <v>51</v>
      </c>
      <c r="E339" s="3">
        <v>172</v>
      </c>
      <c r="F339" s="3">
        <v>731</v>
      </c>
      <c r="G339" s="3">
        <v>70</v>
      </c>
    </row>
    <row r="340" spans="1:7" x14ac:dyDescent="0.3">
      <c r="A340" t="s">
        <v>875</v>
      </c>
      <c r="B340" t="s">
        <v>920</v>
      </c>
      <c r="C340" t="s">
        <v>568</v>
      </c>
      <c r="D340" s="3">
        <v>50</v>
      </c>
      <c r="E340" s="3">
        <v>177</v>
      </c>
      <c r="F340" s="3">
        <v>757</v>
      </c>
      <c r="G340" s="3">
        <v>70</v>
      </c>
    </row>
    <row r="341" spans="1:7" x14ac:dyDescent="0.3">
      <c r="A341" t="s">
        <v>75</v>
      </c>
      <c r="B341" t="s">
        <v>82</v>
      </c>
      <c r="C341" t="s">
        <v>83</v>
      </c>
      <c r="D341" s="3">
        <v>7</v>
      </c>
      <c r="E341" s="3">
        <v>178</v>
      </c>
      <c r="F341" s="3">
        <v>760</v>
      </c>
      <c r="G341" s="3">
        <v>70</v>
      </c>
    </row>
    <row r="342" spans="1:7" x14ac:dyDescent="0.3">
      <c r="A342" t="s">
        <v>75</v>
      </c>
      <c r="B342" t="s">
        <v>82</v>
      </c>
      <c r="C342" t="s">
        <v>88</v>
      </c>
      <c r="D342" s="3">
        <v>7</v>
      </c>
      <c r="E342" s="3">
        <v>178</v>
      </c>
      <c r="F342" s="3">
        <v>765</v>
      </c>
      <c r="G342" s="3">
        <v>70</v>
      </c>
    </row>
    <row r="343" spans="1:7" x14ac:dyDescent="0.3">
      <c r="A343" t="s">
        <v>75</v>
      </c>
      <c r="B343" t="s">
        <v>82</v>
      </c>
      <c r="C343" t="s">
        <v>104</v>
      </c>
      <c r="D343" s="3">
        <v>7</v>
      </c>
      <c r="E343" s="3">
        <v>178</v>
      </c>
      <c r="F343" s="3">
        <v>781</v>
      </c>
      <c r="G343" s="3">
        <v>70</v>
      </c>
    </row>
    <row r="344" spans="1:7" x14ac:dyDescent="0.3">
      <c r="A344" t="s">
        <v>75</v>
      </c>
      <c r="B344" t="s">
        <v>82</v>
      </c>
      <c r="C344" t="s">
        <v>112</v>
      </c>
      <c r="D344" s="3">
        <v>7</v>
      </c>
      <c r="E344" s="3">
        <v>178</v>
      </c>
      <c r="F344" s="3">
        <v>789</v>
      </c>
      <c r="G344" s="3">
        <v>70</v>
      </c>
    </row>
    <row r="345" spans="1:7" x14ac:dyDescent="0.3">
      <c r="A345" t="s">
        <v>75</v>
      </c>
      <c r="B345" t="s">
        <v>82</v>
      </c>
      <c r="C345" t="s">
        <v>115</v>
      </c>
      <c r="D345" s="3">
        <v>7</v>
      </c>
      <c r="E345" s="3">
        <v>178</v>
      </c>
      <c r="F345" s="3">
        <v>792</v>
      </c>
      <c r="G345" s="3">
        <v>70</v>
      </c>
    </row>
    <row r="346" spans="1:7" x14ac:dyDescent="0.3">
      <c r="A346" t="s">
        <v>75</v>
      </c>
      <c r="B346" t="s">
        <v>82</v>
      </c>
      <c r="C346" t="s">
        <v>120</v>
      </c>
      <c r="D346" s="3">
        <v>7</v>
      </c>
      <c r="E346" s="3">
        <v>178</v>
      </c>
      <c r="F346" s="3">
        <v>797</v>
      </c>
      <c r="G346" s="3">
        <v>70</v>
      </c>
    </row>
    <row r="347" spans="1:7" x14ac:dyDescent="0.3">
      <c r="A347" t="s">
        <v>239</v>
      </c>
      <c r="B347" t="s">
        <v>245</v>
      </c>
      <c r="C347" t="s">
        <v>84</v>
      </c>
      <c r="D347" s="3">
        <v>17</v>
      </c>
      <c r="E347" s="3">
        <v>185</v>
      </c>
      <c r="F347" s="3">
        <v>816</v>
      </c>
      <c r="G347" s="3">
        <v>70</v>
      </c>
    </row>
    <row r="348" spans="1:7" x14ac:dyDescent="0.3">
      <c r="A348" t="s">
        <v>331</v>
      </c>
      <c r="B348" t="s">
        <v>342</v>
      </c>
      <c r="C348" t="s">
        <v>343</v>
      </c>
      <c r="D348" s="3">
        <v>22</v>
      </c>
      <c r="E348" s="3">
        <v>187</v>
      </c>
      <c r="F348" s="3">
        <v>879</v>
      </c>
      <c r="G348" s="3">
        <v>70</v>
      </c>
    </row>
    <row r="349" spans="1:7" x14ac:dyDescent="0.3">
      <c r="A349" t="s">
        <v>790</v>
      </c>
      <c r="B349" t="s">
        <v>791</v>
      </c>
      <c r="C349" t="s">
        <v>804</v>
      </c>
      <c r="D349" s="3">
        <v>37</v>
      </c>
      <c r="E349" s="3">
        <v>194</v>
      </c>
      <c r="F349" s="3">
        <v>910</v>
      </c>
      <c r="G349" s="3">
        <v>70</v>
      </c>
    </row>
    <row r="350" spans="1:7" x14ac:dyDescent="0.3">
      <c r="A350" t="s">
        <v>957</v>
      </c>
      <c r="B350" t="s">
        <v>962</v>
      </c>
      <c r="C350" t="s">
        <v>964</v>
      </c>
      <c r="D350" s="3">
        <v>59</v>
      </c>
      <c r="E350" s="3">
        <v>195</v>
      </c>
      <c r="F350" s="3">
        <v>924</v>
      </c>
      <c r="G350" s="3">
        <v>70</v>
      </c>
    </row>
    <row r="351" spans="1:7" x14ac:dyDescent="0.3">
      <c r="A351" t="s">
        <v>28</v>
      </c>
      <c r="B351" t="s">
        <v>37</v>
      </c>
      <c r="C351" t="s">
        <v>53</v>
      </c>
      <c r="D351" s="3">
        <v>4</v>
      </c>
      <c r="E351" s="3">
        <v>15</v>
      </c>
      <c r="F351" s="3">
        <v>59</v>
      </c>
      <c r="G351" s="3">
        <v>80</v>
      </c>
    </row>
    <row r="352" spans="1:7" x14ac:dyDescent="0.3">
      <c r="A352" t="s">
        <v>28</v>
      </c>
      <c r="B352" t="s">
        <v>37</v>
      </c>
      <c r="C352" t="s">
        <v>59</v>
      </c>
      <c r="D352" s="3">
        <v>4</v>
      </c>
      <c r="E352" s="3">
        <v>15</v>
      </c>
      <c r="F352" s="3">
        <v>65</v>
      </c>
      <c r="G352" s="3">
        <v>80</v>
      </c>
    </row>
    <row r="353" spans="1:7" x14ac:dyDescent="0.3">
      <c r="A353" t="s">
        <v>745</v>
      </c>
      <c r="B353" t="s">
        <v>748</v>
      </c>
      <c r="C353" t="s">
        <v>749</v>
      </c>
      <c r="D353" s="3">
        <v>36</v>
      </c>
      <c r="E353" s="3">
        <v>24</v>
      </c>
      <c r="F353" s="3">
        <v>82</v>
      </c>
      <c r="G353" s="3">
        <v>80</v>
      </c>
    </row>
    <row r="354" spans="1:7" x14ac:dyDescent="0.3">
      <c r="A354" t="s">
        <v>745</v>
      </c>
      <c r="B354" t="s">
        <v>748</v>
      </c>
      <c r="C354" t="s">
        <v>750</v>
      </c>
      <c r="D354" s="3">
        <v>36</v>
      </c>
      <c r="E354" s="3">
        <v>24</v>
      </c>
      <c r="F354" s="3">
        <v>84</v>
      </c>
      <c r="G354" s="3">
        <v>80</v>
      </c>
    </row>
    <row r="355" spans="1:7" x14ac:dyDescent="0.3">
      <c r="A355" t="s">
        <v>239</v>
      </c>
      <c r="B355" t="s">
        <v>240</v>
      </c>
      <c r="C355" t="s">
        <v>243</v>
      </c>
      <c r="D355" s="3">
        <v>17</v>
      </c>
      <c r="E355" s="3">
        <v>25</v>
      </c>
      <c r="F355" s="3">
        <v>95</v>
      </c>
      <c r="G355" s="3">
        <v>80</v>
      </c>
    </row>
    <row r="356" spans="1:7" x14ac:dyDescent="0.3">
      <c r="A356" t="s">
        <v>222</v>
      </c>
      <c r="B356" t="s">
        <v>223</v>
      </c>
      <c r="C356" t="s">
        <v>226</v>
      </c>
      <c r="D356" s="3">
        <v>16</v>
      </c>
      <c r="E356" s="3">
        <v>32</v>
      </c>
      <c r="F356" s="3">
        <v>124</v>
      </c>
      <c r="G356" s="3">
        <v>80</v>
      </c>
    </row>
    <row r="357" spans="1:7" x14ac:dyDescent="0.3">
      <c r="A357" t="s">
        <v>158</v>
      </c>
      <c r="B357" t="s">
        <v>159</v>
      </c>
      <c r="C357" t="s">
        <v>162</v>
      </c>
      <c r="D357" s="3">
        <v>13</v>
      </c>
      <c r="E357" s="3">
        <v>38</v>
      </c>
      <c r="F357" s="3">
        <v>140</v>
      </c>
      <c r="G357" s="3">
        <v>80</v>
      </c>
    </row>
    <row r="358" spans="1:7" x14ac:dyDescent="0.3">
      <c r="A358" t="s">
        <v>725</v>
      </c>
      <c r="B358" t="s">
        <v>729</v>
      </c>
      <c r="C358" t="s">
        <v>732</v>
      </c>
      <c r="D358" s="3">
        <v>35</v>
      </c>
      <c r="E358" s="3">
        <v>39</v>
      </c>
      <c r="F358" s="3">
        <v>150</v>
      </c>
      <c r="G358" s="3">
        <v>80</v>
      </c>
    </row>
    <row r="359" spans="1:7" x14ac:dyDescent="0.3">
      <c r="A359" t="s">
        <v>593</v>
      </c>
      <c r="B359" t="s">
        <v>601</v>
      </c>
      <c r="C359" t="s">
        <v>609</v>
      </c>
      <c r="D359" s="3">
        <v>31</v>
      </c>
      <c r="E359" s="3">
        <v>54</v>
      </c>
      <c r="F359" s="3">
        <v>195</v>
      </c>
      <c r="G359" s="3">
        <v>80</v>
      </c>
    </row>
    <row r="360" spans="1:7" x14ac:dyDescent="0.3">
      <c r="A360" t="s">
        <v>416</v>
      </c>
      <c r="B360" t="s">
        <v>427</v>
      </c>
      <c r="C360" t="s">
        <v>429</v>
      </c>
      <c r="D360" s="3">
        <v>27</v>
      </c>
      <c r="E360" s="3">
        <v>73</v>
      </c>
      <c r="F360" s="3">
        <v>238</v>
      </c>
      <c r="G360" s="3">
        <v>80</v>
      </c>
    </row>
    <row r="361" spans="1:7" x14ac:dyDescent="0.3">
      <c r="A361" t="s">
        <v>416</v>
      </c>
      <c r="B361" t="s">
        <v>427</v>
      </c>
      <c r="C361" t="s">
        <v>442</v>
      </c>
      <c r="D361" s="3">
        <v>27</v>
      </c>
      <c r="E361" s="3">
        <v>73</v>
      </c>
      <c r="F361" s="3">
        <v>253</v>
      </c>
      <c r="G361" s="3">
        <v>80</v>
      </c>
    </row>
    <row r="362" spans="1:7" x14ac:dyDescent="0.3">
      <c r="A362" t="s">
        <v>808</v>
      </c>
      <c r="B362" t="s">
        <v>810</v>
      </c>
      <c r="C362" t="s">
        <v>821</v>
      </c>
      <c r="D362" s="3">
        <v>38</v>
      </c>
      <c r="E362" s="3">
        <v>76</v>
      </c>
      <c r="F362" s="3">
        <v>274</v>
      </c>
      <c r="G362" s="3">
        <v>80</v>
      </c>
    </row>
    <row r="363" spans="1:7" x14ac:dyDescent="0.3">
      <c r="A363" t="s">
        <v>745</v>
      </c>
      <c r="B363" t="s">
        <v>757</v>
      </c>
      <c r="C363" t="s">
        <v>559</v>
      </c>
      <c r="D363" s="3">
        <v>36</v>
      </c>
      <c r="E363" s="3">
        <v>79</v>
      </c>
      <c r="F363" s="3">
        <v>286</v>
      </c>
      <c r="G363" s="3">
        <v>80</v>
      </c>
    </row>
    <row r="364" spans="1:7" x14ac:dyDescent="0.3">
      <c r="A364" t="s">
        <v>745</v>
      </c>
      <c r="B364" t="s">
        <v>757</v>
      </c>
      <c r="C364" t="s">
        <v>763</v>
      </c>
      <c r="D364" s="3">
        <v>36</v>
      </c>
      <c r="E364" s="3">
        <v>79</v>
      </c>
      <c r="F364" s="3">
        <v>293</v>
      </c>
      <c r="G364" s="3">
        <v>80</v>
      </c>
    </row>
    <row r="365" spans="1:7" x14ac:dyDescent="0.3">
      <c r="A365" t="s">
        <v>745</v>
      </c>
      <c r="B365" t="s">
        <v>757</v>
      </c>
      <c r="C365" t="s">
        <v>213</v>
      </c>
      <c r="D365" s="3">
        <v>36</v>
      </c>
      <c r="E365" s="3">
        <v>79</v>
      </c>
      <c r="F365" s="3">
        <v>316</v>
      </c>
      <c r="G365" s="3">
        <v>80</v>
      </c>
    </row>
    <row r="366" spans="1:7" x14ac:dyDescent="0.3">
      <c r="A366" t="s">
        <v>950</v>
      </c>
      <c r="B366" t="s">
        <v>951</v>
      </c>
      <c r="C366" t="s">
        <v>952</v>
      </c>
      <c r="D366" s="3">
        <v>57</v>
      </c>
      <c r="E366" s="3">
        <v>95</v>
      </c>
      <c r="F366" s="3">
        <v>364</v>
      </c>
      <c r="G366" s="3">
        <v>80</v>
      </c>
    </row>
    <row r="367" spans="1:7" x14ac:dyDescent="0.3">
      <c r="A367" t="s">
        <v>456</v>
      </c>
      <c r="B367" t="s">
        <v>507</v>
      </c>
      <c r="C367" t="s">
        <v>512</v>
      </c>
      <c r="D367" s="3">
        <v>29</v>
      </c>
      <c r="E367" s="3">
        <v>106</v>
      </c>
      <c r="F367" s="3">
        <v>404</v>
      </c>
      <c r="G367" s="3">
        <v>80</v>
      </c>
    </row>
    <row r="368" spans="1:7" x14ac:dyDescent="0.3">
      <c r="A368" t="s">
        <v>456</v>
      </c>
      <c r="B368" t="s">
        <v>507</v>
      </c>
      <c r="C368" t="s">
        <v>513</v>
      </c>
      <c r="D368" s="3">
        <v>29</v>
      </c>
      <c r="E368" s="3">
        <v>106</v>
      </c>
      <c r="F368" s="3">
        <v>405</v>
      </c>
      <c r="G368" s="3">
        <v>80</v>
      </c>
    </row>
    <row r="369" spans="1:7" x14ac:dyDescent="0.3">
      <c r="A369" t="s">
        <v>171</v>
      </c>
      <c r="B369" t="s">
        <v>188</v>
      </c>
      <c r="C369" t="s">
        <v>191</v>
      </c>
      <c r="D369" s="3">
        <v>15</v>
      </c>
      <c r="E369" s="3">
        <v>107</v>
      </c>
      <c r="F369" s="3">
        <v>411</v>
      </c>
      <c r="G369" s="3">
        <v>80</v>
      </c>
    </row>
    <row r="370" spans="1:7" x14ac:dyDescent="0.3">
      <c r="A370" t="s">
        <v>171</v>
      </c>
      <c r="B370" t="s">
        <v>188</v>
      </c>
      <c r="C370" t="s">
        <v>192</v>
      </c>
      <c r="D370" s="3">
        <v>15</v>
      </c>
      <c r="E370" s="3">
        <v>107</v>
      </c>
      <c r="F370" s="3">
        <v>412</v>
      </c>
      <c r="G370" s="3">
        <v>80</v>
      </c>
    </row>
    <row r="371" spans="1:7" x14ac:dyDescent="0.3">
      <c r="A371" t="s">
        <v>171</v>
      </c>
      <c r="B371" t="s">
        <v>188</v>
      </c>
      <c r="C371" t="s">
        <v>213</v>
      </c>
      <c r="D371" s="3">
        <v>15</v>
      </c>
      <c r="E371" s="3">
        <v>107</v>
      </c>
      <c r="F371" s="3">
        <v>438</v>
      </c>
      <c r="G371" s="3">
        <v>80</v>
      </c>
    </row>
    <row r="372" spans="1:7" x14ac:dyDescent="0.3">
      <c r="A372" t="s">
        <v>593</v>
      </c>
      <c r="B372" t="s">
        <v>626</v>
      </c>
      <c r="C372" t="s">
        <v>631</v>
      </c>
      <c r="D372" s="3">
        <v>31</v>
      </c>
      <c r="E372" s="3">
        <v>109</v>
      </c>
      <c r="F372" s="3">
        <v>462</v>
      </c>
      <c r="G372" s="3">
        <v>80</v>
      </c>
    </row>
    <row r="373" spans="1:7" x14ac:dyDescent="0.3">
      <c r="A373" t="s">
        <v>593</v>
      </c>
      <c r="B373" t="s">
        <v>626</v>
      </c>
      <c r="C373" t="s">
        <v>646</v>
      </c>
      <c r="D373" s="3">
        <v>31</v>
      </c>
      <c r="E373" s="3">
        <v>109</v>
      </c>
      <c r="F373" s="3">
        <v>477</v>
      </c>
      <c r="G373" s="3">
        <v>80</v>
      </c>
    </row>
    <row r="374" spans="1:7" x14ac:dyDescent="0.3">
      <c r="A374" t="s">
        <v>593</v>
      </c>
      <c r="B374" t="s">
        <v>656</v>
      </c>
      <c r="C374" t="s">
        <v>657</v>
      </c>
      <c r="D374" s="3">
        <v>31</v>
      </c>
      <c r="E374" s="3">
        <v>112</v>
      </c>
      <c r="F374" s="3">
        <v>488</v>
      </c>
      <c r="G374" s="3">
        <v>80</v>
      </c>
    </row>
    <row r="375" spans="1:7" x14ac:dyDescent="0.3">
      <c r="A375" t="s">
        <v>832</v>
      </c>
      <c r="B375" t="s">
        <v>833</v>
      </c>
      <c r="C375" t="s">
        <v>247</v>
      </c>
      <c r="D375" s="3">
        <v>39</v>
      </c>
      <c r="E375" s="3">
        <v>124</v>
      </c>
      <c r="F375" s="3">
        <v>555</v>
      </c>
      <c r="G375" s="3">
        <v>80</v>
      </c>
    </row>
    <row r="376" spans="1:7" x14ac:dyDescent="0.3">
      <c r="A376" t="s">
        <v>363</v>
      </c>
      <c r="B376" t="s">
        <v>390</v>
      </c>
      <c r="C376" t="s">
        <v>396</v>
      </c>
      <c r="D376" s="3">
        <v>26</v>
      </c>
      <c r="E376" s="3">
        <v>126</v>
      </c>
      <c r="F376" s="3">
        <v>574</v>
      </c>
      <c r="G376" s="3">
        <v>80</v>
      </c>
    </row>
    <row r="377" spans="1:7" x14ac:dyDescent="0.3">
      <c r="A377" t="s">
        <v>363</v>
      </c>
      <c r="B377" t="s">
        <v>390</v>
      </c>
      <c r="C377" t="s">
        <v>401</v>
      </c>
      <c r="D377" s="3">
        <v>26</v>
      </c>
      <c r="E377" s="3">
        <v>126</v>
      </c>
      <c r="F377" s="3">
        <v>581</v>
      </c>
      <c r="G377" s="3">
        <v>80</v>
      </c>
    </row>
    <row r="378" spans="1:7" x14ac:dyDescent="0.3">
      <c r="A378" t="s">
        <v>363</v>
      </c>
      <c r="B378" t="s">
        <v>390</v>
      </c>
      <c r="C378" t="s">
        <v>405</v>
      </c>
      <c r="D378" s="3">
        <v>26</v>
      </c>
      <c r="E378" s="3">
        <v>126</v>
      </c>
      <c r="F378" s="3">
        <v>586</v>
      </c>
      <c r="G378" s="3">
        <v>80</v>
      </c>
    </row>
    <row r="379" spans="1:7" x14ac:dyDescent="0.3">
      <c r="A379" t="s">
        <v>536</v>
      </c>
      <c r="B379" t="s">
        <v>563</v>
      </c>
      <c r="C379" t="s">
        <v>566</v>
      </c>
      <c r="D379" s="3">
        <v>30</v>
      </c>
      <c r="E379" s="3">
        <v>131</v>
      </c>
      <c r="F379" s="3">
        <v>602</v>
      </c>
      <c r="G379" s="3">
        <v>80</v>
      </c>
    </row>
    <row r="380" spans="1:7" x14ac:dyDescent="0.3">
      <c r="A380" t="s">
        <v>456</v>
      </c>
      <c r="B380" t="s">
        <v>520</v>
      </c>
      <c r="C380" t="s">
        <v>287</v>
      </c>
      <c r="D380" s="3">
        <v>29</v>
      </c>
      <c r="E380" s="3">
        <v>133</v>
      </c>
      <c r="F380" s="3">
        <v>613</v>
      </c>
      <c r="G380" s="3">
        <v>80</v>
      </c>
    </row>
    <row r="381" spans="1:7" x14ac:dyDescent="0.3">
      <c r="A381" t="s">
        <v>363</v>
      </c>
      <c r="B381" t="s">
        <v>413</v>
      </c>
      <c r="C381" t="s">
        <v>415</v>
      </c>
      <c r="D381" s="3">
        <v>26</v>
      </c>
      <c r="E381" s="3">
        <v>149</v>
      </c>
      <c r="F381" s="3">
        <v>643</v>
      </c>
      <c r="G381" s="3">
        <v>80</v>
      </c>
    </row>
    <row r="382" spans="1:7" x14ac:dyDescent="0.3">
      <c r="A382" t="s">
        <v>875</v>
      </c>
      <c r="B382" t="s">
        <v>896</v>
      </c>
      <c r="C382" t="s">
        <v>414</v>
      </c>
      <c r="D382" s="3">
        <v>50</v>
      </c>
      <c r="E382" s="3">
        <v>152</v>
      </c>
      <c r="F382" s="3">
        <v>661</v>
      </c>
      <c r="G382" s="3">
        <v>80</v>
      </c>
    </row>
    <row r="383" spans="1:7" x14ac:dyDescent="0.3">
      <c r="A383" t="s">
        <v>875</v>
      </c>
      <c r="B383" t="s">
        <v>918</v>
      </c>
      <c r="C383" t="s">
        <v>60</v>
      </c>
      <c r="D383" s="3">
        <v>50</v>
      </c>
      <c r="E383" s="3">
        <v>164</v>
      </c>
      <c r="F383" s="3">
        <v>712</v>
      </c>
      <c r="G383" s="3">
        <v>80</v>
      </c>
    </row>
    <row r="384" spans="1:7" x14ac:dyDescent="0.3">
      <c r="A384" t="s">
        <v>875</v>
      </c>
      <c r="B384" t="s">
        <v>918</v>
      </c>
      <c r="C384" t="s">
        <v>919</v>
      </c>
      <c r="D384" s="3">
        <v>50</v>
      </c>
      <c r="E384" s="3">
        <v>164</v>
      </c>
      <c r="F384" s="3">
        <v>713</v>
      </c>
      <c r="G384" s="3">
        <v>80</v>
      </c>
    </row>
    <row r="385" spans="1:7" x14ac:dyDescent="0.3">
      <c r="A385" t="s">
        <v>536</v>
      </c>
      <c r="B385" t="s">
        <v>587</v>
      </c>
      <c r="C385" t="s">
        <v>60</v>
      </c>
      <c r="D385" s="3">
        <v>30</v>
      </c>
      <c r="E385" s="3">
        <v>174</v>
      </c>
      <c r="F385" s="3">
        <v>750</v>
      </c>
      <c r="G385" s="3">
        <v>80</v>
      </c>
    </row>
    <row r="386" spans="1:7" x14ac:dyDescent="0.3">
      <c r="A386" t="s">
        <v>875</v>
      </c>
      <c r="B386" t="s">
        <v>920</v>
      </c>
      <c r="C386" t="s">
        <v>34</v>
      </c>
      <c r="D386" s="3">
        <v>50</v>
      </c>
      <c r="E386" s="3">
        <v>177</v>
      </c>
      <c r="F386" s="3">
        <v>758</v>
      </c>
      <c r="G386" s="3">
        <v>80</v>
      </c>
    </row>
    <row r="387" spans="1:7" x14ac:dyDescent="0.3">
      <c r="A387" t="s">
        <v>75</v>
      </c>
      <c r="B387" t="s">
        <v>82</v>
      </c>
      <c r="C387" t="s">
        <v>96</v>
      </c>
      <c r="D387" s="3">
        <v>7</v>
      </c>
      <c r="E387" s="3">
        <v>178</v>
      </c>
      <c r="F387" s="3">
        <v>773</v>
      </c>
      <c r="G387" s="3">
        <v>80</v>
      </c>
    </row>
    <row r="388" spans="1:7" x14ac:dyDescent="0.3">
      <c r="A388" t="s">
        <v>709</v>
      </c>
      <c r="B388" t="s">
        <v>710</v>
      </c>
      <c r="C388" t="s">
        <v>711</v>
      </c>
      <c r="D388" s="3">
        <v>32</v>
      </c>
      <c r="E388" s="3">
        <v>180</v>
      </c>
      <c r="F388" s="3">
        <v>805</v>
      </c>
      <c r="G388" s="3">
        <v>80</v>
      </c>
    </row>
    <row r="389" spans="1:7" x14ac:dyDescent="0.3">
      <c r="A389" t="s">
        <v>239</v>
      </c>
      <c r="B389" t="s">
        <v>245</v>
      </c>
      <c r="C389" t="s">
        <v>252</v>
      </c>
      <c r="D389" s="3">
        <v>17</v>
      </c>
      <c r="E389" s="3">
        <v>185</v>
      </c>
      <c r="F389" s="3">
        <v>819</v>
      </c>
      <c r="G389" s="3">
        <v>80</v>
      </c>
    </row>
    <row r="390" spans="1:7" x14ac:dyDescent="0.3">
      <c r="A390" t="s">
        <v>239</v>
      </c>
      <c r="B390" t="s">
        <v>245</v>
      </c>
      <c r="C390" t="s">
        <v>285</v>
      </c>
      <c r="D390" s="3">
        <v>17</v>
      </c>
      <c r="E390" s="3">
        <v>185</v>
      </c>
      <c r="F390" s="3">
        <v>854</v>
      </c>
      <c r="G390" s="3">
        <v>80</v>
      </c>
    </row>
    <row r="391" spans="1:7" x14ac:dyDescent="0.3">
      <c r="A391" t="s">
        <v>790</v>
      </c>
      <c r="B391" t="s">
        <v>791</v>
      </c>
      <c r="C391" t="s">
        <v>807</v>
      </c>
      <c r="D391" s="3">
        <v>37</v>
      </c>
      <c r="E391" s="3">
        <v>194</v>
      </c>
      <c r="F391" s="3">
        <v>917</v>
      </c>
      <c r="G391" s="3">
        <v>80</v>
      </c>
    </row>
    <row r="392" spans="1:7" x14ac:dyDescent="0.3">
      <c r="A392" t="s">
        <v>456</v>
      </c>
      <c r="B392" t="s">
        <v>457</v>
      </c>
      <c r="C392" t="s">
        <v>466</v>
      </c>
      <c r="D392" s="3">
        <v>29</v>
      </c>
      <c r="E392" s="3">
        <v>2</v>
      </c>
      <c r="F392" s="3">
        <v>14</v>
      </c>
      <c r="G392" s="3">
        <v>90</v>
      </c>
    </row>
    <row r="393" spans="1:7" x14ac:dyDescent="0.3">
      <c r="A393" t="s">
        <v>28</v>
      </c>
      <c r="B393" t="s">
        <v>29</v>
      </c>
      <c r="C393" t="s">
        <v>35</v>
      </c>
      <c r="D393" s="3">
        <v>4</v>
      </c>
      <c r="E393" s="3">
        <v>5</v>
      </c>
      <c r="F393" s="3">
        <v>22</v>
      </c>
      <c r="G393" s="3">
        <v>90</v>
      </c>
    </row>
    <row r="394" spans="1:7" x14ac:dyDescent="0.3">
      <c r="A394" t="s">
        <v>28</v>
      </c>
      <c r="B394" t="s">
        <v>37</v>
      </c>
      <c r="C394" t="s">
        <v>40</v>
      </c>
      <c r="D394" s="3">
        <v>4</v>
      </c>
      <c r="E394" s="3">
        <v>15</v>
      </c>
      <c r="F394" s="3">
        <v>45</v>
      </c>
      <c r="G394" s="3">
        <v>90</v>
      </c>
    </row>
    <row r="395" spans="1:7" x14ac:dyDescent="0.3">
      <c r="A395" t="s">
        <v>745</v>
      </c>
      <c r="B395" t="s">
        <v>748</v>
      </c>
      <c r="C395" t="s">
        <v>752</v>
      </c>
      <c r="D395" s="3">
        <v>36</v>
      </c>
      <c r="E395" s="3">
        <v>24</v>
      </c>
      <c r="F395" s="3">
        <v>88</v>
      </c>
      <c r="G395" s="3">
        <v>90</v>
      </c>
    </row>
    <row r="396" spans="1:7" x14ac:dyDescent="0.3">
      <c r="A396" t="s">
        <v>239</v>
      </c>
      <c r="B396" t="s">
        <v>240</v>
      </c>
      <c r="C396" t="s">
        <v>244</v>
      </c>
      <c r="D396" s="3">
        <v>17</v>
      </c>
      <c r="E396" s="3">
        <v>25</v>
      </c>
      <c r="F396" s="3">
        <v>96</v>
      </c>
      <c r="G396" s="3">
        <v>90</v>
      </c>
    </row>
    <row r="397" spans="1:7" x14ac:dyDescent="0.3">
      <c r="A397" t="s">
        <v>158</v>
      </c>
      <c r="B397" t="s">
        <v>159</v>
      </c>
      <c r="C397" t="s">
        <v>60</v>
      </c>
      <c r="D397" s="3">
        <v>13</v>
      </c>
      <c r="E397" s="3">
        <v>38</v>
      </c>
      <c r="F397" s="3">
        <v>145</v>
      </c>
      <c r="G397" s="3">
        <v>90</v>
      </c>
    </row>
    <row r="398" spans="1:7" x14ac:dyDescent="0.3">
      <c r="A398" t="s">
        <v>331</v>
      </c>
      <c r="B398" t="s">
        <v>334</v>
      </c>
      <c r="C398" t="s">
        <v>60</v>
      </c>
      <c r="D398" s="3">
        <v>22</v>
      </c>
      <c r="E398" s="3">
        <v>43</v>
      </c>
      <c r="F398" s="3">
        <v>158</v>
      </c>
      <c r="G398" s="3">
        <v>90</v>
      </c>
    </row>
    <row r="399" spans="1:7" x14ac:dyDescent="0.3">
      <c r="A399" t="s">
        <v>593</v>
      </c>
      <c r="B399" t="s">
        <v>601</v>
      </c>
      <c r="C399" t="s">
        <v>602</v>
      </c>
      <c r="D399" s="3">
        <v>31</v>
      </c>
      <c r="E399" s="3">
        <v>54</v>
      </c>
      <c r="F399" s="3">
        <v>187</v>
      </c>
      <c r="G399" s="3">
        <v>90</v>
      </c>
    </row>
    <row r="400" spans="1:7" x14ac:dyDescent="0.3">
      <c r="A400" t="s">
        <v>593</v>
      </c>
      <c r="B400" t="s">
        <v>617</v>
      </c>
      <c r="C400" t="s">
        <v>246</v>
      </c>
      <c r="D400" s="3">
        <v>31</v>
      </c>
      <c r="E400" s="3">
        <v>61</v>
      </c>
      <c r="F400" s="3">
        <v>216</v>
      </c>
      <c r="G400" s="3">
        <v>90</v>
      </c>
    </row>
    <row r="401" spans="1:7" x14ac:dyDescent="0.3">
      <c r="A401" t="s">
        <v>416</v>
      </c>
      <c r="B401" t="s">
        <v>427</v>
      </c>
      <c r="C401" t="s">
        <v>434</v>
      </c>
      <c r="D401" s="3">
        <v>27</v>
      </c>
      <c r="E401" s="3">
        <v>73</v>
      </c>
      <c r="F401" s="3">
        <v>243</v>
      </c>
      <c r="G401" s="3">
        <v>90</v>
      </c>
    </row>
    <row r="402" spans="1:7" x14ac:dyDescent="0.3">
      <c r="A402" t="s">
        <v>745</v>
      </c>
      <c r="B402" t="s">
        <v>756</v>
      </c>
      <c r="C402" t="s">
        <v>184</v>
      </c>
      <c r="D402" s="3">
        <v>36</v>
      </c>
      <c r="E402" s="3">
        <v>45</v>
      </c>
      <c r="F402" s="3">
        <v>285</v>
      </c>
      <c r="G402" s="3">
        <v>90</v>
      </c>
    </row>
    <row r="403" spans="1:7" x14ac:dyDescent="0.3">
      <c r="A403" t="s">
        <v>745</v>
      </c>
      <c r="B403" t="s">
        <v>757</v>
      </c>
      <c r="C403" t="s">
        <v>778</v>
      </c>
      <c r="D403" s="3">
        <v>36</v>
      </c>
      <c r="E403" s="3">
        <v>79</v>
      </c>
      <c r="F403" s="3">
        <v>309</v>
      </c>
      <c r="G403" s="3">
        <v>90</v>
      </c>
    </row>
    <row r="404" spans="1:7" x14ac:dyDescent="0.3">
      <c r="A404" t="s">
        <v>416</v>
      </c>
      <c r="B404" t="s">
        <v>450</v>
      </c>
      <c r="C404" t="s">
        <v>380</v>
      </c>
      <c r="D404" s="3">
        <v>27</v>
      </c>
      <c r="E404" s="3">
        <v>105</v>
      </c>
      <c r="F404" s="3">
        <v>392</v>
      </c>
      <c r="G404" s="3">
        <v>90</v>
      </c>
    </row>
    <row r="405" spans="1:7" x14ac:dyDescent="0.3">
      <c r="A405" t="s">
        <v>171</v>
      </c>
      <c r="B405" t="s">
        <v>188</v>
      </c>
      <c r="C405" t="s">
        <v>194</v>
      </c>
      <c r="D405" s="3">
        <v>15</v>
      </c>
      <c r="E405" s="3">
        <v>107</v>
      </c>
      <c r="F405" s="3">
        <v>416</v>
      </c>
      <c r="G405" s="3">
        <v>90</v>
      </c>
    </row>
    <row r="406" spans="1:7" x14ac:dyDescent="0.3">
      <c r="A406" t="s">
        <v>363</v>
      </c>
      <c r="B406" t="s">
        <v>366</v>
      </c>
      <c r="C406" t="s">
        <v>372</v>
      </c>
      <c r="D406" s="3">
        <v>26</v>
      </c>
      <c r="E406" s="3">
        <v>108</v>
      </c>
      <c r="F406" s="3">
        <v>455</v>
      </c>
      <c r="G406" s="3">
        <v>90</v>
      </c>
    </row>
    <row r="407" spans="1:7" x14ac:dyDescent="0.3">
      <c r="A407" t="s">
        <v>593</v>
      </c>
      <c r="B407" t="s">
        <v>626</v>
      </c>
      <c r="C407" t="s">
        <v>638</v>
      </c>
      <c r="D407" s="3">
        <v>31</v>
      </c>
      <c r="E407" s="3">
        <v>109</v>
      </c>
      <c r="F407" s="3">
        <v>469</v>
      </c>
      <c r="G407" s="3">
        <v>90</v>
      </c>
    </row>
    <row r="408" spans="1:7" x14ac:dyDescent="0.3">
      <c r="A408" t="s">
        <v>593</v>
      </c>
      <c r="B408" t="s">
        <v>656</v>
      </c>
      <c r="C408" t="s">
        <v>665</v>
      </c>
      <c r="D408" s="3">
        <v>31</v>
      </c>
      <c r="E408" s="3">
        <v>112</v>
      </c>
      <c r="F408" s="3">
        <v>497</v>
      </c>
      <c r="G408" s="3">
        <v>90</v>
      </c>
    </row>
    <row r="409" spans="1:7" x14ac:dyDescent="0.3">
      <c r="A409" t="s">
        <v>875</v>
      </c>
      <c r="B409" t="s">
        <v>893</v>
      </c>
      <c r="C409" t="s">
        <v>235</v>
      </c>
      <c r="D409" s="3">
        <v>50</v>
      </c>
      <c r="E409" s="3">
        <v>116</v>
      </c>
      <c r="F409" s="3">
        <v>521</v>
      </c>
      <c r="G409" s="3">
        <v>90</v>
      </c>
    </row>
    <row r="410" spans="1:7" x14ac:dyDescent="0.3">
      <c r="A410" t="s">
        <v>536</v>
      </c>
      <c r="B410" t="s">
        <v>577</v>
      </c>
      <c r="C410" t="s">
        <v>580</v>
      </c>
      <c r="D410" s="3">
        <v>30</v>
      </c>
      <c r="E410" s="3">
        <v>145</v>
      </c>
      <c r="F410" s="3">
        <v>633</v>
      </c>
      <c r="G410" s="3">
        <v>90</v>
      </c>
    </row>
    <row r="411" spans="1:7" x14ac:dyDescent="0.3">
      <c r="A411" t="s">
        <v>931</v>
      </c>
      <c r="B411" t="s">
        <v>932</v>
      </c>
      <c r="C411" t="s">
        <v>246</v>
      </c>
      <c r="D411" s="3">
        <v>53</v>
      </c>
      <c r="E411" s="3">
        <v>160</v>
      </c>
      <c r="F411" s="3">
        <v>693</v>
      </c>
      <c r="G411" s="3">
        <v>90</v>
      </c>
    </row>
    <row r="412" spans="1:7" x14ac:dyDescent="0.3">
      <c r="A412" t="s">
        <v>875</v>
      </c>
      <c r="B412" t="s">
        <v>918</v>
      </c>
      <c r="C412" t="s">
        <v>353</v>
      </c>
      <c r="D412" s="3">
        <v>50</v>
      </c>
      <c r="E412" s="3">
        <v>164</v>
      </c>
      <c r="F412" s="3">
        <v>710</v>
      </c>
      <c r="G412" s="3">
        <v>90</v>
      </c>
    </row>
    <row r="413" spans="1:7" x14ac:dyDescent="0.3">
      <c r="A413" t="s">
        <v>536</v>
      </c>
      <c r="B413" t="s">
        <v>585</v>
      </c>
      <c r="C413" t="s">
        <v>586</v>
      </c>
      <c r="D413" s="3">
        <v>30</v>
      </c>
      <c r="E413" s="3">
        <v>169</v>
      </c>
      <c r="F413" s="3">
        <v>724</v>
      </c>
      <c r="G413" s="3">
        <v>90</v>
      </c>
    </row>
    <row r="414" spans="1:7" x14ac:dyDescent="0.3">
      <c r="A414" t="s">
        <v>75</v>
      </c>
      <c r="B414" t="s">
        <v>82</v>
      </c>
      <c r="C414" t="s">
        <v>114</v>
      </c>
      <c r="D414" s="3">
        <v>7</v>
      </c>
      <c r="E414" s="3">
        <v>178</v>
      </c>
      <c r="F414" s="3">
        <v>791</v>
      </c>
      <c r="G414" s="3">
        <v>90</v>
      </c>
    </row>
    <row r="415" spans="1:7" x14ac:dyDescent="0.3">
      <c r="A415" t="s">
        <v>456</v>
      </c>
      <c r="B415" t="s">
        <v>532</v>
      </c>
      <c r="C415" t="s">
        <v>533</v>
      </c>
      <c r="D415" s="3">
        <v>29</v>
      </c>
      <c r="E415" s="3">
        <v>179</v>
      </c>
      <c r="F415" s="3">
        <v>801</v>
      </c>
      <c r="G415" s="3">
        <v>90</v>
      </c>
    </row>
    <row r="416" spans="1:7" x14ac:dyDescent="0.3">
      <c r="A416" t="s">
        <v>239</v>
      </c>
      <c r="B416" t="s">
        <v>245</v>
      </c>
      <c r="C416" t="s">
        <v>249</v>
      </c>
      <c r="D416" s="3">
        <v>17</v>
      </c>
      <c r="E416" s="3">
        <v>185</v>
      </c>
      <c r="F416" s="3">
        <v>815</v>
      </c>
      <c r="G416" s="3">
        <v>90</v>
      </c>
    </row>
    <row r="417" spans="1:7" x14ac:dyDescent="0.3">
      <c r="A417" t="s">
        <v>239</v>
      </c>
      <c r="B417" t="s">
        <v>245</v>
      </c>
      <c r="C417" t="s">
        <v>265</v>
      </c>
      <c r="D417" s="3">
        <v>17</v>
      </c>
      <c r="E417" s="3">
        <v>185</v>
      </c>
      <c r="F417" s="3">
        <v>832</v>
      </c>
      <c r="G417" s="3">
        <v>90</v>
      </c>
    </row>
    <row r="418" spans="1:7" x14ac:dyDescent="0.3">
      <c r="A418" t="s">
        <v>790</v>
      </c>
      <c r="B418" t="s">
        <v>791</v>
      </c>
      <c r="C418" t="s">
        <v>797</v>
      </c>
      <c r="D418" s="3">
        <v>37</v>
      </c>
      <c r="E418" s="3">
        <v>194</v>
      </c>
      <c r="F418" s="3">
        <v>902</v>
      </c>
      <c r="G418" s="3">
        <v>90</v>
      </c>
    </row>
    <row r="419" spans="1:7" x14ac:dyDescent="0.3">
      <c r="A419" t="s">
        <v>790</v>
      </c>
      <c r="B419" t="s">
        <v>791</v>
      </c>
      <c r="C419" t="s">
        <v>798</v>
      </c>
      <c r="D419" s="3">
        <v>37</v>
      </c>
      <c r="E419" s="3">
        <v>194</v>
      </c>
      <c r="F419" s="3">
        <v>903</v>
      </c>
      <c r="G419" s="3">
        <v>90</v>
      </c>
    </row>
    <row r="420" spans="1:7" x14ac:dyDescent="0.3">
      <c r="A420" t="s">
        <v>790</v>
      </c>
      <c r="B420" t="s">
        <v>791</v>
      </c>
      <c r="C420" t="s">
        <v>800</v>
      </c>
      <c r="D420" s="3">
        <v>37</v>
      </c>
      <c r="E420" s="3">
        <v>194</v>
      </c>
      <c r="F420" s="3">
        <v>905</v>
      </c>
      <c r="G420" s="3">
        <v>90</v>
      </c>
    </row>
    <row r="421" spans="1:7" x14ac:dyDescent="0.3">
      <c r="A421" t="s">
        <v>456</v>
      </c>
      <c r="B421" t="s">
        <v>457</v>
      </c>
      <c r="C421" t="s">
        <v>465</v>
      </c>
      <c r="D421" s="3">
        <v>29</v>
      </c>
      <c r="E421" s="3">
        <v>2</v>
      </c>
      <c r="F421" s="3">
        <v>13</v>
      </c>
      <c r="G421" s="3">
        <v>100</v>
      </c>
    </row>
    <row r="422" spans="1:7" x14ac:dyDescent="0.3">
      <c r="A422" t="s">
        <v>331</v>
      </c>
      <c r="B422" t="s">
        <v>334</v>
      </c>
      <c r="C422" t="s">
        <v>335</v>
      </c>
      <c r="D422" s="3">
        <v>22</v>
      </c>
      <c r="E422" s="3">
        <v>43</v>
      </c>
      <c r="F422" s="3">
        <v>159</v>
      </c>
      <c r="G422" s="3">
        <v>100</v>
      </c>
    </row>
    <row r="423" spans="1:7" x14ac:dyDescent="0.3">
      <c r="A423" t="s">
        <v>456</v>
      </c>
      <c r="B423" t="s">
        <v>483</v>
      </c>
      <c r="C423" t="s">
        <v>487</v>
      </c>
      <c r="D423" s="3">
        <v>29</v>
      </c>
      <c r="E423" s="3">
        <v>47</v>
      </c>
      <c r="F423" s="3">
        <v>168</v>
      </c>
      <c r="G423" s="3">
        <v>100</v>
      </c>
    </row>
    <row r="424" spans="1:7" x14ac:dyDescent="0.3">
      <c r="A424" t="s">
        <v>593</v>
      </c>
      <c r="B424" t="s">
        <v>601</v>
      </c>
      <c r="C424" t="s">
        <v>610</v>
      </c>
      <c r="D424" s="3">
        <v>31</v>
      </c>
      <c r="E424" s="3">
        <v>54</v>
      </c>
      <c r="F424" s="3">
        <v>196</v>
      </c>
      <c r="G424" s="3">
        <v>100</v>
      </c>
    </row>
    <row r="425" spans="1:7" x14ac:dyDescent="0.3">
      <c r="A425" t="s">
        <v>23</v>
      </c>
      <c r="B425" t="s">
        <v>24</v>
      </c>
      <c r="C425" t="s">
        <v>25</v>
      </c>
      <c r="D425" s="3">
        <v>3</v>
      </c>
      <c r="E425" s="3">
        <v>56</v>
      </c>
      <c r="F425" s="3">
        <v>205</v>
      </c>
      <c r="G425" s="3">
        <v>100</v>
      </c>
    </row>
    <row r="426" spans="1:7" x14ac:dyDescent="0.3">
      <c r="A426" t="s">
        <v>875</v>
      </c>
      <c r="B426" t="s">
        <v>879</v>
      </c>
      <c r="C426" t="s">
        <v>880</v>
      </c>
      <c r="D426" s="3">
        <v>50</v>
      </c>
      <c r="E426" s="3">
        <v>67</v>
      </c>
      <c r="F426" s="3">
        <v>226</v>
      </c>
      <c r="G426" s="3">
        <v>100</v>
      </c>
    </row>
    <row r="427" spans="1:7" x14ac:dyDescent="0.3">
      <c r="A427" t="s">
        <v>536</v>
      </c>
      <c r="B427" t="s">
        <v>553</v>
      </c>
      <c r="C427" t="s">
        <v>554</v>
      </c>
      <c r="D427" s="3">
        <v>30</v>
      </c>
      <c r="E427" s="3">
        <v>69</v>
      </c>
      <c r="F427" s="3">
        <v>228</v>
      </c>
      <c r="G427" s="3">
        <v>100</v>
      </c>
    </row>
    <row r="428" spans="1:7" x14ac:dyDescent="0.3">
      <c r="A428" t="s">
        <v>416</v>
      </c>
      <c r="B428" t="s">
        <v>427</v>
      </c>
      <c r="C428" t="s">
        <v>441</v>
      </c>
      <c r="D428" s="3">
        <v>27</v>
      </c>
      <c r="E428" s="3">
        <v>73</v>
      </c>
      <c r="F428" s="3">
        <v>252</v>
      </c>
      <c r="G428" s="3">
        <v>100</v>
      </c>
    </row>
    <row r="429" spans="1:7" x14ac:dyDescent="0.3">
      <c r="A429" t="s">
        <v>808</v>
      </c>
      <c r="B429" t="s">
        <v>810</v>
      </c>
      <c r="C429" t="s">
        <v>812</v>
      </c>
      <c r="D429" s="3">
        <v>38</v>
      </c>
      <c r="E429" s="3">
        <v>76</v>
      </c>
      <c r="F429" s="3">
        <v>263</v>
      </c>
      <c r="G429" s="3">
        <v>100</v>
      </c>
    </row>
    <row r="430" spans="1:7" x14ac:dyDescent="0.3">
      <c r="A430" t="s">
        <v>808</v>
      </c>
      <c r="B430" t="s">
        <v>810</v>
      </c>
      <c r="C430" t="s">
        <v>816</v>
      </c>
      <c r="D430" s="3">
        <v>38</v>
      </c>
      <c r="E430" s="3">
        <v>76</v>
      </c>
      <c r="F430" s="3">
        <v>268</v>
      </c>
      <c r="G430" s="3">
        <v>100</v>
      </c>
    </row>
    <row r="431" spans="1:7" x14ac:dyDescent="0.3">
      <c r="A431" t="s">
        <v>808</v>
      </c>
      <c r="B431" t="s">
        <v>810</v>
      </c>
      <c r="C431" t="s">
        <v>822</v>
      </c>
      <c r="D431" s="3">
        <v>38</v>
      </c>
      <c r="E431" s="3">
        <v>76</v>
      </c>
      <c r="F431" s="3">
        <v>275</v>
      </c>
      <c r="G431" s="3">
        <v>100</v>
      </c>
    </row>
    <row r="432" spans="1:7" x14ac:dyDescent="0.3">
      <c r="A432" t="s">
        <v>745</v>
      </c>
      <c r="B432" t="s">
        <v>757</v>
      </c>
      <c r="C432" t="s">
        <v>776</v>
      </c>
      <c r="D432" s="3">
        <v>36</v>
      </c>
      <c r="E432" s="3">
        <v>79</v>
      </c>
      <c r="F432" s="3">
        <v>307</v>
      </c>
      <c r="G432" s="3">
        <v>100</v>
      </c>
    </row>
    <row r="433" spans="1:7" x14ac:dyDescent="0.3">
      <c r="A433" t="s">
        <v>966</v>
      </c>
      <c r="B433" t="s">
        <v>967</v>
      </c>
      <c r="C433" t="s">
        <v>968</v>
      </c>
      <c r="D433" s="3">
        <v>60</v>
      </c>
      <c r="E433" s="3">
        <v>87</v>
      </c>
      <c r="F433" s="3">
        <v>336</v>
      </c>
      <c r="G433" s="3">
        <v>100</v>
      </c>
    </row>
    <row r="434" spans="1:7" x14ac:dyDescent="0.3">
      <c r="A434" t="s">
        <v>456</v>
      </c>
      <c r="B434" t="s">
        <v>500</v>
      </c>
      <c r="C434" t="s">
        <v>506</v>
      </c>
      <c r="D434" s="3">
        <v>29</v>
      </c>
      <c r="E434" s="3">
        <v>97</v>
      </c>
      <c r="F434" s="3">
        <v>373</v>
      </c>
      <c r="G434" s="3">
        <v>100</v>
      </c>
    </row>
    <row r="435" spans="1:7" x14ac:dyDescent="0.3">
      <c r="A435" t="s">
        <v>171</v>
      </c>
      <c r="B435" t="s">
        <v>188</v>
      </c>
      <c r="C435" t="s">
        <v>176</v>
      </c>
      <c r="D435" s="3">
        <v>15</v>
      </c>
      <c r="E435" s="3">
        <v>107</v>
      </c>
      <c r="F435" s="3">
        <v>414</v>
      </c>
      <c r="G435" s="3">
        <v>100</v>
      </c>
    </row>
    <row r="436" spans="1:7" x14ac:dyDescent="0.3">
      <c r="A436" t="s">
        <v>171</v>
      </c>
      <c r="B436" t="s">
        <v>188</v>
      </c>
      <c r="C436" t="s">
        <v>182</v>
      </c>
      <c r="D436" s="3">
        <v>15</v>
      </c>
      <c r="E436" s="3">
        <v>107</v>
      </c>
      <c r="F436" s="3">
        <v>421</v>
      </c>
      <c r="G436" s="3">
        <v>100</v>
      </c>
    </row>
    <row r="437" spans="1:7" x14ac:dyDescent="0.3">
      <c r="A437" t="s">
        <v>363</v>
      </c>
      <c r="B437" t="s">
        <v>366</v>
      </c>
      <c r="C437" t="s">
        <v>368</v>
      </c>
      <c r="D437" s="3">
        <v>26</v>
      </c>
      <c r="E437" s="3">
        <v>108</v>
      </c>
      <c r="F437" s="3">
        <v>450</v>
      </c>
      <c r="G437" s="3">
        <v>100</v>
      </c>
    </row>
    <row r="438" spans="1:7" x14ac:dyDescent="0.3">
      <c r="A438" t="s">
        <v>593</v>
      </c>
      <c r="B438" t="s">
        <v>626</v>
      </c>
      <c r="C438" t="s">
        <v>630</v>
      </c>
      <c r="D438" s="3">
        <v>31</v>
      </c>
      <c r="E438" s="3">
        <v>109</v>
      </c>
      <c r="F438" s="3">
        <v>461</v>
      </c>
      <c r="G438" s="3">
        <v>100</v>
      </c>
    </row>
    <row r="439" spans="1:7" x14ac:dyDescent="0.3">
      <c r="A439" t="s">
        <v>593</v>
      </c>
      <c r="B439" t="s">
        <v>626</v>
      </c>
      <c r="C439" t="s">
        <v>654</v>
      </c>
      <c r="D439" s="3">
        <v>31</v>
      </c>
      <c r="E439" s="3">
        <v>109</v>
      </c>
      <c r="F439" s="3">
        <v>485</v>
      </c>
      <c r="G439" s="3">
        <v>100</v>
      </c>
    </row>
    <row r="440" spans="1:7" x14ac:dyDescent="0.3">
      <c r="A440" t="s">
        <v>875</v>
      </c>
      <c r="B440" t="s">
        <v>888</v>
      </c>
      <c r="C440" t="s">
        <v>685</v>
      </c>
      <c r="D440" s="3">
        <v>50</v>
      </c>
      <c r="E440" s="3">
        <v>113</v>
      </c>
      <c r="F440" s="3">
        <v>511</v>
      </c>
      <c r="G440" s="3">
        <v>100</v>
      </c>
    </row>
    <row r="441" spans="1:7" x14ac:dyDescent="0.3">
      <c r="A441" t="s">
        <v>363</v>
      </c>
      <c r="B441" t="s">
        <v>379</v>
      </c>
      <c r="C441" t="s">
        <v>388</v>
      </c>
      <c r="D441" s="3">
        <v>26</v>
      </c>
      <c r="E441" s="3">
        <v>123</v>
      </c>
      <c r="F441" s="3">
        <v>548</v>
      </c>
      <c r="G441" s="3">
        <v>100</v>
      </c>
    </row>
    <row r="442" spans="1:7" x14ac:dyDescent="0.3">
      <c r="A442" t="s">
        <v>363</v>
      </c>
      <c r="B442" t="s">
        <v>379</v>
      </c>
      <c r="C442" t="s">
        <v>329</v>
      </c>
      <c r="D442" s="3">
        <v>26</v>
      </c>
      <c r="E442" s="3">
        <v>123</v>
      </c>
      <c r="F442" s="3">
        <v>549</v>
      </c>
      <c r="G442" s="3">
        <v>100</v>
      </c>
    </row>
    <row r="443" spans="1:7" x14ac:dyDescent="0.3">
      <c r="A443" t="s">
        <v>536</v>
      </c>
      <c r="B443" t="s">
        <v>563</v>
      </c>
      <c r="C443" t="s">
        <v>307</v>
      </c>
      <c r="D443" s="3">
        <v>30</v>
      </c>
      <c r="E443" s="3">
        <v>131</v>
      </c>
      <c r="F443" s="3">
        <v>610</v>
      </c>
      <c r="G443" s="3">
        <v>100</v>
      </c>
    </row>
    <row r="444" spans="1:7" x14ac:dyDescent="0.3">
      <c r="A444" t="s">
        <v>875</v>
      </c>
      <c r="B444" t="s">
        <v>896</v>
      </c>
      <c r="C444" t="s">
        <v>901</v>
      </c>
      <c r="D444" s="3">
        <v>50</v>
      </c>
      <c r="E444" s="3">
        <v>152</v>
      </c>
      <c r="F444" s="3">
        <v>652</v>
      </c>
      <c r="G444" s="3">
        <v>100</v>
      </c>
    </row>
    <row r="445" spans="1:7" x14ac:dyDescent="0.3">
      <c r="A445" t="s">
        <v>861</v>
      </c>
      <c r="B445" t="s">
        <v>862</v>
      </c>
      <c r="C445" t="s">
        <v>747</v>
      </c>
      <c r="D445" s="3">
        <v>46</v>
      </c>
      <c r="E445" s="3">
        <v>170</v>
      </c>
      <c r="F445" s="3">
        <v>728</v>
      </c>
      <c r="G445" s="3">
        <v>100</v>
      </c>
    </row>
    <row r="446" spans="1:7" x14ac:dyDescent="0.3">
      <c r="A446" t="s">
        <v>536</v>
      </c>
      <c r="B446" t="s">
        <v>587</v>
      </c>
      <c r="C446" t="s">
        <v>591</v>
      </c>
      <c r="D446" s="3">
        <v>30</v>
      </c>
      <c r="E446" s="3">
        <v>174</v>
      </c>
      <c r="F446" s="3">
        <v>748</v>
      </c>
      <c r="G446" s="3">
        <v>100</v>
      </c>
    </row>
    <row r="447" spans="1:7" x14ac:dyDescent="0.3">
      <c r="A447" t="s">
        <v>239</v>
      </c>
      <c r="B447" t="s">
        <v>245</v>
      </c>
      <c r="C447" t="s">
        <v>247</v>
      </c>
      <c r="D447" s="3">
        <v>17</v>
      </c>
      <c r="E447" s="3">
        <v>185</v>
      </c>
      <c r="F447" s="3">
        <v>813</v>
      </c>
      <c r="G447" s="3">
        <v>100</v>
      </c>
    </row>
    <row r="448" spans="1:7" x14ac:dyDescent="0.3">
      <c r="A448" t="s">
        <v>239</v>
      </c>
      <c r="B448" t="s">
        <v>245</v>
      </c>
      <c r="C448" t="s">
        <v>271</v>
      </c>
      <c r="D448" s="3">
        <v>17</v>
      </c>
      <c r="E448" s="3">
        <v>185</v>
      </c>
      <c r="F448" s="3">
        <v>838</v>
      </c>
      <c r="G448" s="3">
        <v>100</v>
      </c>
    </row>
    <row r="449" spans="1:7" x14ac:dyDescent="0.3">
      <c r="A449" t="s">
        <v>239</v>
      </c>
      <c r="B449" t="s">
        <v>245</v>
      </c>
      <c r="C449" t="s">
        <v>275</v>
      </c>
      <c r="D449" s="3">
        <v>17</v>
      </c>
      <c r="E449" s="3">
        <v>185</v>
      </c>
      <c r="F449" s="3">
        <v>842</v>
      </c>
      <c r="G449" s="3">
        <v>100</v>
      </c>
    </row>
    <row r="450" spans="1:7" x14ac:dyDescent="0.3">
      <c r="A450" t="s">
        <v>239</v>
      </c>
      <c r="B450" t="s">
        <v>245</v>
      </c>
      <c r="C450" t="s">
        <v>284</v>
      </c>
      <c r="D450" s="3">
        <v>17</v>
      </c>
      <c r="E450" s="3">
        <v>185</v>
      </c>
      <c r="F450" s="3">
        <v>853</v>
      </c>
      <c r="G450" s="3">
        <v>100</v>
      </c>
    </row>
    <row r="451" spans="1:7" x14ac:dyDescent="0.3">
      <c r="A451" t="s">
        <v>239</v>
      </c>
      <c r="B451" t="s">
        <v>245</v>
      </c>
      <c r="C451" t="s">
        <v>291</v>
      </c>
      <c r="D451" s="3">
        <v>17</v>
      </c>
      <c r="E451" s="3">
        <v>185</v>
      </c>
      <c r="F451" s="3">
        <v>860</v>
      </c>
      <c r="G451" s="3">
        <v>100</v>
      </c>
    </row>
    <row r="452" spans="1:7" x14ac:dyDescent="0.3">
      <c r="A452" t="s">
        <v>239</v>
      </c>
      <c r="B452" t="s">
        <v>245</v>
      </c>
      <c r="C452" t="s">
        <v>299</v>
      </c>
      <c r="D452" s="3">
        <v>17</v>
      </c>
      <c r="E452" s="3">
        <v>185</v>
      </c>
      <c r="F452" s="3">
        <v>868</v>
      </c>
      <c r="G452" s="3">
        <v>100</v>
      </c>
    </row>
    <row r="453" spans="1:7" x14ac:dyDescent="0.3">
      <c r="A453" t="s">
        <v>875</v>
      </c>
      <c r="B453" t="s">
        <v>922</v>
      </c>
      <c r="C453" t="s">
        <v>923</v>
      </c>
      <c r="D453" s="3">
        <v>50</v>
      </c>
      <c r="E453" s="3">
        <v>190</v>
      </c>
      <c r="F453" s="3">
        <v>882</v>
      </c>
      <c r="G453" s="3">
        <v>100</v>
      </c>
    </row>
    <row r="454" spans="1:7" x14ac:dyDescent="0.3">
      <c r="A454" t="s">
        <v>875</v>
      </c>
      <c r="B454" t="s">
        <v>922</v>
      </c>
      <c r="C454" t="s">
        <v>290</v>
      </c>
      <c r="D454" s="3">
        <v>50</v>
      </c>
      <c r="E454" s="3">
        <v>190</v>
      </c>
      <c r="F454" s="3">
        <v>884</v>
      </c>
      <c r="G454" s="3">
        <v>100</v>
      </c>
    </row>
    <row r="455" spans="1:7" x14ac:dyDescent="0.3">
      <c r="A455" t="s">
        <v>347</v>
      </c>
      <c r="B455" t="s">
        <v>350</v>
      </c>
      <c r="C455" t="s">
        <v>353</v>
      </c>
      <c r="D455" s="3">
        <v>24</v>
      </c>
      <c r="E455" s="3">
        <v>191</v>
      </c>
      <c r="F455" s="3">
        <v>888</v>
      </c>
      <c r="G455" s="3">
        <v>100</v>
      </c>
    </row>
    <row r="456" spans="1:7" x14ac:dyDescent="0.3">
      <c r="A456" t="s">
        <v>456</v>
      </c>
      <c r="B456" t="s">
        <v>467</v>
      </c>
      <c r="C456" t="s">
        <v>469</v>
      </c>
      <c r="D456" s="3">
        <v>29</v>
      </c>
      <c r="E456" s="3">
        <v>11</v>
      </c>
      <c r="F456" s="3">
        <v>37</v>
      </c>
      <c r="G456" s="3">
        <v>110</v>
      </c>
    </row>
    <row r="457" spans="1:7" x14ac:dyDescent="0.3">
      <c r="A457" t="s">
        <v>712</v>
      </c>
      <c r="B457" t="s">
        <v>713</v>
      </c>
      <c r="C457" t="s">
        <v>716</v>
      </c>
      <c r="D457" s="3">
        <v>33</v>
      </c>
      <c r="E457" s="3">
        <v>28</v>
      </c>
      <c r="F457" s="3">
        <v>106</v>
      </c>
      <c r="G457" s="3">
        <v>110</v>
      </c>
    </row>
    <row r="458" spans="1:7" x14ac:dyDescent="0.3">
      <c r="A458" t="s">
        <v>712</v>
      </c>
      <c r="B458" t="s">
        <v>713</v>
      </c>
      <c r="C458" t="s">
        <v>718</v>
      </c>
      <c r="D458" s="3">
        <v>33</v>
      </c>
      <c r="E458" s="3">
        <v>28</v>
      </c>
      <c r="F458" s="3">
        <v>108</v>
      </c>
      <c r="G458" s="3">
        <v>110</v>
      </c>
    </row>
    <row r="459" spans="1:7" x14ac:dyDescent="0.3">
      <c r="A459" t="s">
        <v>416</v>
      </c>
      <c r="B459" t="s">
        <v>421</v>
      </c>
      <c r="C459" t="s">
        <v>422</v>
      </c>
      <c r="D459" s="3">
        <v>27</v>
      </c>
      <c r="E459" s="3">
        <v>49</v>
      </c>
      <c r="F459" s="3">
        <v>178</v>
      </c>
      <c r="G459" s="3">
        <v>110</v>
      </c>
    </row>
    <row r="460" spans="1:7" x14ac:dyDescent="0.3">
      <c r="A460" t="s">
        <v>536</v>
      </c>
      <c r="B460" t="s">
        <v>551</v>
      </c>
      <c r="C460" t="s">
        <v>552</v>
      </c>
      <c r="D460" s="3">
        <v>30</v>
      </c>
      <c r="E460" s="3">
        <v>59</v>
      </c>
      <c r="F460" s="3">
        <v>210</v>
      </c>
      <c r="G460" s="3">
        <v>110</v>
      </c>
    </row>
    <row r="461" spans="1:7" x14ac:dyDescent="0.3">
      <c r="A461" t="s">
        <v>416</v>
      </c>
      <c r="B461" t="s">
        <v>427</v>
      </c>
      <c r="C461" t="s">
        <v>445</v>
      </c>
      <c r="D461" s="3">
        <v>27</v>
      </c>
      <c r="E461" s="3">
        <v>73</v>
      </c>
      <c r="F461" s="3">
        <v>256</v>
      </c>
      <c r="G461" s="3">
        <v>110</v>
      </c>
    </row>
    <row r="462" spans="1:7" x14ac:dyDescent="0.3">
      <c r="A462" t="s">
        <v>745</v>
      </c>
      <c r="B462" t="s">
        <v>757</v>
      </c>
      <c r="C462" t="s">
        <v>771</v>
      </c>
      <c r="D462" s="3">
        <v>36</v>
      </c>
      <c r="E462" s="3">
        <v>79</v>
      </c>
      <c r="F462" s="3">
        <v>302</v>
      </c>
      <c r="G462" s="3">
        <v>110</v>
      </c>
    </row>
    <row r="463" spans="1:7" x14ac:dyDescent="0.3">
      <c r="A463" t="s">
        <v>171</v>
      </c>
      <c r="B463" t="s">
        <v>172</v>
      </c>
      <c r="C463" t="s">
        <v>177</v>
      </c>
      <c r="D463" s="3">
        <v>15</v>
      </c>
      <c r="E463" s="3">
        <v>91</v>
      </c>
      <c r="F463" s="3">
        <v>349</v>
      </c>
      <c r="G463" s="3">
        <v>110</v>
      </c>
    </row>
    <row r="464" spans="1:7" x14ac:dyDescent="0.3">
      <c r="A464" t="s">
        <v>456</v>
      </c>
      <c r="B464" t="s">
        <v>500</v>
      </c>
      <c r="C464" t="s">
        <v>505</v>
      </c>
      <c r="D464" s="3">
        <v>29</v>
      </c>
      <c r="E464" s="3">
        <v>97</v>
      </c>
      <c r="F464" s="3">
        <v>371</v>
      </c>
      <c r="G464" s="3">
        <v>110</v>
      </c>
    </row>
    <row r="465" spans="1:7" x14ac:dyDescent="0.3">
      <c r="A465" t="s">
        <v>416</v>
      </c>
      <c r="B465" t="s">
        <v>450</v>
      </c>
      <c r="C465" t="s">
        <v>452</v>
      </c>
      <c r="D465" s="3">
        <v>27</v>
      </c>
      <c r="E465" s="3">
        <v>105</v>
      </c>
      <c r="F465" s="3">
        <v>395</v>
      </c>
      <c r="G465" s="3">
        <v>110</v>
      </c>
    </row>
    <row r="466" spans="1:7" x14ac:dyDescent="0.3">
      <c r="A466" t="s">
        <v>456</v>
      </c>
      <c r="B466" t="s">
        <v>507</v>
      </c>
      <c r="C466" t="s">
        <v>510</v>
      </c>
      <c r="D466" s="3">
        <v>29</v>
      </c>
      <c r="E466" s="3">
        <v>106</v>
      </c>
      <c r="F466" s="3">
        <v>402</v>
      </c>
      <c r="G466" s="3">
        <v>110</v>
      </c>
    </row>
    <row r="467" spans="1:7" x14ac:dyDescent="0.3">
      <c r="A467" t="s">
        <v>171</v>
      </c>
      <c r="B467" t="s">
        <v>188</v>
      </c>
      <c r="C467" t="s">
        <v>199</v>
      </c>
      <c r="D467" s="3">
        <v>15</v>
      </c>
      <c r="E467" s="3">
        <v>107</v>
      </c>
      <c r="F467" s="3">
        <v>422</v>
      </c>
      <c r="G467" s="3">
        <v>110</v>
      </c>
    </row>
    <row r="468" spans="1:7" x14ac:dyDescent="0.3">
      <c r="A468" t="s">
        <v>593</v>
      </c>
      <c r="B468" t="s">
        <v>656</v>
      </c>
      <c r="C468" t="s">
        <v>667</v>
      </c>
      <c r="D468" s="3">
        <v>31</v>
      </c>
      <c r="E468" s="3">
        <v>112</v>
      </c>
      <c r="F468" s="3">
        <v>499</v>
      </c>
      <c r="G468" s="3">
        <v>110</v>
      </c>
    </row>
    <row r="469" spans="1:7" x14ac:dyDescent="0.3">
      <c r="A469" t="s">
        <v>593</v>
      </c>
      <c r="B469" t="s">
        <v>656</v>
      </c>
      <c r="C469" t="s">
        <v>668</v>
      </c>
      <c r="D469" s="3">
        <v>31</v>
      </c>
      <c r="E469" s="3">
        <v>112</v>
      </c>
      <c r="F469" s="3">
        <v>500</v>
      </c>
      <c r="G469" s="3">
        <v>110</v>
      </c>
    </row>
    <row r="470" spans="1:7" x14ac:dyDescent="0.3">
      <c r="A470" t="s">
        <v>363</v>
      </c>
      <c r="B470" t="s">
        <v>374</v>
      </c>
      <c r="C470" t="s">
        <v>375</v>
      </c>
      <c r="D470" s="3">
        <v>26</v>
      </c>
      <c r="E470" s="3">
        <v>115</v>
      </c>
      <c r="F470" s="3">
        <v>516</v>
      </c>
      <c r="G470" s="3">
        <v>110</v>
      </c>
    </row>
    <row r="471" spans="1:7" x14ac:dyDescent="0.3">
      <c r="A471" t="s">
        <v>832</v>
      </c>
      <c r="B471" t="s">
        <v>833</v>
      </c>
      <c r="C471" t="s">
        <v>196</v>
      </c>
      <c r="D471" s="3">
        <v>39</v>
      </c>
      <c r="E471" s="3">
        <v>124</v>
      </c>
      <c r="F471" s="3">
        <v>558</v>
      </c>
      <c r="G471" s="3">
        <v>110</v>
      </c>
    </row>
    <row r="472" spans="1:7" x14ac:dyDescent="0.3">
      <c r="A472" t="s">
        <v>536</v>
      </c>
      <c r="B472" t="s">
        <v>573</v>
      </c>
      <c r="C472" t="s">
        <v>117</v>
      </c>
      <c r="D472" s="3">
        <v>30</v>
      </c>
      <c r="E472" s="3">
        <v>142</v>
      </c>
      <c r="F472" s="3">
        <v>627</v>
      </c>
      <c r="G472" s="3">
        <v>110</v>
      </c>
    </row>
    <row r="473" spans="1:7" x14ac:dyDescent="0.3">
      <c r="A473" t="s">
        <v>593</v>
      </c>
      <c r="B473" t="s">
        <v>694</v>
      </c>
      <c r="C473" t="s">
        <v>697</v>
      </c>
      <c r="D473" s="3">
        <v>31</v>
      </c>
      <c r="E473" s="3">
        <v>157</v>
      </c>
      <c r="F473" s="3">
        <v>687</v>
      </c>
      <c r="G473" s="3">
        <v>110</v>
      </c>
    </row>
    <row r="474" spans="1:7" x14ac:dyDescent="0.3">
      <c r="A474" t="s">
        <v>222</v>
      </c>
      <c r="B474" t="s">
        <v>231</v>
      </c>
      <c r="C474" t="s">
        <v>236</v>
      </c>
      <c r="D474" s="3">
        <v>16</v>
      </c>
      <c r="E474" s="3">
        <v>163</v>
      </c>
      <c r="F474" s="3">
        <v>708</v>
      </c>
      <c r="G474" s="3">
        <v>110</v>
      </c>
    </row>
    <row r="475" spans="1:7" x14ac:dyDescent="0.3">
      <c r="A475" t="s">
        <v>321</v>
      </c>
      <c r="B475" t="s">
        <v>322</v>
      </c>
      <c r="C475" t="s">
        <v>21</v>
      </c>
      <c r="D475" s="3">
        <v>21</v>
      </c>
      <c r="E475" s="3">
        <v>173</v>
      </c>
      <c r="F475" s="3">
        <v>736</v>
      </c>
      <c r="G475" s="3">
        <v>110</v>
      </c>
    </row>
    <row r="476" spans="1:7" x14ac:dyDescent="0.3">
      <c r="A476" t="s">
        <v>725</v>
      </c>
      <c r="B476" t="s">
        <v>741</v>
      </c>
      <c r="C476" t="s">
        <v>742</v>
      </c>
      <c r="D476" s="3">
        <v>35</v>
      </c>
      <c r="E476" s="3">
        <v>175</v>
      </c>
      <c r="F476" s="3">
        <v>751</v>
      </c>
      <c r="G476" s="3">
        <v>110</v>
      </c>
    </row>
    <row r="477" spans="1:7" x14ac:dyDescent="0.3">
      <c r="A477" t="s">
        <v>75</v>
      </c>
      <c r="B477" t="s">
        <v>82</v>
      </c>
      <c r="C477" t="s">
        <v>97</v>
      </c>
      <c r="D477" s="3">
        <v>7</v>
      </c>
      <c r="E477" s="3">
        <v>178</v>
      </c>
      <c r="F477" s="3">
        <v>774</v>
      </c>
      <c r="G477" s="3">
        <v>110</v>
      </c>
    </row>
    <row r="478" spans="1:7" x14ac:dyDescent="0.3">
      <c r="A478" t="s">
        <v>239</v>
      </c>
      <c r="B478" t="s">
        <v>245</v>
      </c>
      <c r="C478" t="s">
        <v>290</v>
      </c>
      <c r="D478" s="3">
        <v>17</v>
      </c>
      <c r="E478" s="3">
        <v>185</v>
      </c>
      <c r="F478" s="3">
        <v>859</v>
      </c>
      <c r="G478" s="3">
        <v>110</v>
      </c>
    </row>
    <row r="479" spans="1:7" x14ac:dyDescent="0.3">
      <c r="A479" t="s">
        <v>939</v>
      </c>
      <c r="B479" t="s">
        <v>940</v>
      </c>
      <c r="C479" t="s">
        <v>941</v>
      </c>
      <c r="D479" s="3">
        <v>55</v>
      </c>
      <c r="E479" s="3">
        <v>186</v>
      </c>
      <c r="F479" s="3">
        <v>878</v>
      </c>
      <c r="G479" s="3">
        <v>110</v>
      </c>
    </row>
    <row r="480" spans="1:7" x14ac:dyDescent="0.3">
      <c r="A480" t="s">
        <v>593</v>
      </c>
      <c r="B480" t="s">
        <v>704</v>
      </c>
      <c r="C480" t="s">
        <v>705</v>
      </c>
      <c r="D480" s="3">
        <v>31</v>
      </c>
      <c r="E480" s="3">
        <v>192</v>
      </c>
      <c r="F480" s="3">
        <v>890</v>
      </c>
      <c r="G480" s="3">
        <v>110</v>
      </c>
    </row>
    <row r="481" spans="1:7" x14ac:dyDescent="0.3">
      <c r="A481" t="s">
        <v>456</v>
      </c>
      <c r="B481" t="s">
        <v>457</v>
      </c>
      <c r="C481" t="s">
        <v>460</v>
      </c>
      <c r="D481" s="3">
        <v>29</v>
      </c>
      <c r="E481" s="3">
        <v>2</v>
      </c>
      <c r="F481" s="3">
        <v>8</v>
      </c>
      <c r="G481" s="3">
        <v>120</v>
      </c>
    </row>
    <row r="482" spans="1:7" x14ac:dyDescent="0.3">
      <c r="A482" t="s">
        <v>28</v>
      </c>
      <c r="B482" t="s">
        <v>37</v>
      </c>
      <c r="C482" t="s">
        <v>46</v>
      </c>
      <c r="D482" s="3">
        <v>4</v>
      </c>
      <c r="E482" s="3">
        <v>15</v>
      </c>
      <c r="F482" s="3">
        <v>51</v>
      </c>
      <c r="G482" s="3">
        <v>120</v>
      </c>
    </row>
    <row r="483" spans="1:7" x14ac:dyDescent="0.3">
      <c r="A483" t="s">
        <v>745</v>
      </c>
      <c r="B483" t="s">
        <v>748</v>
      </c>
      <c r="C483" t="s">
        <v>751</v>
      </c>
      <c r="D483" s="3">
        <v>36</v>
      </c>
      <c r="E483" s="3">
        <v>24</v>
      </c>
      <c r="F483" s="3">
        <v>87</v>
      </c>
      <c r="G483" s="3">
        <v>120</v>
      </c>
    </row>
    <row r="484" spans="1:7" x14ac:dyDescent="0.3">
      <c r="A484" t="s">
        <v>712</v>
      </c>
      <c r="B484" t="s">
        <v>713</v>
      </c>
      <c r="C484" t="s">
        <v>721</v>
      </c>
      <c r="D484" s="3">
        <v>33</v>
      </c>
      <c r="E484" s="3">
        <v>28</v>
      </c>
      <c r="F484" s="3">
        <v>112</v>
      </c>
      <c r="G484" s="3">
        <v>120</v>
      </c>
    </row>
    <row r="485" spans="1:7" x14ac:dyDescent="0.3">
      <c r="A485" t="s">
        <v>536</v>
      </c>
      <c r="B485" t="s">
        <v>549</v>
      </c>
      <c r="C485" t="s">
        <v>550</v>
      </c>
      <c r="D485" s="3">
        <v>30</v>
      </c>
      <c r="E485" s="3">
        <v>46</v>
      </c>
      <c r="F485" s="3">
        <v>164</v>
      </c>
      <c r="G485" s="3">
        <v>120</v>
      </c>
    </row>
    <row r="486" spans="1:7" x14ac:dyDescent="0.3">
      <c r="A486" s="9" t="s">
        <v>416</v>
      </c>
      <c r="B486" s="9" t="s">
        <v>424</v>
      </c>
      <c r="C486" s="9" t="s">
        <v>426</v>
      </c>
      <c r="D486" s="3">
        <v>27</v>
      </c>
      <c r="E486" s="3">
        <v>50</v>
      </c>
      <c r="F486" s="3">
        <v>183</v>
      </c>
      <c r="G486" s="3">
        <v>120</v>
      </c>
    </row>
    <row r="487" spans="1:7" x14ac:dyDescent="0.3">
      <c r="A487" s="9" t="s">
        <v>28</v>
      </c>
      <c r="B487" s="9" t="s">
        <v>63</v>
      </c>
      <c r="C487" s="9" t="s">
        <v>65</v>
      </c>
      <c r="D487" s="3">
        <v>4</v>
      </c>
      <c r="E487" s="3">
        <v>65</v>
      </c>
      <c r="F487" s="3">
        <v>222</v>
      </c>
      <c r="G487" s="3">
        <v>120</v>
      </c>
    </row>
    <row r="488" spans="1:7" x14ac:dyDescent="0.3">
      <c r="A488" t="s">
        <v>171</v>
      </c>
      <c r="B488" t="s">
        <v>172</v>
      </c>
      <c r="C488" t="s">
        <v>176</v>
      </c>
      <c r="D488" s="3">
        <v>15</v>
      </c>
      <c r="E488" s="3">
        <v>91</v>
      </c>
      <c r="F488" s="3">
        <v>348</v>
      </c>
      <c r="G488" s="3">
        <v>120</v>
      </c>
    </row>
    <row r="489" spans="1:7" x14ac:dyDescent="0.3">
      <c r="A489" t="s">
        <v>456</v>
      </c>
      <c r="B489" t="s">
        <v>500</v>
      </c>
      <c r="C489" t="s">
        <v>210</v>
      </c>
      <c r="D489" s="3">
        <v>29</v>
      </c>
      <c r="E489" s="3">
        <v>97</v>
      </c>
      <c r="F489" s="3">
        <v>369</v>
      </c>
      <c r="G489" s="3">
        <v>120</v>
      </c>
    </row>
    <row r="490" spans="1:7" x14ac:dyDescent="0.3">
      <c r="A490" t="s">
        <v>593</v>
      </c>
      <c r="B490" t="s">
        <v>626</v>
      </c>
      <c r="C490" t="s">
        <v>635</v>
      </c>
      <c r="D490" s="3">
        <v>31</v>
      </c>
      <c r="E490" s="3">
        <v>109</v>
      </c>
      <c r="F490" s="3">
        <v>466</v>
      </c>
      <c r="G490" s="3">
        <v>120</v>
      </c>
    </row>
    <row r="491" spans="1:7" x14ac:dyDescent="0.3">
      <c r="A491" t="s">
        <v>593</v>
      </c>
      <c r="B491" t="s">
        <v>656</v>
      </c>
      <c r="C491" t="s">
        <v>60</v>
      </c>
      <c r="D491" s="3">
        <v>31</v>
      </c>
      <c r="E491" s="3">
        <v>112</v>
      </c>
      <c r="F491" s="3">
        <v>505</v>
      </c>
      <c r="G491" s="3">
        <v>120</v>
      </c>
    </row>
    <row r="492" spans="1:7" x14ac:dyDescent="0.3">
      <c r="A492" t="s">
        <v>722</v>
      </c>
      <c r="B492" t="s">
        <v>723</v>
      </c>
      <c r="C492" t="s">
        <v>724</v>
      </c>
      <c r="D492" s="3">
        <v>34</v>
      </c>
      <c r="E492" s="3">
        <v>120</v>
      </c>
      <c r="F492" s="3">
        <v>532</v>
      </c>
      <c r="G492" s="3">
        <v>120</v>
      </c>
    </row>
    <row r="493" spans="1:7" x14ac:dyDescent="0.3">
      <c r="A493" t="s">
        <v>363</v>
      </c>
      <c r="B493" t="s">
        <v>379</v>
      </c>
      <c r="C493" t="s">
        <v>383</v>
      </c>
      <c r="D493" s="3">
        <v>26</v>
      </c>
      <c r="E493" s="3">
        <v>123</v>
      </c>
      <c r="F493" s="3">
        <v>540</v>
      </c>
      <c r="G493" s="3">
        <v>120</v>
      </c>
    </row>
    <row r="494" spans="1:7" x14ac:dyDescent="0.3">
      <c r="A494" t="s">
        <v>363</v>
      </c>
      <c r="B494" t="s">
        <v>379</v>
      </c>
      <c r="C494" t="s">
        <v>385</v>
      </c>
      <c r="D494" s="3">
        <v>26</v>
      </c>
      <c r="E494" s="3">
        <v>123</v>
      </c>
      <c r="F494" s="3">
        <v>543</v>
      </c>
      <c r="G494" s="3">
        <v>120</v>
      </c>
    </row>
    <row r="495" spans="1:7" x14ac:dyDescent="0.3">
      <c r="A495" t="s">
        <v>363</v>
      </c>
      <c r="B495" t="s">
        <v>390</v>
      </c>
      <c r="C495" t="s">
        <v>392</v>
      </c>
      <c r="D495" s="3">
        <v>26</v>
      </c>
      <c r="E495" s="3">
        <v>126</v>
      </c>
      <c r="F495" s="3">
        <v>569</v>
      </c>
      <c r="G495" s="3">
        <v>120</v>
      </c>
    </row>
    <row r="496" spans="1:7" x14ac:dyDescent="0.3">
      <c r="A496" t="s">
        <v>363</v>
      </c>
      <c r="B496" t="s">
        <v>390</v>
      </c>
      <c r="C496" t="s">
        <v>395</v>
      </c>
      <c r="D496" s="3">
        <v>26</v>
      </c>
      <c r="E496" s="3">
        <v>126</v>
      </c>
      <c r="F496" s="3">
        <v>573</v>
      </c>
      <c r="G496" s="3">
        <v>120</v>
      </c>
    </row>
    <row r="497" spans="1:7" x14ac:dyDescent="0.3">
      <c r="A497" t="s">
        <v>354</v>
      </c>
      <c r="B497" t="s">
        <v>360</v>
      </c>
      <c r="C497" t="s">
        <v>362</v>
      </c>
      <c r="D497" s="3">
        <v>25</v>
      </c>
      <c r="E497" s="3">
        <v>128</v>
      </c>
      <c r="F497" s="3">
        <v>595</v>
      </c>
      <c r="G497" s="3">
        <v>120</v>
      </c>
    </row>
    <row r="498" spans="1:7" x14ac:dyDescent="0.3">
      <c r="A498" t="s">
        <v>308</v>
      </c>
      <c r="B498" t="s">
        <v>313</v>
      </c>
      <c r="C498" t="s">
        <v>314</v>
      </c>
      <c r="D498" s="3">
        <v>18</v>
      </c>
      <c r="E498" s="3">
        <v>139</v>
      </c>
      <c r="F498" s="3">
        <v>622</v>
      </c>
      <c r="G498" s="3">
        <v>120</v>
      </c>
    </row>
    <row r="499" spans="1:7" x14ac:dyDescent="0.3">
      <c r="A499" t="s">
        <v>536</v>
      </c>
      <c r="B499" t="s">
        <v>577</v>
      </c>
      <c r="C499" t="s">
        <v>579</v>
      </c>
      <c r="D499" s="3">
        <v>30</v>
      </c>
      <c r="E499" s="3">
        <v>145</v>
      </c>
      <c r="F499" s="3">
        <v>632</v>
      </c>
      <c r="G499" s="3">
        <v>120</v>
      </c>
    </row>
    <row r="500" spans="1:7" x14ac:dyDescent="0.3">
      <c r="A500" t="s">
        <v>593</v>
      </c>
      <c r="B500" t="s">
        <v>693</v>
      </c>
      <c r="C500" t="s">
        <v>214</v>
      </c>
      <c r="D500" s="3">
        <v>31</v>
      </c>
      <c r="E500" s="3">
        <v>151</v>
      </c>
      <c r="F500" s="3">
        <v>647</v>
      </c>
      <c r="G500" s="3">
        <v>120</v>
      </c>
    </row>
    <row r="501" spans="1:7" x14ac:dyDescent="0.3">
      <c r="A501" t="s">
        <v>875</v>
      </c>
      <c r="B501" t="s">
        <v>896</v>
      </c>
      <c r="C501" t="s">
        <v>906</v>
      </c>
      <c r="D501" s="3">
        <v>50</v>
      </c>
      <c r="E501" s="3">
        <v>152</v>
      </c>
      <c r="F501" s="3">
        <v>659</v>
      </c>
      <c r="G501" s="3">
        <v>120</v>
      </c>
    </row>
    <row r="502" spans="1:7" x14ac:dyDescent="0.3">
      <c r="A502" t="s">
        <v>875</v>
      </c>
      <c r="B502" t="s">
        <v>896</v>
      </c>
      <c r="C502" t="s">
        <v>911</v>
      </c>
      <c r="D502" s="3">
        <v>50</v>
      </c>
      <c r="E502" s="3">
        <v>152</v>
      </c>
      <c r="F502" s="3">
        <v>667</v>
      </c>
      <c r="G502" s="3">
        <v>120</v>
      </c>
    </row>
    <row r="503" spans="1:7" x14ac:dyDescent="0.3">
      <c r="A503" t="s">
        <v>127</v>
      </c>
      <c r="B503" t="s">
        <v>132</v>
      </c>
      <c r="C503" t="s">
        <v>133</v>
      </c>
      <c r="D503" s="3">
        <v>9</v>
      </c>
      <c r="E503" s="3">
        <v>155</v>
      </c>
      <c r="F503" s="3">
        <v>681</v>
      </c>
      <c r="G503" s="3">
        <v>120</v>
      </c>
    </row>
    <row r="504" spans="1:7" x14ac:dyDescent="0.3">
      <c r="A504" t="s">
        <v>931</v>
      </c>
      <c r="B504" t="s">
        <v>932</v>
      </c>
      <c r="C504" t="s">
        <v>935</v>
      </c>
      <c r="D504" s="3">
        <v>53</v>
      </c>
      <c r="E504" s="3">
        <v>160</v>
      </c>
      <c r="F504" s="3">
        <v>698</v>
      </c>
      <c r="G504" s="3">
        <v>120</v>
      </c>
    </row>
    <row r="505" spans="1:7" x14ac:dyDescent="0.3">
      <c r="A505" t="s">
        <v>321</v>
      </c>
      <c r="B505" t="s">
        <v>322</v>
      </c>
      <c r="C505" t="s">
        <v>327</v>
      </c>
      <c r="D505" s="3">
        <v>21</v>
      </c>
      <c r="E505" s="3">
        <v>173</v>
      </c>
      <c r="F505" s="3">
        <v>739</v>
      </c>
      <c r="G505" s="3">
        <v>120</v>
      </c>
    </row>
    <row r="506" spans="1:7" x14ac:dyDescent="0.3">
      <c r="A506" t="s">
        <v>75</v>
      </c>
      <c r="B506" t="s">
        <v>82</v>
      </c>
      <c r="C506" t="s">
        <v>89</v>
      </c>
      <c r="D506" s="3">
        <v>7</v>
      </c>
      <c r="E506" s="3">
        <v>178</v>
      </c>
      <c r="F506" s="3">
        <v>766</v>
      </c>
      <c r="G506" s="3">
        <v>120</v>
      </c>
    </row>
    <row r="507" spans="1:7" x14ac:dyDescent="0.3">
      <c r="A507" t="s">
        <v>75</v>
      </c>
      <c r="B507" t="s">
        <v>82</v>
      </c>
      <c r="C507" t="s">
        <v>90</v>
      </c>
      <c r="D507" s="3">
        <v>7</v>
      </c>
      <c r="E507" s="3">
        <v>178</v>
      </c>
      <c r="F507" s="3">
        <v>767</v>
      </c>
      <c r="G507" s="3">
        <v>120</v>
      </c>
    </row>
    <row r="508" spans="1:7" x14ac:dyDescent="0.3">
      <c r="A508" t="s">
        <v>75</v>
      </c>
      <c r="B508" t="s">
        <v>82</v>
      </c>
      <c r="C508" t="s">
        <v>94</v>
      </c>
      <c r="D508" s="3">
        <v>7</v>
      </c>
      <c r="E508" s="3">
        <v>178</v>
      </c>
      <c r="F508" s="3">
        <v>771</v>
      </c>
      <c r="G508" s="3">
        <v>120</v>
      </c>
    </row>
    <row r="509" spans="1:7" x14ac:dyDescent="0.3">
      <c r="A509" t="s">
        <v>239</v>
      </c>
      <c r="B509" t="s">
        <v>245</v>
      </c>
      <c r="C509" t="s">
        <v>251</v>
      </c>
      <c r="D509" s="3">
        <v>17</v>
      </c>
      <c r="E509" s="3">
        <v>185</v>
      </c>
      <c r="F509" s="3">
        <v>818</v>
      </c>
      <c r="G509" s="3">
        <v>120</v>
      </c>
    </row>
    <row r="510" spans="1:7" x14ac:dyDescent="0.3">
      <c r="A510" t="s">
        <v>239</v>
      </c>
      <c r="B510" t="s">
        <v>245</v>
      </c>
      <c r="C510" t="s">
        <v>261</v>
      </c>
      <c r="D510" s="3">
        <v>17</v>
      </c>
      <c r="E510" s="3">
        <v>185</v>
      </c>
      <c r="F510" s="3">
        <v>828</v>
      </c>
      <c r="G510" s="3">
        <v>120</v>
      </c>
    </row>
    <row r="511" spans="1:7" x14ac:dyDescent="0.3">
      <c r="A511" t="s">
        <v>239</v>
      </c>
      <c r="B511" t="s">
        <v>245</v>
      </c>
      <c r="C511" t="s">
        <v>292</v>
      </c>
      <c r="D511" s="3">
        <v>17</v>
      </c>
      <c r="E511" s="3">
        <v>185</v>
      </c>
      <c r="F511" s="3">
        <v>861</v>
      </c>
      <c r="G511" s="3">
        <v>120</v>
      </c>
    </row>
    <row r="512" spans="1:7" x14ac:dyDescent="0.3">
      <c r="A512" t="s">
        <v>456</v>
      </c>
      <c r="B512" t="s">
        <v>457</v>
      </c>
      <c r="C512" t="s">
        <v>462</v>
      </c>
      <c r="D512" s="3">
        <v>29</v>
      </c>
      <c r="E512" s="3">
        <v>2</v>
      </c>
      <c r="F512" s="3">
        <v>10</v>
      </c>
      <c r="G512" s="3">
        <v>130</v>
      </c>
    </row>
    <row r="513" spans="1:7" x14ac:dyDescent="0.3">
      <c r="A513" t="s">
        <v>456</v>
      </c>
      <c r="B513" t="s">
        <v>470</v>
      </c>
      <c r="C513" t="s">
        <v>471</v>
      </c>
      <c r="D513" s="3">
        <v>29</v>
      </c>
      <c r="E513" s="3">
        <v>13</v>
      </c>
      <c r="F513" s="3">
        <v>40</v>
      </c>
      <c r="G513" s="3">
        <v>130</v>
      </c>
    </row>
    <row r="514" spans="1:7" x14ac:dyDescent="0.3">
      <c r="A514" t="s">
        <v>725</v>
      </c>
      <c r="B514" t="s">
        <v>728</v>
      </c>
      <c r="C514" t="s">
        <v>326</v>
      </c>
      <c r="D514" s="3">
        <v>35</v>
      </c>
      <c r="E514" s="3">
        <v>34</v>
      </c>
      <c r="F514" s="3">
        <v>126</v>
      </c>
      <c r="G514" s="3">
        <v>130</v>
      </c>
    </row>
    <row r="515" spans="1:7" x14ac:dyDescent="0.3">
      <c r="A515" t="s">
        <v>456</v>
      </c>
      <c r="B515" t="s">
        <v>483</v>
      </c>
      <c r="C515" t="s">
        <v>329</v>
      </c>
      <c r="D515" s="3">
        <v>29</v>
      </c>
      <c r="E515" s="3">
        <v>47</v>
      </c>
      <c r="F515" s="3">
        <v>170</v>
      </c>
      <c r="G515" s="3">
        <v>130</v>
      </c>
    </row>
    <row r="516" spans="1:7" x14ac:dyDescent="0.3">
      <c r="A516" t="s">
        <v>416</v>
      </c>
      <c r="B516" t="s">
        <v>421</v>
      </c>
      <c r="C516" t="s">
        <v>21</v>
      </c>
      <c r="D516" s="3">
        <v>27</v>
      </c>
      <c r="E516" s="3">
        <v>49</v>
      </c>
      <c r="F516" s="3">
        <v>177</v>
      </c>
      <c r="G516" s="3">
        <v>130</v>
      </c>
    </row>
    <row r="517" spans="1:7" x14ac:dyDescent="0.3">
      <c r="A517" t="s">
        <v>317</v>
      </c>
      <c r="B517" t="s">
        <v>318</v>
      </c>
      <c r="C517" t="s">
        <v>320</v>
      </c>
      <c r="D517" s="3">
        <v>20</v>
      </c>
      <c r="E517" s="3">
        <v>60</v>
      </c>
      <c r="F517" s="3">
        <v>213</v>
      </c>
      <c r="G517" s="3">
        <v>130</v>
      </c>
    </row>
    <row r="518" spans="1:7" x14ac:dyDescent="0.3">
      <c r="A518" t="s">
        <v>416</v>
      </c>
      <c r="B518" t="s">
        <v>427</v>
      </c>
      <c r="C518" t="s">
        <v>435</v>
      </c>
      <c r="D518" s="3">
        <v>27</v>
      </c>
      <c r="E518" s="3">
        <v>73</v>
      </c>
      <c r="F518" s="3">
        <v>244</v>
      </c>
      <c r="G518" s="3">
        <v>130</v>
      </c>
    </row>
    <row r="519" spans="1:7" x14ac:dyDescent="0.3">
      <c r="A519" t="s">
        <v>171</v>
      </c>
      <c r="B519" t="s">
        <v>172</v>
      </c>
      <c r="C519" t="s">
        <v>182</v>
      </c>
      <c r="D519" s="3">
        <v>15</v>
      </c>
      <c r="E519" s="3">
        <v>91</v>
      </c>
      <c r="F519" s="3">
        <v>354</v>
      </c>
      <c r="G519" s="3">
        <v>130</v>
      </c>
    </row>
    <row r="520" spans="1:7" x14ac:dyDescent="0.3">
      <c r="A520" t="s">
        <v>354</v>
      </c>
      <c r="B520" t="s">
        <v>355</v>
      </c>
      <c r="C520" t="s">
        <v>357</v>
      </c>
      <c r="D520" s="3">
        <v>25</v>
      </c>
      <c r="E520" s="3">
        <v>102</v>
      </c>
      <c r="F520" s="3">
        <v>382</v>
      </c>
      <c r="G520" s="3">
        <v>130</v>
      </c>
    </row>
    <row r="521" spans="1:7" x14ac:dyDescent="0.3">
      <c r="A521" t="s">
        <v>171</v>
      </c>
      <c r="B521" t="s">
        <v>188</v>
      </c>
      <c r="C521" t="s">
        <v>206</v>
      </c>
      <c r="D521" s="3">
        <v>15</v>
      </c>
      <c r="E521" s="3">
        <v>107</v>
      </c>
      <c r="F521" s="3">
        <v>430</v>
      </c>
      <c r="G521" s="3">
        <v>130</v>
      </c>
    </row>
    <row r="522" spans="1:7" x14ac:dyDescent="0.3">
      <c r="A522" t="s">
        <v>171</v>
      </c>
      <c r="B522" t="s">
        <v>188</v>
      </c>
      <c r="C522" t="s">
        <v>208</v>
      </c>
      <c r="D522" s="3">
        <v>15</v>
      </c>
      <c r="E522" s="3">
        <v>107</v>
      </c>
      <c r="F522" s="3">
        <v>432</v>
      </c>
      <c r="G522" s="3">
        <v>130</v>
      </c>
    </row>
    <row r="523" spans="1:7" x14ac:dyDescent="0.3">
      <c r="A523" t="s">
        <v>950</v>
      </c>
      <c r="B523" t="s">
        <v>953</v>
      </c>
      <c r="C523" t="s">
        <v>836</v>
      </c>
      <c r="D523" s="3">
        <v>57</v>
      </c>
      <c r="E523" s="3">
        <v>111</v>
      </c>
      <c r="F523" s="3">
        <v>487</v>
      </c>
      <c r="G523" s="3">
        <v>130</v>
      </c>
    </row>
    <row r="524" spans="1:7" x14ac:dyDescent="0.3">
      <c r="A524" t="s">
        <v>593</v>
      </c>
      <c r="B524" t="s">
        <v>656</v>
      </c>
      <c r="C524" t="s">
        <v>671</v>
      </c>
      <c r="D524" s="3">
        <v>31</v>
      </c>
      <c r="E524" s="3">
        <v>112</v>
      </c>
      <c r="F524" s="3">
        <v>503</v>
      </c>
      <c r="G524" s="3">
        <v>130</v>
      </c>
    </row>
    <row r="525" spans="1:7" x14ac:dyDescent="0.3">
      <c r="A525" t="s">
        <v>875</v>
      </c>
      <c r="B525" t="s">
        <v>893</v>
      </c>
      <c r="C525" t="s">
        <v>176</v>
      </c>
      <c r="D525" s="3">
        <v>50</v>
      </c>
      <c r="E525" s="3">
        <v>116</v>
      </c>
      <c r="F525" s="3">
        <v>520</v>
      </c>
      <c r="G525" s="3">
        <v>130</v>
      </c>
    </row>
    <row r="526" spans="1:7" x14ac:dyDescent="0.3">
      <c r="A526" t="s">
        <v>843</v>
      </c>
      <c r="B526" t="s">
        <v>844</v>
      </c>
      <c r="C526" t="s">
        <v>505</v>
      </c>
      <c r="D526" s="3">
        <v>40</v>
      </c>
      <c r="E526" s="3">
        <v>118</v>
      </c>
      <c r="F526" s="3">
        <v>528</v>
      </c>
      <c r="G526" s="3">
        <v>130</v>
      </c>
    </row>
    <row r="527" spans="1:7" x14ac:dyDescent="0.3">
      <c r="A527" t="s">
        <v>363</v>
      </c>
      <c r="B527" t="s">
        <v>390</v>
      </c>
      <c r="C527" t="s">
        <v>236</v>
      </c>
      <c r="D527" s="3">
        <v>26</v>
      </c>
      <c r="E527" s="3">
        <v>126</v>
      </c>
      <c r="F527" s="3">
        <v>580</v>
      </c>
      <c r="G527" s="3">
        <v>130</v>
      </c>
    </row>
    <row r="528" spans="1:7" x14ac:dyDescent="0.3">
      <c r="A528" t="s">
        <v>363</v>
      </c>
      <c r="B528" t="s">
        <v>390</v>
      </c>
      <c r="C528" t="s">
        <v>114</v>
      </c>
      <c r="D528" s="3">
        <v>26</v>
      </c>
      <c r="E528" s="3">
        <v>126</v>
      </c>
      <c r="F528" s="3">
        <v>585</v>
      </c>
      <c r="G528" s="3">
        <v>130</v>
      </c>
    </row>
    <row r="529" spans="1:7" x14ac:dyDescent="0.3">
      <c r="A529" t="s">
        <v>536</v>
      </c>
      <c r="B529" t="s">
        <v>563</v>
      </c>
      <c r="C529" t="s">
        <v>565</v>
      </c>
      <c r="D529" s="3">
        <v>30</v>
      </c>
      <c r="E529" s="3">
        <v>131</v>
      </c>
      <c r="F529" s="3">
        <v>601</v>
      </c>
      <c r="G529" s="3">
        <v>130</v>
      </c>
    </row>
    <row r="530" spans="1:7" x14ac:dyDescent="0.3">
      <c r="A530" t="s">
        <v>536</v>
      </c>
      <c r="B530" t="s">
        <v>573</v>
      </c>
      <c r="C530" t="s">
        <v>574</v>
      </c>
      <c r="D530" s="3">
        <v>30</v>
      </c>
      <c r="E530" s="3">
        <v>142</v>
      </c>
      <c r="F530" s="3">
        <v>628</v>
      </c>
      <c r="G530" s="3">
        <v>130</v>
      </c>
    </row>
    <row r="531" spans="1:7" x14ac:dyDescent="0.3">
      <c r="A531" t="s">
        <v>593</v>
      </c>
      <c r="B531" t="s">
        <v>688</v>
      </c>
      <c r="C531" t="s">
        <v>690</v>
      </c>
      <c r="D531" s="3">
        <v>31</v>
      </c>
      <c r="E531" s="3">
        <v>148</v>
      </c>
      <c r="F531" s="3">
        <v>638</v>
      </c>
      <c r="G531" s="3">
        <v>130</v>
      </c>
    </row>
    <row r="532" spans="1:7" x14ac:dyDescent="0.3">
      <c r="A532" t="s">
        <v>75</v>
      </c>
      <c r="B532" t="s">
        <v>82</v>
      </c>
      <c r="C532" t="s">
        <v>106</v>
      </c>
      <c r="D532" s="3">
        <v>7</v>
      </c>
      <c r="E532" s="3">
        <v>178</v>
      </c>
      <c r="F532" s="3">
        <v>783</v>
      </c>
      <c r="G532" s="3">
        <v>130</v>
      </c>
    </row>
    <row r="533" spans="1:7" x14ac:dyDescent="0.3">
      <c r="A533" t="s">
        <v>239</v>
      </c>
      <c r="B533" t="s">
        <v>245</v>
      </c>
      <c r="C533" t="s">
        <v>232</v>
      </c>
      <c r="D533" s="3">
        <v>17</v>
      </c>
      <c r="E533" s="3">
        <v>185</v>
      </c>
      <c r="F533" s="3">
        <v>811</v>
      </c>
      <c r="G533" s="3">
        <v>130</v>
      </c>
    </row>
    <row r="534" spans="1:7" x14ac:dyDescent="0.3">
      <c r="A534" t="s">
        <v>239</v>
      </c>
      <c r="B534" t="s">
        <v>245</v>
      </c>
      <c r="C534" t="s">
        <v>255</v>
      </c>
      <c r="D534" s="3">
        <v>17</v>
      </c>
      <c r="E534" s="3">
        <v>185</v>
      </c>
      <c r="F534" s="3">
        <v>822</v>
      </c>
      <c r="G534" s="3">
        <v>130</v>
      </c>
    </row>
    <row r="535" spans="1:7" x14ac:dyDescent="0.3">
      <c r="A535" t="s">
        <v>158</v>
      </c>
      <c r="B535" t="s">
        <v>159</v>
      </c>
      <c r="C535" t="s">
        <v>167</v>
      </c>
      <c r="D535" s="3">
        <v>13</v>
      </c>
      <c r="E535" s="3">
        <v>38</v>
      </c>
      <c r="F535" s="3">
        <v>146</v>
      </c>
      <c r="G535" s="3">
        <v>140</v>
      </c>
    </row>
    <row r="536" spans="1:7" x14ac:dyDescent="0.3">
      <c r="A536" t="s">
        <v>593</v>
      </c>
      <c r="B536" t="s">
        <v>601</v>
      </c>
      <c r="C536" t="s">
        <v>608</v>
      </c>
      <c r="D536" s="3">
        <v>31</v>
      </c>
      <c r="E536" s="3">
        <v>54</v>
      </c>
      <c r="F536" s="3">
        <v>194</v>
      </c>
      <c r="G536" s="3">
        <v>140</v>
      </c>
    </row>
    <row r="537" spans="1:7" x14ac:dyDescent="0.3">
      <c r="A537" t="s">
        <v>416</v>
      </c>
      <c r="B537" t="s">
        <v>427</v>
      </c>
      <c r="C537" t="s">
        <v>438</v>
      </c>
      <c r="D537" s="3">
        <v>27</v>
      </c>
      <c r="E537" s="3">
        <v>73</v>
      </c>
      <c r="F537" s="3">
        <v>249</v>
      </c>
      <c r="G537" s="3">
        <v>140</v>
      </c>
    </row>
    <row r="538" spans="1:7" x14ac:dyDescent="0.3">
      <c r="A538" t="s">
        <v>864</v>
      </c>
      <c r="B538" t="s">
        <v>867</v>
      </c>
      <c r="C538" t="s">
        <v>468</v>
      </c>
      <c r="D538" s="3">
        <v>47</v>
      </c>
      <c r="E538" s="3">
        <v>74</v>
      </c>
      <c r="F538" s="3">
        <v>259</v>
      </c>
      <c r="G538" s="3">
        <v>140</v>
      </c>
    </row>
    <row r="539" spans="1:7" x14ac:dyDescent="0.3">
      <c r="A539" t="s">
        <v>875</v>
      </c>
      <c r="B539" t="s">
        <v>884</v>
      </c>
      <c r="C539" t="s">
        <v>60</v>
      </c>
      <c r="D539" s="3">
        <v>50</v>
      </c>
      <c r="E539" s="3">
        <v>81</v>
      </c>
      <c r="F539" s="3">
        <v>326</v>
      </c>
      <c r="G539" s="3">
        <v>140</v>
      </c>
    </row>
    <row r="540" spans="1:7" x14ac:dyDescent="0.3">
      <c r="A540" t="s">
        <v>363</v>
      </c>
      <c r="B540" t="s">
        <v>366</v>
      </c>
      <c r="C540" t="s">
        <v>367</v>
      </c>
      <c r="D540" s="3">
        <v>26</v>
      </c>
      <c r="E540" s="3">
        <v>108</v>
      </c>
      <c r="F540" s="3">
        <v>449</v>
      </c>
      <c r="G540" s="3">
        <v>140</v>
      </c>
    </row>
    <row r="541" spans="1:7" x14ac:dyDescent="0.3">
      <c r="A541" t="s">
        <v>593</v>
      </c>
      <c r="B541" t="s">
        <v>626</v>
      </c>
      <c r="C541" t="s">
        <v>633</v>
      </c>
      <c r="D541" s="3">
        <v>31</v>
      </c>
      <c r="E541" s="3">
        <v>109</v>
      </c>
      <c r="F541" s="3">
        <v>464</v>
      </c>
      <c r="G541" s="3">
        <v>140</v>
      </c>
    </row>
    <row r="542" spans="1:7" x14ac:dyDescent="0.3">
      <c r="A542" t="s">
        <v>593</v>
      </c>
      <c r="B542" t="s">
        <v>656</v>
      </c>
      <c r="C542" t="s">
        <v>670</v>
      </c>
      <c r="D542" s="3">
        <v>31</v>
      </c>
      <c r="E542" s="3">
        <v>112</v>
      </c>
      <c r="F542" s="3">
        <v>502</v>
      </c>
      <c r="G542" s="3">
        <v>140</v>
      </c>
    </row>
    <row r="543" spans="1:7" x14ac:dyDescent="0.3">
      <c r="A543" t="s">
        <v>593</v>
      </c>
      <c r="B543" t="s">
        <v>656</v>
      </c>
      <c r="C543" t="s">
        <v>674</v>
      </c>
      <c r="D543" s="3">
        <v>31</v>
      </c>
      <c r="E543" s="3">
        <v>112</v>
      </c>
      <c r="F543" s="3">
        <v>508</v>
      </c>
      <c r="G543" s="3">
        <v>140</v>
      </c>
    </row>
    <row r="544" spans="1:7" x14ac:dyDescent="0.3">
      <c r="A544" t="s">
        <v>875</v>
      </c>
      <c r="B544" t="s">
        <v>893</v>
      </c>
      <c r="C544" t="s">
        <v>895</v>
      </c>
      <c r="D544" s="3">
        <v>50</v>
      </c>
      <c r="E544" s="3">
        <v>116</v>
      </c>
      <c r="F544" s="3">
        <v>523</v>
      </c>
      <c r="G544" s="3">
        <v>140</v>
      </c>
    </row>
    <row r="545" spans="1:7" x14ac:dyDescent="0.3">
      <c r="A545" t="s">
        <v>456</v>
      </c>
      <c r="B545" t="s">
        <v>519</v>
      </c>
      <c r="C545" t="s">
        <v>213</v>
      </c>
      <c r="D545" s="3">
        <v>29</v>
      </c>
      <c r="E545" s="3">
        <v>119</v>
      </c>
      <c r="F545" s="3">
        <v>530</v>
      </c>
      <c r="G545" s="3">
        <v>140</v>
      </c>
    </row>
    <row r="546" spans="1:7" x14ac:dyDescent="0.3">
      <c r="A546" t="s">
        <v>363</v>
      </c>
      <c r="B546" t="s">
        <v>390</v>
      </c>
      <c r="C546" t="s">
        <v>391</v>
      </c>
      <c r="D546" s="3">
        <v>26</v>
      </c>
      <c r="E546" s="3">
        <v>126</v>
      </c>
      <c r="F546" s="3">
        <v>568</v>
      </c>
      <c r="G546" s="3">
        <v>140</v>
      </c>
    </row>
    <row r="547" spans="1:7" x14ac:dyDescent="0.3">
      <c r="A547" t="s">
        <v>354</v>
      </c>
      <c r="B547" t="s">
        <v>360</v>
      </c>
      <c r="C547" t="s">
        <v>361</v>
      </c>
      <c r="D547" s="3">
        <v>25</v>
      </c>
      <c r="E547" s="3">
        <v>128</v>
      </c>
      <c r="F547" s="3">
        <v>594</v>
      </c>
      <c r="G547" s="3">
        <v>140</v>
      </c>
    </row>
    <row r="548" spans="1:7" x14ac:dyDescent="0.3">
      <c r="A548" t="s">
        <v>536</v>
      </c>
      <c r="B548" t="s">
        <v>563</v>
      </c>
      <c r="C548" t="s">
        <v>568</v>
      </c>
      <c r="D548" s="3">
        <v>30</v>
      </c>
      <c r="E548" s="3">
        <v>131</v>
      </c>
      <c r="F548" s="3">
        <v>606</v>
      </c>
      <c r="G548" s="3">
        <v>140</v>
      </c>
    </row>
    <row r="549" spans="1:7" x14ac:dyDescent="0.3">
      <c r="A549" t="s">
        <v>536</v>
      </c>
      <c r="B549" t="s">
        <v>563</v>
      </c>
      <c r="C549" t="s">
        <v>18</v>
      </c>
      <c r="D549" s="3">
        <v>30</v>
      </c>
      <c r="E549" s="3">
        <v>131</v>
      </c>
      <c r="F549" s="3">
        <v>609</v>
      </c>
      <c r="G549" s="3">
        <v>140</v>
      </c>
    </row>
    <row r="550" spans="1:7" x14ac:dyDescent="0.3">
      <c r="A550" t="s">
        <v>875</v>
      </c>
      <c r="B550" t="s">
        <v>896</v>
      </c>
      <c r="C550" t="s">
        <v>917</v>
      </c>
      <c r="D550" s="3">
        <v>50</v>
      </c>
      <c r="E550" s="3">
        <v>152</v>
      </c>
      <c r="F550" s="3">
        <v>678</v>
      </c>
      <c r="G550" s="3">
        <v>140</v>
      </c>
    </row>
    <row r="551" spans="1:7" x14ac:dyDescent="0.3">
      <c r="A551" t="s">
        <v>222</v>
      </c>
      <c r="B551" t="s">
        <v>231</v>
      </c>
      <c r="C551" t="s">
        <v>235</v>
      </c>
      <c r="D551" s="3">
        <v>16</v>
      </c>
      <c r="E551" s="3">
        <v>163</v>
      </c>
      <c r="F551" s="3">
        <v>707</v>
      </c>
      <c r="G551" s="3">
        <v>140</v>
      </c>
    </row>
    <row r="552" spans="1:7" x14ac:dyDescent="0.3">
      <c r="A552" t="s">
        <v>321</v>
      </c>
      <c r="B552" t="s">
        <v>322</v>
      </c>
      <c r="C552" t="s">
        <v>330</v>
      </c>
      <c r="D552" s="3">
        <v>21</v>
      </c>
      <c r="E552" s="3">
        <v>173</v>
      </c>
      <c r="F552" s="3">
        <v>743</v>
      </c>
      <c r="G552" s="3">
        <v>140</v>
      </c>
    </row>
    <row r="553" spans="1:7" x14ac:dyDescent="0.3">
      <c r="A553" t="s">
        <v>75</v>
      </c>
      <c r="B553" t="s">
        <v>82</v>
      </c>
      <c r="C553" t="s">
        <v>107</v>
      </c>
      <c r="D553" s="3">
        <v>7</v>
      </c>
      <c r="E553" s="3">
        <v>178</v>
      </c>
      <c r="F553" s="3">
        <v>784</v>
      </c>
      <c r="G553" s="3">
        <v>140</v>
      </c>
    </row>
    <row r="554" spans="1:7" x14ac:dyDescent="0.3">
      <c r="A554" t="s">
        <v>239</v>
      </c>
      <c r="B554" t="s">
        <v>245</v>
      </c>
      <c r="C554" t="s">
        <v>304</v>
      </c>
      <c r="D554" s="3">
        <v>17</v>
      </c>
      <c r="E554" s="3">
        <v>185</v>
      </c>
      <c r="F554" s="3">
        <v>874</v>
      </c>
      <c r="G554" s="3">
        <v>140</v>
      </c>
    </row>
    <row r="555" spans="1:7" x14ac:dyDescent="0.3">
      <c r="A555" t="s">
        <v>239</v>
      </c>
      <c r="B555" t="s">
        <v>245</v>
      </c>
      <c r="C555" t="s">
        <v>307</v>
      </c>
      <c r="D555" s="3">
        <v>17</v>
      </c>
      <c r="E555" s="3">
        <v>185</v>
      </c>
      <c r="F555" s="3">
        <v>877</v>
      </c>
      <c r="G555" s="3">
        <v>140</v>
      </c>
    </row>
    <row r="556" spans="1:7" x14ac:dyDescent="0.3">
      <c r="A556" t="s">
        <v>593</v>
      </c>
      <c r="B556" t="s">
        <v>704</v>
      </c>
      <c r="C556" t="s">
        <v>706</v>
      </c>
      <c r="D556" s="3">
        <v>31</v>
      </c>
      <c r="E556" s="3">
        <v>192</v>
      </c>
      <c r="F556" s="3">
        <v>891</v>
      </c>
      <c r="G556" s="3">
        <v>140</v>
      </c>
    </row>
    <row r="557" spans="1:7" x14ac:dyDescent="0.3">
      <c r="A557" t="s">
        <v>28</v>
      </c>
      <c r="B557" t="s">
        <v>37</v>
      </c>
      <c r="C557" t="s">
        <v>58</v>
      </c>
      <c r="D557" s="3">
        <v>4</v>
      </c>
      <c r="E557" s="3">
        <v>15</v>
      </c>
      <c r="F557" s="3">
        <v>64</v>
      </c>
      <c r="G557" s="3">
        <v>150</v>
      </c>
    </row>
    <row r="558" spans="1:7" x14ac:dyDescent="0.3">
      <c r="A558" t="s">
        <v>712</v>
      </c>
      <c r="B558" t="s">
        <v>713</v>
      </c>
      <c r="C558" t="s">
        <v>720</v>
      </c>
      <c r="D558" s="3">
        <v>33</v>
      </c>
      <c r="E558" s="3">
        <v>28</v>
      </c>
      <c r="F558" s="3">
        <v>110</v>
      </c>
      <c r="G558" s="3">
        <v>150</v>
      </c>
    </row>
    <row r="559" spans="1:7" x14ac:dyDescent="0.3">
      <c r="A559" t="s">
        <v>725</v>
      </c>
      <c r="B559" t="s">
        <v>728</v>
      </c>
      <c r="C559" t="s">
        <v>290</v>
      </c>
      <c r="D559" s="3">
        <v>35</v>
      </c>
      <c r="E559" s="3">
        <v>34</v>
      </c>
      <c r="F559" s="3">
        <v>128</v>
      </c>
      <c r="G559" s="3">
        <v>150</v>
      </c>
    </row>
    <row r="560" spans="1:7" x14ac:dyDescent="0.3">
      <c r="A560" t="s">
        <v>134</v>
      </c>
      <c r="B560" t="s">
        <v>135</v>
      </c>
      <c r="C560" t="s">
        <v>137</v>
      </c>
      <c r="D560" s="3">
        <v>10</v>
      </c>
      <c r="E560" s="3">
        <v>48</v>
      </c>
      <c r="F560" s="3">
        <v>172</v>
      </c>
      <c r="G560" s="3">
        <v>150</v>
      </c>
    </row>
    <row r="561" spans="1:7" x14ac:dyDescent="0.3">
      <c r="A561" t="s">
        <v>593</v>
      </c>
      <c r="B561" t="s">
        <v>601</v>
      </c>
      <c r="C561" t="s">
        <v>615</v>
      </c>
      <c r="D561" s="3">
        <v>31</v>
      </c>
      <c r="E561" s="3">
        <v>54</v>
      </c>
      <c r="F561" s="3">
        <v>202</v>
      </c>
      <c r="G561" s="3">
        <v>150</v>
      </c>
    </row>
    <row r="562" spans="1:7" x14ac:dyDescent="0.3">
      <c r="A562" t="s">
        <v>808</v>
      </c>
      <c r="B562" t="s">
        <v>810</v>
      </c>
      <c r="C562" t="s">
        <v>99</v>
      </c>
      <c r="D562" s="3">
        <v>38</v>
      </c>
      <c r="E562" s="3">
        <v>76</v>
      </c>
      <c r="F562" s="3">
        <v>269</v>
      </c>
      <c r="G562" s="3">
        <v>150</v>
      </c>
    </row>
    <row r="563" spans="1:7" x14ac:dyDescent="0.3">
      <c r="A563" t="s">
        <v>593</v>
      </c>
      <c r="B563" t="s">
        <v>621</v>
      </c>
      <c r="C563" t="s">
        <v>625</v>
      </c>
      <c r="D563" s="3">
        <v>31</v>
      </c>
      <c r="E563" s="3">
        <v>98</v>
      </c>
      <c r="F563" s="3">
        <v>377</v>
      </c>
      <c r="G563" s="3">
        <v>150</v>
      </c>
    </row>
    <row r="564" spans="1:7" x14ac:dyDescent="0.3">
      <c r="A564" t="s">
        <v>416</v>
      </c>
      <c r="B564" t="s">
        <v>450</v>
      </c>
      <c r="C564" t="s">
        <v>213</v>
      </c>
      <c r="D564" s="3">
        <v>27</v>
      </c>
      <c r="E564" s="3">
        <v>105</v>
      </c>
      <c r="F564" s="3">
        <v>397</v>
      </c>
      <c r="G564" s="3">
        <v>150</v>
      </c>
    </row>
    <row r="565" spans="1:7" x14ac:dyDescent="0.3">
      <c r="A565" t="s">
        <v>171</v>
      </c>
      <c r="B565" t="s">
        <v>188</v>
      </c>
      <c r="C565" t="s">
        <v>114</v>
      </c>
      <c r="D565" s="3">
        <v>15</v>
      </c>
      <c r="E565" s="3">
        <v>107</v>
      </c>
      <c r="F565" s="3">
        <v>437</v>
      </c>
      <c r="G565" s="3">
        <v>150</v>
      </c>
    </row>
    <row r="566" spans="1:7" x14ac:dyDescent="0.3">
      <c r="A566" t="s">
        <v>593</v>
      </c>
      <c r="B566" t="s">
        <v>656</v>
      </c>
      <c r="C566" t="s">
        <v>672</v>
      </c>
      <c r="D566" s="3">
        <v>31</v>
      </c>
      <c r="E566" s="3">
        <v>112</v>
      </c>
      <c r="F566" s="3">
        <v>504</v>
      </c>
      <c r="G566" s="3">
        <v>150</v>
      </c>
    </row>
    <row r="567" spans="1:7" x14ac:dyDescent="0.3">
      <c r="A567" t="s">
        <v>363</v>
      </c>
      <c r="B567" t="s">
        <v>379</v>
      </c>
      <c r="C567" t="s">
        <v>217</v>
      </c>
      <c r="D567" s="3">
        <v>26</v>
      </c>
      <c r="E567" s="3">
        <v>123</v>
      </c>
      <c r="F567" s="3">
        <v>550</v>
      </c>
      <c r="G567" s="3">
        <v>150</v>
      </c>
    </row>
    <row r="568" spans="1:7" x14ac:dyDescent="0.3">
      <c r="A568" t="s">
        <v>593</v>
      </c>
      <c r="B568" t="s">
        <v>683</v>
      </c>
      <c r="C568" t="s">
        <v>687</v>
      </c>
      <c r="D568" s="3">
        <v>31</v>
      </c>
      <c r="E568" s="3">
        <v>136</v>
      </c>
      <c r="F568" s="3">
        <v>619</v>
      </c>
      <c r="G568" s="3">
        <v>150</v>
      </c>
    </row>
    <row r="569" spans="1:7" x14ac:dyDescent="0.3">
      <c r="A569" t="s">
        <v>875</v>
      </c>
      <c r="B569" t="s">
        <v>896</v>
      </c>
      <c r="C569" t="s">
        <v>891</v>
      </c>
      <c r="D569" s="3">
        <v>50</v>
      </c>
      <c r="E569" s="3">
        <v>152</v>
      </c>
      <c r="F569" s="3">
        <v>672</v>
      </c>
      <c r="G569" s="3">
        <v>150</v>
      </c>
    </row>
    <row r="570" spans="1:7" x14ac:dyDescent="0.3">
      <c r="A570" t="s">
        <v>875</v>
      </c>
      <c r="B570" t="s">
        <v>896</v>
      </c>
      <c r="C570" t="s">
        <v>914</v>
      </c>
      <c r="D570" s="3">
        <v>50</v>
      </c>
      <c r="E570" s="3">
        <v>152</v>
      </c>
      <c r="F570" s="3">
        <v>675</v>
      </c>
      <c r="G570" s="3">
        <v>150</v>
      </c>
    </row>
    <row r="571" spans="1:7" x14ac:dyDescent="0.3">
      <c r="A571" t="s">
        <v>931</v>
      </c>
      <c r="B571" t="s">
        <v>932</v>
      </c>
      <c r="C571" t="s">
        <v>179</v>
      </c>
      <c r="D571" s="3">
        <v>53</v>
      </c>
      <c r="E571" s="3">
        <v>160</v>
      </c>
      <c r="F571" s="3">
        <v>696</v>
      </c>
      <c r="G571" s="3">
        <v>150</v>
      </c>
    </row>
    <row r="572" spans="1:7" x14ac:dyDescent="0.3">
      <c r="A572" t="s">
        <v>536</v>
      </c>
      <c r="B572" t="s">
        <v>587</v>
      </c>
      <c r="C572" t="s">
        <v>590</v>
      </c>
      <c r="D572" s="3">
        <v>30</v>
      </c>
      <c r="E572" s="3">
        <v>174</v>
      </c>
      <c r="F572" s="3">
        <v>746</v>
      </c>
      <c r="G572" s="3">
        <v>150</v>
      </c>
    </row>
    <row r="573" spans="1:7" x14ac:dyDescent="0.3">
      <c r="A573" t="s">
        <v>75</v>
      </c>
      <c r="B573" t="s">
        <v>82</v>
      </c>
      <c r="C573" t="s">
        <v>123</v>
      </c>
      <c r="D573" s="3">
        <v>7</v>
      </c>
      <c r="E573" s="3">
        <v>178</v>
      </c>
      <c r="F573" s="3">
        <v>800</v>
      </c>
      <c r="G573" s="3">
        <v>150</v>
      </c>
    </row>
    <row r="574" spans="1:7" x14ac:dyDescent="0.3">
      <c r="A574" t="s">
        <v>239</v>
      </c>
      <c r="B574" t="s">
        <v>245</v>
      </c>
      <c r="C574" t="s">
        <v>262</v>
      </c>
      <c r="D574" s="3">
        <v>17</v>
      </c>
      <c r="E574" s="3">
        <v>185</v>
      </c>
      <c r="F574" s="3">
        <v>829</v>
      </c>
      <c r="G574" s="3">
        <v>150</v>
      </c>
    </row>
    <row r="575" spans="1:7" x14ac:dyDescent="0.3">
      <c r="A575" t="s">
        <v>239</v>
      </c>
      <c r="B575" t="s">
        <v>245</v>
      </c>
      <c r="C575" t="s">
        <v>264</v>
      </c>
      <c r="D575" s="3">
        <v>17</v>
      </c>
      <c r="E575" s="3">
        <v>185</v>
      </c>
      <c r="F575" s="3">
        <v>831</v>
      </c>
      <c r="G575" s="3">
        <v>150</v>
      </c>
    </row>
    <row r="576" spans="1:7" x14ac:dyDescent="0.3">
      <c r="A576" t="s">
        <v>239</v>
      </c>
      <c r="B576" t="s">
        <v>245</v>
      </c>
      <c r="C576" t="s">
        <v>278</v>
      </c>
      <c r="D576" s="3">
        <v>17</v>
      </c>
      <c r="E576" s="3">
        <v>185</v>
      </c>
      <c r="F576" s="3">
        <v>846</v>
      </c>
      <c r="G576" s="3">
        <v>150</v>
      </c>
    </row>
    <row r="577" spans="1:7" x14ac:dyDescent="0.3">
      <c r="A577" t="s">
        <v>347</v>
      </c>
      <c r="B577" t="s">
        <v>350</v>
      </c>
      <c r="C577" t="s">
        <v>352</v>
      </c>
      <c r="D577" s="3">
        <v>24</v>
      </c>
      <c r="E577" s="3">
        <v>191</v>
      </c>
      <c r="F577" s="3">
        <v>886</v>
      </c>
      <c r="G577" s="3">
        <v>150</v>
      </c>
    </row>
    <row r="578" spans="1:7" x14ac:dyDescent="0.3">
      <c r="A578" t="s">
        <v>456</v>
      </c>
      <c r="B578" t="s">
        <v>489</v>
      </c>
      <c r="C578" t="s">
        <v>491</v>
      </c>
      <c r="D578" s="3">
        <v>29</v>
      </c>
      <c r="E578" s="3">
        <v>55</v>
      </c>
      <c r="F578" s="3">
        <v>204</v>
      </c>
      <c r="G578" s="3">
        <v>160</v>
      </c>
    </row>
    <row r="579" spans="1:7" x14ac:dyDescent="0.3">
      <c r="A579" t="s">
        <v>416</v>
      </c>
      <c r="B579" t="s">
        <v>427</v>
      </c>
      <c r="C579" t="s">
        <v>439</v>
      </c>
      <c r="D579" s="3">
        <v>27</v>
      </c>
      <c r="E579" s="3">
        <v>73</v>
      </c>
      <c r="F579" s="3">
        <v>250</v>
      </c>
      <c r="G579" s="3">
        <v>160</v>
      </c>
    </row>
    <row r="580" spans="1:7" x14ac:dyDescent="0.3">
      <c r="A580" t="s">
        <v>416</v>
      </c>
      <c r="B580" t="s">
        <v>427</v>
      </c>
      <c r="C580" t="s">
        <v>446</v>
      </c>
      <c r="D580" s="3">
        <v>27</v>
      </c>
      <c r="E580" s="3">
        <v>73</v>
      </c>
      <c r="F580" s="3">
        <v>258</v>
      </c>
      <c r="G580" s="3">
        <v>160</v>
      </c>
    </row>
    <row r="581" spans="1:7" x14ac:dyDescent="0.3">
      <c r="A581" t="s">
        <v>808</v>
      </c>
      <c r="B581" t="s">
        <v>810</v>
      </c>
      <c r="C581" t="s">
        <v>823</v>
      </c>
      <c r="D581" s="3">
        <v>38</v>
      </c>
      <c r="E581" s="3">
        <v>76</v>
      </c>
      <c r="F581" s="3">
        <v>276</v>
      </c>
      <c r="G581" s="3">
        <v>160</v>
      </c>
    </row>
    <row r="582" spans="1:7" x14ac:dyDescent="0.3">
      <c r="A582" t="s">
        <v>745</v>
      </c>
      <c r="B582" t="s">
        <v>757</v>
      </c>
      <c r="C582" t="s">
        <v>759</v>
      </c>
      <c r="D582" s="3">
        <v>36</v>
      </c>
      <c r="E582" s="3">
        <v>79</v>
      </c>
      <c r="F582" s="3">
        <v>287</v>
      </c>
      <c r="G582" s="3">
        <v>160</v>
      </c>
    </row>
    <row r="583" spans="1:7" x14ac:dyDescent="0.3">
      <c r="A583" t="s">
        <v>745</v>
      </c>
      <c r="B583" t="s">
        <v>757</v>
      </c>
      <c r="C583" t="s">
        <v>761</v>
      </c>
      <c r="D583" s="3">
        <v>36</v>
      </c>
      <c r="E583" s="3">
        <v>79</v>
      </c>
      <c r="F583" s="3">
        <v>291</v>
      </c>
      <c r="G583" s="3">
        <v>160</v>
      </c>
    </row>
    <row r="584" spans="1:7" x14ac:dyDescent="0.3">
      <c r="A584" t="s">
        <v>745</v>
      </c>
      <c r="B584" t="s">
        <v>757</v>
      </c>
      <c r="C584" t="s">
        <v>770</v>
      </c>
      <c r="D584" s="3">
        <v>36</v>
      </c>
      <c r="E584" s="3">
        <v>79</v>
      </c>
      <c r="F584" s="3">
        <v>301</v>
      </c>
      <c r="G584" s="3">
        <v>160</v>
      </c>
    </row>
    <row r="585" spans="1:7" x14ac:dyDescent="0.3">
      <c r="A585" t="s">
        <v>171</v>
      </c>
      <c r="B585" t="s">
        <v>172</v>
      </c>
      <c r="C585" t="s">
        <v>179</v>
      </c>
      <c r="D585" s="3">
        <v>15</v>
      </c>
      <c r="E585" s="3">
        <v>91</v>
      </c>
      <c r="F585" s="3">
        <v>351</v>
      </c>
      <c r="G585" s="3">
        <v>160</v>
      </c>
    </row>
    <row r="586" spans="1:7" x14ac:dyDescent="0.3">
      <c r="A586" t="s">
        <v>171</v>
      </c>
      <c r="B586" t="s">
        <v>172</v>
      </c>
      <c r="C586" t="s">
        <v>184</v>
      </c>
      <c r="D586" s="3">
        <v>15</v>
      </c>
      <c r="E586" s="3">
        <v>91</v>
      </c>
      <c r="F586" s="3">
        <v>356</v>
      </c>
      <c r="G586" s="3">
        <v>160</v>
      </c>
    </row>
    <row r="587" spans="1:7" x14ac:dyDescent="0.3">
      <c r="A587" t="s">
        <v>363</v>
      </c>
      <c r="B587" t="s">
        <v>374</v>
      </c>
      <c r="C587" t="s">
        <v>376</v>
      </c>
      <c r="D587" s="3">
        <v>26</v>
      </c>
      <c r="E587" s="3">
        <v>115</v>
      </c>
      <c r="F587" s="3">
        <v>517</v>
      </c>
      <c r="G587" s="3">
        <v>160</v>
      </c>
    </row>
    <row r="588" spans="1:7" x14ac:dyDescent="0.3">
      <c r="A588" t="s">
        <v>536</v>
      </c>
      <c r="B588" t="s">
        <v>563</v>
      </c>
      <c r="C588" t="s">
        <v>386</v>
      </c>
      <c r="D588" s="3">
        <v>30</v>
      </c>
      <c r="E588" s="3">
        <v>131</v>
      </c>
      <c r="F588" s="3">
        <v>605</v>
      </c>
      <c r="G588" s="3">
        <v>160</v>
      </c>
    </row>
    <row r="589" spans="1:7" x14ac:dyDescent="0.3">
      <c r="A589" t="s">
        <v>931</v>
      </c>
      <c r="B589" t="s">
        <v>932</v>
      </c>
      <c r="C589" t="s">
        <v>936</v>
      </c>
      <c r="D589" s="3">
        <v>53</v>
      </c>
      <c r="E589" s="3">
        <v>160</v>
      </c>
      <c r="F589" s="3">
        <v>700</v>
      </c>
      <c r="G589" s="3">
        <v>160</v>
      </c>
    </row>
    <row r="590" spans="1:7" x14ac:dyDescent="0.3">
      <c r="A590" t="s">
        <v>222</v>
      </c>
      <c r="B590" t="s">
        <v>231</v>
      </c>
      <c r="C590" t="s">
        <v>234</v>
      </c>
      <c r="D590" s="3">
        <v>16</v>
      </c>
      <c r="E590" s="3">
        <v>163</v>
      </c>
      <c r="F590" s="3">
        <v>706</v>
      </c>
      <c r="G590" s="3">
        <v>160</v>
      </c>
    </row>
    <row r="591" spans="1:7" x14ac:dyDescent="0.3">
      <c r="A591" t="s">
        <v>875</v>
      </c>
      <c r="B591" t="s">
        <v>920</v>
      </c>
      <c r="C591" t="s">
        <v>921</v>
      </c>
      <c r="D591" s="3">
        <v>50</v>
      </c>
      <c r="E591" s="3">
        <v>177</v>
      </c>
      <c r="F591" s="3">
        <v>756</v>
      </c>
      <c r="G591" s="3">
        <v>160</v>
      </c>
    </row>
    <row r="592" spans="1:7" x14ac:dyDescent="0.3">
      <c r="A592" t="s">
        <v>239</v>
      </c>
      <c r="B592" t="s">
        <v>245</v>
      </c>
      <c r="C592" t="s">
        <v>281</v>
      </c>
      <c r="D592" s="3">
        <v>17</v>
      </c>
      <c r="E592" s="3">
        <v>185</v>
      </c>
      <c r="F592" s="3">
        <v>850</v>
      </c>
      <c r="G592" s="3">
        <v>160</v>
      </c>
    </row>
    <row r="593" spans="1:7" x14ac:dyDescent="0.3">
      <c r="A593" t="s">
        <v>957</v>
      </c>
      <c r="B593" t="s">
        <v>962</v>
      </c>
      <c r="C593" t="s">
        <v>965</v>
      </c>
      <c r="D593" s="3">
        <v>59</v>
      </c>
      <c r="E593" s="3">
        <v>195</v>
      </c>
      <c r="F593" s="3">
        <v>926</v>
      </c>
      <c r="G593" s="3">
        <v>160</v>
      </c>
    </row>
    <row r="594" spans="1:7" x14ac:dyDescent="0.3">
      <c r="A594" t="s">
        <v>536</v>
      </c>
      <c r="B594" t="s">
        <v>544</v>
      </c>
      <c r="C594" t="s">
        <v>546</v>
      </c>
      <c r="D594" s="3">
        <v>30</v>
      </c>
      <c r="E594" s="3">
        <v>8</v>
      </c>
      <c r="F594" s="3">
        <v>32</v>
      </c>
      <c r="G594" s="3">
        <v>170</v>
      </c>
    </row>
    <row r="595" spans="1:7" x14ac:dyDescent="0.3">
      <c r="A595" t="s">
        <v>942</v>
      </c>
      <c r="B595" t="s">
        <v>943</v>
      </c>
      <c r="C595" t="s">
        <v>820</v>
      </c>
      <c r="D595" s="3">
        <v>56</v>
      </c>
      <c r="E595" s="3">
        <v>12</v>
      </c>
      <c r="F595" s="3">
        <v>38</v>
      </c>
      <c r="G595" s="3">
        <v>170</v>
      </c>
    </row>
    <row r="596" spans="1:7" x14ac:dyDescent="0.3">
      <c r="A596" t="s">
        <v>593</v>
      </c>
      <c r="B596" t="s">
        <v>601</v>
      </c>
      <c r="C596" t="s">
        <v>611</v>
      </c>
      <c r="D596" s="3">
        <v>31</v>
      </c>
      <c r="E596" s="3">
        <v>54</v>
      </c>
      <c r="F596" s="3">
        <v>197</v>
      </c>
      <c r="G596" s="3">
        <v>170</v>
      </c>
    </row>
    <row r="597" spans="1:7" x14ac:dyDescent="0.3">
      <c r="A597" t="s">
        <v>875</v>
      </c>
      <c r="B597" t="s">
        <v>878</v>
      </c>
      <c r="C597" t="s">
        <v>60</v>
      </c>
      <c r="D597" s="3">
        <v>50</v>
      </c>
      <c r="E597" s="3">
        <v>66</v>
      </c>
      <c r="F597" s="3">
        <v>225</v>
      </c>
      <c r="G597" s="3">
        <v>170</v>
      </c>
    </row>
    <row r="598" spans="1:7" x14ac:dyDescent="0.3">
      <c r="A598" t="s">
        <v>416</v>
      </c>
      <c r="B598" t="s">
        <v>450</v>
      </c>
      <c r="C598" t="s">
        <v>433</v>
      </c>
      <c r="D598" s="3">
        <v>27</v>
      </c>
      <c r="E598" s="3">
        <v>105</v>
      </c>
      <c r="F598" s="3">
        <v>393</v>
      </c>
      <c r="G598" s="3">
        <v>170</v>
      </c>
    </row>
    <row r="599" spans="1:7" x14ac:dyDescent="0.3">
      <c r="A599" t="s">
        <v>171</v>
      </c>
      <c r="B599" t="s">
        <v>188</v>
      </c>
      <c r="C599" t="s">
        <v>201</v>
      </c>
      <c r="D599" s="3">
        <v>15</v>
      </c>
      <c r="E599" s="3">
        <v>107</v>
      </c>
      <c r="F599" s="3">
        <v>425</v>
      </c>
      <c r="G599" s="3">
        <v>170</v>
      </c>
    </row>
    <row r="600" spans="1:7" x14ac:dyDescent="0.3">
      <c r="A600" t="s">
        <v>593</v>
      </c>
      <c r="B600" t="s">
        <v>626</v>
      </c>
      <c r="C600" t="s">
        <v>644</v>
      </c>
      <c r="D600" s="3">
        <v>31</v>
      </c>
      <c r="E600" s="3">
        <v>109</v>
      </c>
      <c r="F600" s="3">
        <v>475</v>
      </c>
      <c r="G600" s="3">
        <v>170</v>
      </c>
    </row>
    <row r="601" spans="1:7" x14ac:dyDescent="0.3">
      <c r="A601" t="s">
        <v>363</v>
      </c>
      <c r="B601" t="s">
        <v>379</v>
      </c>
      <c r="C601" t="s">
        <v>384</v>
      </c>
      <c r="D601" s="3">
        <v>26</v>
      </c>
      <c r="E601" s="3">
        <v>123</v>
      </c>
      <c r="F601" s="3">
        <v>541</v>
      </c>
      <c r="G601" s="3">
        <v>170</v>
      </c>
    </row>
    <row r="602" spans="1:7" x14ac:dyDescent="0.3">
      <c r="A602" t="s">
        <v>363</v>
      </c>
      <c r="B602" t="s">
        <v>379</v>
      </c>
      <c r="C602" t="s">
        <v>276</v>
      </c>
      <c r="D602" s="3">
        <v>26</v>
      </c>
      <c r="E602" s="3">
        <v>123</v>
      </c>
      <c r="F602" s="3">
        <v>545</v>
      </c>
      <c r="G602" s="3">
        <v>170</v>
      </c>
    </row>
    <row r="603" spans="1:7" x14ac:dyDescent="0.3">
      <c r="A603" t="s">
        <v>832</v>
      </c>
      <c r="B603" t="s">
        <v>833</v>
      </c>
      <c r="C603" t="s">
        <v>836</v>
      </c>
      <c r="D603" s="3">
        <v>39</v>
      </c>
      <c r="E603" s="3">
        <v>124</v>
      </c>
      <c r="F603" s="3">
        <v>557</v>
      </c>
      <c r="G603" s="3">
        <v>170</v>
      </c>
    </row>
    <row r="604" spans="1:7" x14ac:dyDescent="0.3">
      <c r="A604" t="s">
        <v>363</v>
      </c>
      <c r="B604" t="s">
        <v>390</v>
      </c>
      <c r="C604" t="s">
        <v>404</v>
      </c>
      <c r="D604" s="3">
        <v>26</v>
      </c>
      <c r="E604" s="3">
        <v>126</v>
      </c>
      <c r="F604" s="3">
        <v>584</v>
      </c>
      <c r="G604" s="3">
        <v>170</v>
      </c>
    </row>
    <row r="605" spans="1:7" x14ac:dyDescent="0.3">
      <c r="A605" t="s">
        <v>363</v>
      </c>
      <c r="B605" t="s">
        <v>390</v>
      </c>
      <c r="C605" t="s">
        <v>406</v>
      </c>
      <c r="D605" s="3">
        <v>26</v>
      </c>
      <c r="E605" s="3">
        <v>126</v>
      </c>
      <c r="F605" s="3">
        <v>587</v>
      </c>
      <c r="G605" s="3">
        <v>170</v>
      </c>
    </row>
    <row r="606" spans="1:7" x14ac:dyDescent="0.3">
      <c r="A606" t="s">
        <v>593</v>
      </c>
      <c r="B606" t="s">
        <v>701</v>
      </c>
      <c r="C606" t="s">
        <v>702</v>
      </c>
      <c r="D606" s="3">
        <v>31</v>
      </c>
      <c r="E606" s="3">
        <v>158</v>
      </c>
      <c r="F606" s="3">
        <v>691</v>
      </c>
      <c r="G606" s="3">
        <v>170</v>
      </c>
    </row>
    <row r="607" spans="1:7" x14ac:dyDescent="0.3">
      <c r="A607" t="s">
        <v>456</v>
      </c>
      <c r="B607" t="s">
        <v>527</v>
      </c>
      <c r="C607" t="s">
        <v>530</v>
      </c>
      <c r="D607" s="3">
        <v>29</v>
      </c>
      <c r="E607" s="3">
        <v>168</v>
      </c>
      <c r="F607" s="3">
        <v>720</v>
      </c>
      <c r="G607" s="3">
        <v>170</v>
      </c>
    </row>
    <row r="608" spans="1:7" x14ac:dyDescent="0.3">
      <c r="A608" t="s">
        <v>239</v>
      </c>
      <c r="B608" t="s">
        <v>245</v>
      </c>
      <c r="C608" t="s">
        <v>258</v>
      </c>
      <c r="D608" s="3">
        <v>17</v>
      </c>
      <c r="E608" s="3">
        <v>185</v>
      </c>
      <c r="F608" s="3">
        <v>825</v>
      </c>
      <c r="G608" s="3">
        <v>170</v>
      </c>
    </row>
    <row r="609" spans="1:7" x14ac:dyDescent="0.3">
      <c r="A609" t="s">
        <v>239</v>
      </c>
      <c r="B609" t="s">
        <v>245</v>
      </c>
      <c r="C609" t="s">
        <v>287</v>
      </c>
      <c r="D609" s="3">
        <v>17</v>
      </c>
      <c r="E609" s="3">
        <v>185</v>
      </c>
      <c r="F609" s="3">
        <v>856</v>
      </c>
      <c r="G609" s="3">
        <v>170</v>
      </c>
    </row>
    <row r="610" spans="1:7" x14ac:dyDescent="0.3">
      <c r="A610" t="s">
        <v>957</v>
      </c>
      <c r="B610" t="s">
        <v>962</v>
      </c>
      <c r="C610" t="s">
        <v>426</v>
      </c>
      <c r="D610" s="3">
        <v>59</v>
      </c>
      <c r="E610" s="3">
        <v>195</v>
      </c>
      <c r="F610" s="3">
        <v>925</v>
      </c>
      <c r="G610" s="3">
        <v>170</v>
      </c>
    </row>
    <row r="611" spans="1:7" x14ac:dyDescent="0.3">
      <c r="A611" t="s">
        <v>239</v>
      </c>
      <c r="B611" t="s">
        <v>240</v>
      </c>
      <c r="C611" t="s">
        <v>204</v>
      </c>
      <c r="D611" s="3">
        <v>17</v>
      </c>
      <c r="E611" s="3">
        <v>25</v>
      </c>
      <c r="F611" s="3">
        <v>94</v>
      </c>
      <c r="G611" s="3">
        <v>180</v>
      </c>
    </row>
    <row r="612" spans="1:7" x14ac:dyDescent="0.3">
      <c r="A612" t="s">
        <v>942</v>
      </c>
      <c r="B612" t="s">
        <v>945</v>
      </c>
      <c r="C612" t="s">
        <v>949</v>
      </c>
      <c r="D612" s="3">
        <v>56</v>
      </c>
      <c r="E612" s="3">
        <v>84</v>
      </c>
      <c r="F612" s="3">
        <v>333</v>
      </c>
      <c r="G612" s="3">
        <v>180</v>
      </c>
    </row>
    <row r="613" spans="1:7" x14ac:dyDescent="0.3">
      <c r="A613" t="s">
        <v>456</v>
      </c>
      <c r="B613" t="s">
        <v>500</v>
      </c>
      <c r="C613" t="s">
        <v>504</v>
      </c>
      <c r="D613" s="3">
        <v>29</v>
      </c>
      <c r="E613" s="3">
        <v>97</v>
      </c>
      <c r="F613" s="3">
        <v>370</v>
      </c>
      <c r="G613" s="3">
        <v>180</v>
      </c>
    </row>
    <row r="614" spans="1:7" x14ac:dyDescent="0.3">
      <c r="A614" t="s">
        <v>171</v>
      </c>
      <c r="B614" t="s">
        <v>188</v>
      </c>
      <c r="C614" t="s">
        <v>184</v>
      </c>
      <c r="D614" s="3">
        <v>15</v>
      </c>
      <c r="E614" s="3">
        <v>107</v>
      </c>
      <c r="F614" s="3">
        <v>442</v>
      </c>
      <c r="G614" s="3">
        <v>180</v>
      </c>
    </row>
    <row r="615" spans="1:7" x14ac:dyDescent="0.3">
      <c r="A615" t="s">
        <v>832</v>
      </c>
      <c r="B615" t="s">
        <v>833</v>
      </c>
      <c r="C615" t="s">
        <v>837</v>
      </c>
      <c r="D615" s="3">
        <v>39</v>
      </c>
      <c r="E615" s="3">
        <v>124</v>
      </c>
      <c r="F615" s="3">
        <v>561</v>
      </c>
      <c r="G615" s="3">
        <v>180</v>
      </c>
    </row>
    <row r="616" spans="1:7" x14ac:dyDescent="0.3">
      <c r="A616" t="s">
        <v>536</v>
      </c>
      <c r="B616" t="s">
        <v>563</v>
      </c>
      <c r="C616" t="s">
        <v>487</v>
      </c>
      <c r="D616" s="3">
        <v>30</v>
      </c>
      <c r="E616" s="3">
        <v>131</v>
      </c>
      <c r="F616" s="3">
        <v>604</v>
      </c>
      <c r="G616" s="3">
        <v>180</v>
      </c>
    </row>
    <row r="617" spans="1:7" x14ac:dyDescent="0.3">
      <c r="A617" t="s">
        <v>875</v>
      </c>
      <c r="B617" t="s">
        <v>896</v>
      </c>
      <c r="C617" t="s">
        <v>908</v>
      </c>
      <c r="D617" s="3">
        <v>50</v>
      </c>
      <c r="E617" s="3">
        <v>152</v>
      </c>
      <c r="F617" s="3">
        <v>662</v>
      </c>
      <c r="G617" s="3">
        <v>180</v>
      </c>
    </row>
    <row r="618" spans="1:7" x14ac:dyDescent="0.3">
      <c r="A618" t="s">
        <v>931</v>
      </c>
      <c r="B618" t="s">
        <v>932</v>
      </c>
      <c r="C618" t="s">
        <v>934</v>
      </c>
      <c r="D618" s="3">
        <v>53</v>
      </c>
      <c r="E618" s="3">
        <v>160</v>
      </c>
      <c r="F618" s="3">
        <v>697</v>
      </c>
      <c r="G618" s="3">
        <v>180</v>
      </c>
    </row>
    <row r="619" spans="1:7" x14ac:dyDescent="0.3">
      <c r="A619" t="s">
        <v>957</v>
      </c>
      <c r="B619" t="s">
        <v>960</v>
      </c>
      <c r="C619" t="s">
        <v>213</v>
      </c>
      <c r="D619" s="3">
        <v>59</v>
      </c>
      <c r="E619" s="3">
        <v>161</v>
      </c>
      <c r="F619" s="3">
        <v>702</v>
      </c>
      <c r="G619" s="3">
        <v>180</v>
      </c>
    </row>
    <row r="620" spans="1:7" x14ac:dyDescent="0.3">
      <c r="A620" t="s">
        <v>75</v>
      </c>
      <c r="B620" t="s">
        <v>82</v>
      </c>
      <c r="C620" t="s">
        <v>105</v>
      </c>
      <c r="D620" s="3">
        <v>7</v>
      </c>
      <c r="E620" s="3">
        <v>178</v>
      </c>
      <c r="F620" s="3">
        <v>782</v>
      </c>
      <c r="G620" s="3">
        <v>180</v>
      </c>
    </row>
    <row r="621" spans="1:7" x14ac:dyDescent="0.3">
      <c r="A621" t="s">
        <v>593</v>
      </c>
      <c r="B621" t="s">
        <v>704</v>
      </c>
      <c r="C621" t="s">
        <v>60</v>
      </c>
      <c r="D621" s="3">
        <v>31</v>
      </c>
      <c r="E621" s="3">
        <v>192</v>
      </c>
      <c r="F621" s="3">
        <v>894</v>
      </c>
      <c r="G621" s="3">
        <v>180</v>
      </c>
    </row>
    <row r="622" spans="1:7" x14ac:dyDescent="0.3">
      <c r="A622" t="s">
        <v>456</v>
      </c>
      <c r="B622" t="s">
        <v>457</v>
      </c>
      <c r="C622" t="s">
        <v>458</v>
      </c>
      <c r="D622" s="3">
        <v>29</v>
      </c>
      <c r="E622" s="3">
        <v>2</v>
      </c>
      <c r="F622" s="3">
        <v>6</v>
      </c>
      <c r="G622" s="3">
        <v>190</v>
      </c>
    </row>
    <row r="623" spans="1:7" x14ac:dyDescent="0.3">
      <c r="A623" t="s">
        <v>456</v>
      </c>
      <c r="B623" t="s">
        <v>457</v>
      </c>
      <c r="C623" t="s">
        <v>463</v>
      </c>
      <c r="D623" s="3">
        <v>29</v>
      </c>
      <c r="E623" s="3">
        <v>2</v>
      </c>
      <c r="F623" s="3">
        <v>11</v>
      </c>
      <c r="G623" s="3">
        <v>190</v>
      </c>
    </row>
    <row r="624" spans="1:7" x14ac:dyDescent="0.3">
      <c r="A624" t="s">
        <v>536</v>
      </c>
      <c r="B624" t="s">
        <v>544</v>
      </c>
      <c r="C624" t="s">
        <v>353</v>
      </c>
      <c r="D624" s="3">
        <v>30</v>
      </c>
      <c r="E624" s="3">
        <v>8</v>
      </c>
      <c r="F624" s="3">
        <v>31</v>
      </c>
      <c r="G624" s="3">
        <v>190</v>
      </c>
    </row>
    <row r="625" spans="1:7" x14ac:dyDescent="0.3">
      <c r="A625" t="s">
        <v>593</v>
      </c>
      <c r="B625" t="s">
        <v>601</v>
      </c>
      <c r="C625" t="s">
        <v>60</v>
      </c>
      <c r="D625" s="3">
        <v>31</v>
      </c>
      <c r="E625" s="3">
        <v>54</v>
      </c>
      <c r="F625" s="3">
        <v>198</v>
      </c>
      <c r="G625" s="3">
        <v>190</v>
      </c>
    </row>
    <row r="626" spans="1:7" x14ac:dyDescent="0.3">
      <c r="A626" t="s">
        <v>416</v>
      </c>
      <c r="B626" t="s">
        <v>427</v>
      </c>
      <c r="C626" t="s">
        <v>436</v>
      </c>
      <c r="D626" s="3">
        <v>27</v>
      </c>
      <c r="E626" s="3">
        <v>73</v>
      </c>
      <c r="F626" s="3">
        <v>245</v>
      </c>
      <c r="G626" s="3">
        <v>190</v>
      </c>
    </row>
    <row r="627" spans="1:7" x14ac:dyDescent="0.3">
      <c r="A627" t="s">
        <v>593</v>
      </c>
      <c r="B627" t="s">
        <v>620</v>
      </c>
      <c r="C627" t="s">
        <v>122</v>
      </c>
      <c r="D627" s="3">
        <v>31</v>
      </c>
      <c r="E627" s="3">
        <v>78</v>
      </c>
      <c r="F627" s="3">
        <v>284</v>
      </c>
      <c r="G627" s="3">
        <v>190</v>
      </c>
    </row>
    <row r="628" spans="1:7" x14ac:dyDescent="0.3">
      <c r="A628" t="s">
        <v>171</v>
      </c>
      <c r="B628" t="s">
        <v>172</v>
      </c>
      <c r="C628" t="s">
        <v>173</v>
      </c>
      <c r="D628" s="3">
        <v>15</v>
      </c>
      <c r="E628" s="3">
        <v>91</v>
      </c>
      <c r="F628" s="3">
        <v>345</v>
      </c>
      <c r="G628" s="3">
        <v>190</v>
      </c>
    </row>
    <row r="629" spans="1:7" x14ac:dyDescent="0.3">
      <c r="A629" t="s">
        <v>416</v>
      </c>
      <c r="B629" t="s">
        <v>447</v>
      </c>
      <c r="C629" t="s">
        <v>449</v>
      </c>
      <c r="D629" s="3">
        <v>27</v>
      </c>
      <c r="E629" s="3">
        <v>92</v>
      </c>
      <c r="F629" s="3">
        <v>361</v>
      </c>
      <c r="G629" s="3">
        <v>190</v>
      </c>
    </row>
    <row r="630" spans="1:7" x14ac:dyDescent="0.3">
      <c r="A630" t="s">
        <v>536</v>
      </c>
      <c r="B630" t="s">
        <v>558</v>
      </c>
      <c r="C630" t="s">
        <v>559</v>
      </c>
      <c r="D630" s="3">
        <v>30</v>
      </c>
      <c r="E630" s="3">
        <v>99</v>
      </c>
      <c r="F630" s="3">
        <v>378</v>
      </c>
      <c r="G630" s="3">
        <v>190</v>
      </c>
    </row>
    <row r="631" spans="1:7" x14ac:dyDescent="0.3">
      <c r="A631" t="s">
        <v>363</v>
      </c>
      <c r="B631" t="s">
        <v>366</v>
      </c>
      <c r="C631" t="s">
        <v>373</v>
      </c>
      <c r="D631" s="3">
        <v>26</v>
      </c>
      <c r="E631" s="3">
        <v>108</v>
      </c>
      <c r="F631" s="3">
        <v>456</v>
      </c>
      <c r="G631" s="3">
        <v>190</v>
      </c>
    </row>
    <row r="632" spans="1:7" x14ac:dyDescent="0.3">
      <c r="A632" t="s">
        <v>456</v>
      </c>
      <c r="B632" t="s">
        <v>517</v>
      </c>
      <c r="C632" t="s">
        <v>518</v>
      </c>
      <c r="D632" s="3">
        <v>29</v>
      </c>
      <c r="E632" s="3">
        <v>114</v>
      </c>
      <c r="F632" s="3">
        <v>515</v>
      </c>
      <c r="G632" s="3">
        <v>190</v>
      </c>
    </row>
    <row r="633" spans="1:7" x14ac:dyDescent="0.3">
      <c r="A633" t="s">
        <v>363</v>
      </c>
      <c r="B633" t="s">
        <v>379</v>
      </c>
      <c r="C633" t="s">
        <v>389</v>
      </c>
      <c r="D633" s="3">
        <v>26</v>
      </c>
      <c r="E633" s="3">
        <v>123</v>
      </c>
      <c r="F633" s="3">
        <v>553</v>
      </c>
      <c r="G633" s="3">
        <v>190</v>
      </c>
    </row>
    <row r="634" spans="1:7" x14ac:dyDescent="0.3">
      <c r="A634" t="s">
        <v>363</v>
      </c>
      <c r="B634" t="s">
        <v>390</v>
      </c>
      <c r="C634" t="s">
        <v>397</v>
      </c>
      <c r="D634" s="3">
        <v>26</v>
      </c>
      <c r="E634" s="3">
        <v>126</v>
      </c>
      <c r="F634" s="3">
        <v>575</v>
      </c>
      <c r="G634" s="3">
        <v>190</v>
      </c>
    </row>
    <row r="635" spans="1:7" x14ac:dyDescent="0.3">
      <c r="A635" t="s">
        <v>75</v>
      </c>
      <c r="B635" t="s">
        <v>82</v>
      </c>
      <c r="C635" t="s">
        <v>87</v>
      </c>
      <c r="D635" s="3">
        <v>7</v>
      </c>
      <c r="E635" s="3">
        <v>178</v>
      </c>
      <c r="F635" s="3">
        <v>764</v>
      </c>
      <c r="G635" s="3">
        <v>190</v>
      </c>
    </row>
    <row r="636" spans="1:7" x14ac:dyDescent="0.3">
      <c r="A636" t="s">
        <v>536</v>
      </c>
      <c r="B636" t="s">
        <v>537</v>
      </c>
      <c r="C636" t="s">
        <v>373</v>
      </c>
      <c r="D636" s="3">
        <v>30</v>
      </c>
      <c r="E636" s="3">
        <v>1</v>
      </c>
      <c r="F636" s="3">
        <v>5</v>
      </c>
      <c r="G636" s="3">
        <v>200</v>
      </c>
    </row>
    <row r="637" spans="1:7" x14ac:dyDescent="0.3">
      <c r="A637" t="s">
        <v>7</v>
      </c>
      <c r="B637" t="s">
        <v>8</v>
      </c>
      <c r="C637" t="s">
        <v>10</v>
      </c>
      <c r="D637" s="3">
        <v>2</v>
      </c>
      <c r="E637" s="3">
        <v>7</v>
      </c>
      <c r="F637" s="3">
        <v>26</v>
      </c>
      <c r="G637" s="3">
        <v>200</v>
      </c>
    </row>
    <row r="638" spans="1:7" x14ac:dyDescent="0.3">
      <c r="A638" t="s">
        <v>152</v>
      </c>
      <c r="B638" t="s">
        <v>153</v>
      </c>
      <c r="C638" t="s">
        <v>154</v>
      </c>
      <c r="D638" s="3">
        <v>12</v>
      </c>
      <c r="E638" s="3">
        <v>36</v>
      </c>
      <c r="F638" s="3">
        <v>131</v>
      </c>
      <c r="G638" s="3">
        <v>200</v>
      </c>
    </row>
    <row r="639" spans="1:7" x14ac:dyDescent="0.3">
      <c r="A639" t="s">
        <v>171</v>
      </c>
      <c r="B639" t="s">
        <v>172</v>
      </c>
      <c r="C639" t="s">
        <v>180</v>
      </c>
      <c r="D639" s="3">
        <v>15</v>
      </c>
      <c r="E639" s="3">
        <v>91</v>
      </c>
      <c r="F639" s="3">
        <v>352</v>
      </c>
      <c r="G639" s="3">
        <v>200</v>
      </c>
    </row>
    <row r="640" spans="1:7" x14ac:dyDescent="0.3">
      <c r="A640" t="s">
        <v>171</v>
      </c>
      <c r="B640" t="s">
        <v>188</v>
      </c>
      <c r="C640" t="s">
        <v>221</v>
      </c>
      <c r="D640" s="3">
        <v>15</v>
      </c>
      <c r="E640" s="3">
        <v>107</v>
      </c>
      <c r="F640" s="3">
        <v>448</v>
      </c>
      <c r="G640" s="3">
        <v>200</v>
      </c>
    </row>
    <row r="641" spans="1:7" x14ac:dyDescent="0.3">
      <c r="A641" t="s">
        <v>222</v>
      </c>
      <c r="B641" t="s">
        <v>229</v>
      </c>
      <c r="C641" t="s">
        <v>230</v>
      </c>
      <c r="D641" s="3">
        <v>16</v>
      </c>
      <c r="E641" s="3">
        <v>147</v>
      </c>
      <c r="F641" s="3">
        <v>635</v>
      </c>
      <c r="G641" s="3">
        <v>200</v>
      </c>
    </row>
    <row r="642" spans="1:7" x14ac:dyDescent="0.3">
      <c r="A642" t="s">
        <v>593</v>
      </c>
      <c r="B642" t="s">
        <v>688</v>
      </c>
      <c r="C642" t="s">
        <v>689</v>
      </c>
      <c r="D642" s="3">
        <v>31</v>
      </c>
      <c r="E642" s="3">
        <v>148</v>
      </c>
      <c r="F642" s="3">
        <v>637</v>
      </c>
      <c r="G642" s="3">
        <v>200</v>
      </c>
    </row>
    <row r="643" spans="1:7" x14ac:dyDescent="0.3">
      <c r="A643" t="s">
        <v>852</v>
      </c>
      <c r="B643" t="s">
        <v>853</v>
      </c>
      <c r="C643" t="s">
        <v>855</v>
      </c>
      <c r="D643" s="3">
        <v>43</v>
      </c>
      <c r="E643" s="3">
        <v>150</v>
      </c>
      <c r="F643" s="3">
        <v>646</v>
      </c>
      <c r="G643" s="3">
        <v>200</v>
      </c>
    </row>
    <row r="644" spans="1:7" x14ac:dyDescent="0.3">
      <c r="A644" t="s">
        <v>875</v>
      </c>
      <c r="B644" t="s">
        <v>896</v>
      </c>
      <c r="C644" t="s">
        <v>21</v>
      </c>
      <c r="D644" s="3">
        <v>50</v>
      </c>
      <c r="E644" s="3">
        <v>152</v>
      </c>
      <c r="F644" s="3">
        <v>657</v>
      </c>
      <c r="G644" s="3">
        <v>200</v>
      </c>
    </row>
    <row r="645" spans="1:7" x14ac:dyDescent="0.3">
      <c r="A645" t="s">
        <v>875</v>
      </c>
      <c r="B645" t="s">
        <v>896</v>
      </c>
      <c r="C645" t="s">
        <v>905</v>
      </c>
      <c r="D645" s="3">
        <v>50</v>
      </c>
      <c r="E645" s="3">
        <v>152</v>
      </c>
      <c r="F645" s="3">
        <v>658</v>
      </c>
      <c r="G645" s="3">
        <v>200</v>
      </c>
    </row>
    <row r="646" spans="1:7" x14ac:dyDescent="0.3">
      <c r="A646" t="s">
        <v>808</v>
      </c>
      <c r="B646" t="s">
        <v>831</v>
      </c>
      <c r="C646" t="s">
        <v>60</v>
      </c>
      <c r="D646" s="3">
        <v>38</v>
      </c>
      <c r="E646" s="3">
        <v>156</v>
      </c>
      <c r="F646" s="3">
        <v>682</v>
      </c>
      <c r="G646" s="3">
        <v>200</v>
      </c>
    </row>
    <row r="647" spans="1:7" x14ac:dyDescent="0.3">
      <c r="A647" t="s">
        <v>593</v>
      </c>
      <c r="B647" t="s">
        <v>694</v>
      </c>
      <c r="C647" t="s">
        <v>695</v>
      </c>
      <c r="D647" s="3">
        <v>31</v>
      </c>
      <c r="E647" s="3">
        <v>157</v>
      </c>
      <c r="F647" s="3">
        <v>683</v>
      </c>
      <c r="G647" s="3">
        <v>200</v>
      </c>
    </row>
    <row r="648" spans="1:7" x14ac:dyDescent="0.3">
      <c r="A648" t="s">
        <v>456</v>
      </c>
      <c r="B648" t="s">
        <v>527</v>
      </c>
      <c r="C648" t="s">
        <v>529</v>
      </c>
      <c r="D648" s="3">
        <v>29</v>
      </c>
      <c r="E648" s="3">
        <v>168</v>
      </c>
      <c r="F648" s="3">
        <v>719</v>
      </c>
      <c r="G648" s="3">
        <v>200</v>
      </c>
    </row>
    <row r="649" spans="1:7" x14ac:dyDescent="0.3">
      <c r="A649" t="s">
        <v>321</v>
      </c>
      <c r="B649" t="s">
        <v>322</v>
      </c>
      <c r="C649" t="s">
        <v>164</v>
      </c>
      <c r="D649" s="3">
        <v>21</v>
      </c>
      <c r="E649" s="3">
        <v>173</v>
      </c>
      <c r="F649" s="3">
        <v>738</v>
      </c>
      <c r="G649" s="3">
        <v>200</v>
      </c>
    </row>
    <row r="650" spans="1:7" x14ac:dyDescent="0.3">
      <c r="A650" t="s">
        <v>239</v>
      </c>
      <c r="B650" t="s">
        <v>245</v>
      </c>
      <c r="C650" t="s">
        <v>295</v>
      </c>
      <c r="D650" s="3">
        <v>17</v>
      </c>
      <c r="E650" s="3">
        <v>185</v>
      </c>
      <c r="F650" s="3">
        <v>864</v>
      </c>
      <c r="G650" s="3">
        <v>200</v>
      </c>
    </row>
    <row r="651" spans="1:7" x14ac:dyDescent="0.3">
      <c r="A651" t="s">
        <v>347</v>
      </c>
      <c r="B651" t="s">
        <v>350</v>
      </c>
      <c r="C651" t="s">
        <v>351</v>
      </c>
      <c r="D651" s="3">
        <v>24</v>
      </c>
      <c r="E651" s="3">
        <v>191</v>
      </c>
      <c r="F651" s="3">
        <v>885</v>
      </c>
      <c r="G651" s="3">
        <v>200</v>
      </c>
    </row>
    <row r="652" spans="1:7" x14ac:dyDescent="0.3">
      <c r="A652" t="s">
        <v>7</v>
      </c>
      <c r="B652" t="s">
        <v>14</v>
      </c>
      <c r="C652" t="s">
        <v>15</v>
      </c>
      <c r="D652" s="3">
        <v>2</v>
      </c>
      <c r="E652" s="3">
        <v>16</v>
      </c>
      <c r="F652" s="3">
        <v>69</v>
      </c>
      <c r="G652" s="3">
        <v>210</v>
      </c>
    </row>
    <row r="653" spans="1:7" x14ac:dyDescent="0.3">
      <c r="A653" t="s">
        <v>158</v>
      </c>
      <c r="B653" t="s">
        <v>159</v>
      </c>
      <c r="C653" t="s">
        <v>166</v>
      </c>
      <c r="D653" s="3">
        <v>13</v>
      </c>
      <c r="E653" s="3">
        <v>38</v>
      </c>
      <c r="F653" s="3">
        <v>144</v>
      </c>
      <c r="G653" s="3">
        <v>210</v>
      </c>
    </row>
    <row r="654" spans="1:7" x14ac:dyDescent="0.3">
      <c r="A654" t="s">
        <v>845</v>
      </c>
      <c r="B654" t="s">
        <v>846</v>
      </c>
      <c r="C654" t="s">
        <v>847</v>
      </c>
      <c r="D654" s="3">
        <v>41</v>
      </c>
      <c r="E654" s="3">
        <v>82</v>
      </c>
      <c r="F654" s="3">
        <v>327</v>
      </c>
      <c r="G654" s="3">
        <v>210</v>
      </c>
    </row>
    <row r="655" spans="1:7" x14ac:dyDescent="0.3">
      <c r="A655" t="s">
        <v>363</v>
      </c>
      <c r="B655" t="s">
        <v>366</v>
      </c>
      <c r="C655" t="s">
        <v>369</v>
      </c>
      <c r="D655" s="3">
        <v>26</v>
      </c>
      <c r="E655" s="3">
        <v>108</v>
      </c>
      <c r="F655" s="3">
        <v>451</v>
      </c>
      <c r="G655" s="3">
        <v>210</v>
      </c>
    </row>
    <row r="656" spans="1:7" x14ac:dyDescent="0.3">
      <c r="A656" t="s">
        <v>593</v>
      </c>
      <c r="B656" t="s">
        <v>626</v>
      </c>
      <c r="C656" t="s">
        <v>641</v>
      </c>
      <c r="D656" s="3">
        <v>31</v>
      </c>
      <c r="E656" s="3">
        <v>109</v>
      </c>
      <c r="F656" s="3">
        <v>472</v>
      </c>
      <c r="G656" s="3">
        <v>210</v>
      </c>
    </row>
    <row r="657" spans="1:7" x14ac:dyDescent="0.3">
      <c r="A657" t="s">
        <v>363</v>
      </c>
      <c r="B657" t="s">
        <v>379</v>
      </c>
      <c r="C657" t="s">
        <v>380</v>
      </c>
      <c r="D657" s="3">
        <v>26</v>
      </c>
      <c r="E657" s="3">
        <v>123</v>
      </c>
      <c r="F657" s="3">
        <v>537</v>
      </c>
      <c r="G657" s="3">
        <v>210</v>
      </c>
    </row>
    <row r="658" spans="1:7" x14ac:dyDescent="0.3">
      <c r="A658" t="s">
        <v>363</v>
      </c>
      <c r="B658" t="s">
        <v>379</v>
      </c>
      <c r="C658" t="s">
        <v>60</v>
      </c>
      <c r="D658" s="3">
        <v>26</v>
      </c>
      <c r="E658" s="3">
        <v>123</v>
      </c>
      <c r="F658" s="3">
        <v>551</v>
      </c>
      <c r="G658" s="3">
        <v>210</v>
      </c>
    </row>
    <row r="659" spans="1:7" x14ac:dyDescent="0.3">
      <c r="A659" t="s">
        <v>321</v>
      </c>
      <c r="B659" t="s">
        <v>322</v>
      </c>
      <c r="C659" t="s">
        <v>201</v>
      </c>
      <c r="D659" s="3">
        <v>21</v>
      </c>
      <c r="E659" s="3">
        <v>173</v>
      </c>
      <c r="F659" s="3">
        <v>737</v>
      </c>
      <c r="G659" s="3">
        <v>210</v>
      </c>
    </row>
    <row r="660" spans="1:7" x14ac:dyDescent="0.3">
      <c r="A660" t="s">
        <v>875</v>
      </c>
      <c r="B660" t="s">
        <v>920</v>
      </c>
      <c r="C660" t="s">
        <v>60</v>
      </c>
      <c r="D660" s="3">
        <v>50</v>
      </c>
      <c r="E660" s="3">
        <v>177</v>
      </c>
      <c r="F660" s="3">
        <v>759</v>
      </c>
      <c r="G660" s="3">
        <v>210</v>
      </c>
    </row>
    <row r="661" spans="1:7" x14ac:dyDescent="0.3">
      <c r="A661" t="s">
        <v>239</v>
      </c>
      <c r="B661" t="s">
        <v>245</v>
      </c>
      <c r="C661" t="s">
        <v>250</v>
      </c>
      <c r="D661" s="3">
        <v>17</v>
      </c>
      <c r="E661" s="3">
        <v>185</v>
      </c>
      <c r="F661" s="3">
        <v>817</v>
      </c>
      <c r="G661" s="3">
        <v>210</v>
      </c>
    </row>
    <row r="662" spans="1:7" x14ac:dyDescent="0.3">
      <c r="A662" t="s">
        <v>239</v>
      </c>
      <c r="B662" t="s">
        <v>245</v>
      </c>
      <c r="C662" t="s">
        <v>270</v>
      </c>
      <c r="D662" s="3">
        <v>17</v>
      </c>
      <c r="E662" s="3">
        <v>185</v>
      </c>
      <c r="F662" s="3">
        <v>837</v>
      </c>
      <c r="G662" s="3">
        <v>210</v>
      </c>
    </row>
    <row r="663" spans="1:7" x14ac:dyDescent="0.3">
      <c r="A663" t="s">
        <v>239</v>
      </c>
      <c r="B663" t="s">
        <v>245</v>
      </c>
      <c r="C663" t="s">
        <v>302</v>
      </c>
      <c r="D663" s="3">
        <v>17</v>
      </c>
      <c r="E663" s="3">
        <v>185</v>
      </c>
      <c r="F663" s="3">
        <v>872</v>
      </c>
      <c r="G663" s="3">
        <v>210</v>
      </c>
    </row>
    <row r="664" spans="1:7" x14ac:dyDescent="0.3">
      <c r="A664" t="s">
        <v>790</v>
      </c>
      <c r="B664" t="s">
        <v>791</v>
      </c>
      <c r="C664" t="s">
        <v>796</v>
      </c>
      <c r="D664" s="3">
        <v>37</v>
      </c>
      <c r="E664" s="3">
        <v>194</v>
      </c>
      <c r="F664" s="3">
        <v>901</v>
      </c>
      <c r="G664" s="3">
        <v>210</v>
      </c>
    </row>
    <row r="665" spans="1:7" x14ac:dyDescent="0.3">
      <c r="A665" t="s">
        <v>28</v>
      </c>
      <c r="B665" t="s">
        <v>29</v>
      </c>
      <c r="C665" t="s">
        <v>31</v>
      </c>
      <c r="D665" s="3">
        <v>4</v>
      </c>
      <c r="E665" s="3">
        <v>5</v>
      </c>
      <c r="F665" s="3">
        <v>18</v>
      </c>
      <c r="G665" s="3">
        <v>220</v>
      </c>
    </row>
    <row r="666" spans="1:7" x14ac:dyDescent="0.3">
      <c r="A666" t="s">
        <v>28</v>
      </c>
      <c r="B666" t="s">
        <v>37</v>
      </c>
      <c r="C666" t="s">
        <v>54</v>
      </c>
      <c r="D666" s="3">
        <v>4</v>
      </c>
      <c r="E666" s="3">
        <v>15</v>
      </c>
      <c r="F666" s="3">
        <v>60</v>
      </c>
      <c r="G666" s="3">
        <v>220</v>
      </c>
    </row>
    <row r="667" spans="1:7" x14ac:dyDescent="0.3">
      <c r="A667" t="s">
        <v>416</v>
      </c>
      <c r="B667" t="s">
        <v>424</v>
      </c>
      <c r="C667" t="s">
        <v>21</v>
      </c>
      <c r="D667" s="3">
        <v>27</v>
      </c>
      <c r="E667" s="3">
        <v>50</v>
      </c>
      <c r="F667" s="3">
        <v>181</v>
      </c>
      <c r="G667" s="3">
        <v>220</v>
      </c>
    </row>
    <row r="668" spans="1:7" x14ac:dyDescent="0.3">
      <c r="A668" t="s">
        <v>745</v>
      </c>
      <c r="B668" t="s">
        <v>757</v>
      </c>
      <c r="C668" t="s">
        <v>767</v>
      </c>
      <c r="D668" s="3">
        <v>36</v>
      </c>
      <c r="E668" s="3">
        <v>79</v>
      </c>
      <c r="F668" s="3">
        <v>298</v>
      </c>
      <c r="G668" s="3">
        <v>220</v>
      </c>
    </row>
    <row r="669" spans="1:7" x14ac:dyDescent="0.3">
      <c r="A669" t="s">
        <v>745</v>
      </c>
      <c r="B669" t="s">
        <v>757</v>
      </c>
      <c r="C669" t="s">
        <v>773</v>
      </c>
      <c r="D669" s="3">
        <v>36</v>
      </c>
      <c r="E669" s="3">
        <v>79</v>
      </c>
      <c r="F669" s="3">
        <v>304</v>
      </c>
      <c r="G669" s="3">
        <v>220</v>
      </c>
    </row>
    <row r="670" spans="1:7" x14ac:dyDescent="0.3">
      <c r="A670" t="s">
        <v>416</v>
      </c>
      <c r="B670" t="s">
        <v>450</v>
      </c>
      <c r="C670" t="s">
        <v>453</v>
      </c>
      <c r="D670" s="3">
        <v>27</v>
      </c>
      <c r="E670" s="3">
        <v>105</v>
      </c>
      <c r="F670" s="3">
        <v>396</v>
      </c>
      <c r="G670" s="3">
        <v>220</v>
      </c>
    </row>
    <row r="671" spans="1:7" x14ac:dyDescent="0.3">
      <c r="A671" t="s">
        <v>456</v>
      </c>
      <c r="B671" t="s">
        <v>507</v>
      </c>
      <c r="C671" t="s">
        <v>509</v>
      </c>
      <c r="D671" s="3">
        <v>29</v>
      </c>
      <c r="E671" s="3">
        <v>106</v>
      </c>
      <c r="F671" s="3">
        <v>401</v>
      </c>
      <c r="G671" s="3">
        <v>220</v>
      </c>
    </row>
    <row r="672" spans="1:7" x14ac:dyDescent="0.3">
      <c r="A672" t="s">
        <v>593</v>
      </c>
      <c r="B672" t="s">
        <v>681</v>
      </c>
      <c r="C672" t="s">
        <v>682</v>
      </c>
      <c r="D672" s="3">
        <v>31</v>
      </c>
      <c r="E672" s="3">
        <v>127</v>
      </c>
      <c r="F672" s="3">
        <v>593</v>
      </c>
      <c r="G672" s="3">
        <v>220</v>
      </c>
    </row>
    <row r="673" spans="1:7" x14ac:dyDescent="0.3">
      <c r="A673" t="s">
        <v>536</v>
      </c>
      <c r="B673" t="s">
        <v>587</v>
      </c>
      <c r="C673" t="s">
        <v>529</v>
      </c>
      <c r="D673" s="3">
        <v>30</v>
      </c>
      <c r="E673" s="3">
        <v>174</v>
      </c>
      <c r="F673" s="3">
        <v>747</v>
      </c>
      <c r="G673" s="3">
        <v>220</v>
      </c>
    </row>
    <row r="674" spans="1:7" x14ac:dyDescent="0.3">
      <c r="A674" t="s">
        <v>239</v>
      </c>
      <c r="B674" t="s">
        <v>245</v>
      </c>
      <c r="C674" t="s">
        <v>300</v>
      </c>
      <c r="D674" s="3">
        <v>17</v>
      </c>
      <c r="E674" s="3">
        <v>185</v>
      </c>
      <c r="F674" s="3">
        <v>869</v>
      </c>
      <c r="G674" s="3">
        <v>220</v>
      </c>
    </row>
    <row r="675" spans="1:7" x14ac:dyDescent="0.3">
      <c r="A675" t="s">
        <v>239</v>
      </c>
      <c r="B675" t="s">
        <v>245</v>
      </c>
      <c r="C675" t="s">
        <v>305</v>
      </c>
      <c r="D675" s="3">
        <v>17</v>
      </c>
      <c r="E675" s="3">
        <v>185</v>
      </c>
      <c r="F675" s="3">
        <v>875</v>
      </c>
      <c r="G675" s="3">
        <v>220</v>
      </c>
    </row>
    <row r="676" spans="1:7" x14ac:dyDescent="0.3">
      <c r="A676" t="s">
        <v>144</v>
      </c>
      <c r="B676" t="s">
        <v>150</v>
      </c>
      <c r="C676" t="s">
        <v>151</v>
      </c>
      <c r="D676" s="3">
        <v>11</v>
      </c>
      <c r="E676" s="3">
        <v>189</v>
      </c>
      <c r="F676" s="3">
        <v>881</v>
      </c>
      <c r="G676" s="3">
        <v>220</v>
      </c>
    </row>
    <row r="677" spans="1:7" x14ac:dyDescent="0.3">
      <c r="A677" t="s">
        <v>347</v>
      </c>
      <c r="B677" t="s">
        <v>350</v>
      </c>
      <c r="C677" t="s">
        <v>21</v>
      </c>
      <c r="D677" s="3">
        <v>24</v>
      </c>
      <c r="E677" s="3">
        <v>191</v>
      </c>
      <c r="F677" s="3">
        <v>887</v>
      </c>
      <c r="G677" s="3">
        <v>220</v>
      </c>
    </row>
    <row r="678" spans="1:7" x14ac:dyDescent="0.3">
      <c r="A678" t="s">
        <v>593</v>
      </c>
      <c r="B678" t="s">
        <v>597</v>
      </c>
      <c r="C678" t="s">
        <v>598</v>
      </c>
      <c r="D678" s="3">
        <v>31</v>
      </c>
      <c r="E678" s="3">
        <v>23</v>
      </c>
      <c r="F678" s="3">
        <v>81</v>
      </c>
      <c r="G678" s="3">
        <v>230</v>
      </c>
    </row>
    <row r="679" spans="1:7" x14ac:dyDescent="0.3">
      <c r="A679" t="s">
        <v>239</v>
      </c>
      <c r="B679" t="s">
        <v>240</v>
      </c>
      <c r="C679" t="s">
        <v>242</v>
      </c>
      <c r="D679" s="3">
        <v>17</v>
      </c>
      <c r="E679" s="3">
        <v>25</v>
      </c>
      <c r="F679" s="3">
        <v>93</v>
      </c>
      <c r="G679" s="3">
        <v>230</v>
      </c>
    </row>
    <row r="680" spans="1:7" x14ac:dyDescent="0.3">
      <c r="A680" t="s">
        <v>712</v>
      </c>
      <c r="B680" t="s">
        <v>713</v>
      </c>
      <c r="C680" t="s">
        <v>429</v>
      </c>
      <c r="D680" s="3">
        <v>33</v>
      </c>
      <c r="E680" s="3">
        <v>28</v>
      </c>
      <c r="F680" s="3">
        <v>102</v>
      </c>
      <c r="G680" s="3">
        <v>230</v>
      </c>
    </row>
    <row r="681" spans="1:7" x14ac:dyDescent="0.3">
      <c r="A681" t="s">
        <v>416</v>
      </c>
      <c r="B681" t="s">
        <v>427</v>
      </c>
      <c r="C681" t="s">
        <v>443</v>
      </c>
      <c r="D681" s="3">
        <v>27</v>
      </c>
      <c r="E681" s="3">
        <v>73</v>
      </c>
      <c r="F681" s="3">
        <v>254</v>
      </c>
      <c r="G681" s="3">
        <v>230</v>
      </c>
    </row>
    <row r="682" spans="1:7" x14ac:dyDescent="0.3">
      <c r="A682" t="s">
        <v>864</v>
      </c>
      <c r="B682" t="s">
        <v>868</v>
      </c>
      <c r="C682" t="s">
        <v>213</v>
      </c>
      <c r="D682" s="3">
        <v>47</v>
      </c>
      <c r="E682" s="3">
        <v>77</v>
      </c>
      <c r="F682" s="3">
        <v>283</v>
      </c>
      <c r="G682" s="3">
        <v>230</v>
      </c>
    </row>
    <row r="683" spans="1:7" x14ac:dyDescent="0.3">
      <c r="A683" t="s">
        <v>942</v>
      </c>
      <c r="B683" t="s">
        <v>945</v>
      </c>
      <c r="C683" t="s">
        <v>947</v>
      </c>
      <c r="D683" s="3">
        <v>56</v>
      </c>
      <c r="E683" s="3">
        <v>84</v>
      </c>
      <c r="F683" s="3">
        <v>330</v>
      </c>
      <c r="G683" s="3">
        <v>230</v>
      </c>
    </row>
    <row r="684" spans="1:7" x14ac:dyDescent="0.3">
      <c r="A684" t="s">
        <v>456</v>
      </c>
      <c r="B684" t="s">
        <v>524</v>
      </c>
      <c r="C684" t="s">
        <v>282</v>
      </c>
      <c r="D684" s="3">
        <v>29</v>
      </c>
      <c r="E684" s="3">
        <v>159</v>
      </c>
      <c r="F684" s="3">
        <v>692</v>
      </c>
      <c r="G684" s="3">
        <v>230</v>
      </c>
    </row>
    <row r="685" spans="1:7" x14ac:dyDescent="0.3">
      <c r="A685" t="s">
        <v>75</v>
      </c>
      <c r="B685" t="s">
        <v>82</v>
      </c>
      <c r="C685" t="s">
        <v>122</v>
      </c>
      <c r="D685" s="3">
        <v>7</v>
      </c>
      <c r="E685" s="3">
        <v>178</v>
      </c>
      <c r="F685" s="3">
        <v>799</v>
      </c>
      <c r="G685" s="3">
        <v>230</v>
      </c>
    </row>
    <row r="686" spans="1:7" x14ac:dyDescent="0.3">
      <c r="A686" t="s">
        <v>456</v>
      </c>
      <c r="B686" t="s">
        <v>532</v>
      </c>
      <c r="C686" t="s">
        <v>287</v>
      </c>
      <c r="D686" s="3">
        <v>29</v>
      </c>
      <c r="E686" s="3">
        <v>179</v>
      </c>
      <c r="F686" s="3">
        <v>803</v>
      </c>
      <c r="G686" s="3">
        <v>230</v>
      </c>
    </row>
    <row r="687" spans="1:7" x14ac:dyDescent="0.3">
      <c r="A687" t="s">
        <v>239</v>
      </c>
      <c r="B687" t="s">
        <v>245</v>
      </c>
      <c r="C687" t="s">
        <v>268</v>
      </c>
      <c r="D687" s="3">
        <v>17</v>
      </c>
      <c r="E687" s="3">
        <v>185</v>
      </c>
      <c r="F687" s="3">
        <v>835</v>
      </c>
      <c r="G687" s="3">
        <v>230</v>
      </c>
    </row>
    <row r="688" spans="1:7" x14ac:dyDescent="0.3">
      <c r="A688" t="s">
        <v>239</v>
      </c>
      <c r="B688" t="s">
        <v>245</v>
      </c>
      <c r="C688" t="s">
        <v>280</v>
      </c>
      <c r="D688" s="3">
        <v>17</v>
      </c>
      <c r="E688" s="3">
        <v>185</v>
      </c>
      <c r="F688" s="3">
        <v>848</v>
      </c>
      <c r="G688" s="3">
        <v>230</v>
      </c>
    </row>
    <row r="689" spans="1:7" x14ac:dyDescent="0.3">
      <c r="A689" t="s">
        <v>593</v>
      </c>
      <c r="B689" t="s">
        <v>704</v>
      </c>
      <c r="C689" t="s">
        <v>298</v>
      </c>
      <c r="D689" s="3">
        <v>31</v>
      </c>
      <c r="E689" s="3">
        <v>192</v>
      </c>
      <c r="F689" s="3">
        <v>893</v>
      </c>
      <c r="G689" s="3">
        <v>230</v>
      </c>
    </row>
    <row r="690" spans="1:7" x14ac:dyDescent="0.3">
      <c r="A690" t="s">
        <v>7</v>
      </c>
      <c r="B690" t="s">
        <v>8</v>
      </c>
      <c r="C690" t="s">
        <v>12</v>
      </c>
      <c r="D690" s="3">
        <v>2</v>
      </c>
      <c r="E690" s="3">
        <v>7</v>
      </c>
      <c r="F690" s="3">
        <v>28</v>
      </c>
      <c r="G690" s="3">
        <v>240</v>
      </c>
    </row>
    <row r="691" spans="1:7" x14ac:dyDescent="0.3">
      <c r="A691" t="s">
        <v>712</v>
      </c>
      <c r="B691" t="s">
        <v>713</v>
      </c>
      <c r="C691" t="s">
        <v>714</v>
      </c>
      <c r="D691" s="3">
        <v>33</v>
      </c>
      <c r="E691" s="3">
        <v>28</v>
      </c>
      <c r="F691" s="3">
        <v>103</v>
      </c>
      <c r="G691" s="3">
        <v>240</v>
      </c>
    </row>
    <row r="692" spans="1:7" x14ac:dyDescent="0.3">
      <c r="A692" t="s">
        <v>745</v>
      </c>
      <c r="B692" t="s">
        <v>757</v>
      </c>
      <c r="C692" t="s">
        <v>73</v>
      </c>
      <c r="D692" s="3">
        <v>36</v>
      </c>
      <c r="E692" s="3">
        <v>79</v>
      </c>
      <c r="F692" s="3">
        <v>290</v>
      </c>
      <c r="G692" s="3">
        <v>240</v>
      </c>
    </row>
    <row r="693" spans="1:7" x14ac:dyDescent="0.3">
      <c r="A693" t="s">
        <v>456</v>
      </c>
      <c r="B693" t="s">
        <v>507</v>
      </c>
      <c r="C693" t="s">
        <v>514</v>
      </c>
      <c r="D693" s="3">
        <v>29</v>
      </c>
      <c r="E693" s="3">
        <v>106</v>
      </c>
      <c r="F693" s="3">
        <v>406</v>
      </c>
      <c r="G693" s="3">
        <v>240</v>
      </c>
    </row>
    <row r="694" spans="1:7" x14ac:dyDescent="0.3">
      <c r="A694" t="s">
        <v>363</v>
      </c>
      <c r="B694" t="s">
        <v>374</v>
      </c>
      <c r="C694" t="s">
        <v>377</v>
      </c>
      <c r="D694" s="3">
        <v>26</v>
      </c>
      <c r="E694" s="3">
        <v>115</v>
      </c>
      <c r="F694" s="3">
        <v>518</v>
      </c>
      <c r="G694" s="3">
        <v>240</v>
      </c>
    </row>
    <row r="695" spans="1:7" x14ac:dyDescent="0.3">
      <c r="A695" t="s">
        <v>363</v>
      </c>
      <c r="B695" t="s">
        <v>390</v>
      </c>
      <c r="C695" t="s">
        <v>409</v>
      </c>
      <c r="D695" s="3">
        <v>26</v>
      </c>
      <c r="E695" s="3">
        <v>126</v>
      </c>
      <c r="F695" s="3">
        <v>590</v>
      </c>
      <c r="G695" s="3">
        <v>240</v>
      </c>
    </row>
    <row r="696" spans="1:7" x14ac:dyDescent="0.3">
      <c r="A696" t="s">
        <v>875</v>
      </c>
      <c r="B696" t="s">
        <v>896</v>
      </c>
      <c r="C696" t="s">
        <v>329</v>
      </c>
      <c r="D696" s="3">
        <v>50</v>
      </c>
      <c r="E696" s="3">
        <v>152</v>
      </c>
      <c r="F696" s="3">
        <v>670</v>
      </c>
      <c r="G696" s="3">
        <v>240</v>
      </c>
    </row>
    <row r="697" spans="1:7" x14ac:dyDescent="0.3">
      <c r="A697" t="s">
        <v>331</v>
      </c>
      <c r="B697" t="s">
        <v>332</v>
      </c>
      <c r="C697" t="s">
        <v>333</v>
      </c>
      <c r="D697" s="3">
        <v>22</v>
      </c>
      <c r="E697" s="3">
        <v>4</v>
      </c>
      <c r="F697" s="3">
        <v>16</v>
      </c>
      <c r="G697" s="3">
        <v>250</v>
      </c>
    </row>
    <row r="698" spans="1:7" x14ac:dyDescent="0.3">
      <c r="A698" t="s">
        <v>536</v>
      </c>
      <c r="B698" t="s">
        <v>544</v>
      </c>
      <c r="C698" t="s">
        <v>545</v>
      </c>
      <c r="D698" s="3">
        <v>30</v>
      </c>
      <c r="E698" s="3">
        <v>8</v>
      </c>
      <c r="F698" s="3">
        <v>30</v>
      </c>
      <c r="G698" s="3">
        <v>250</v>
      </c>
    </row>
    <row r="699" spans="1:7" x14ac:dyDescent="0.3">
      <c r="A699" t="s">
        <v>7</v>
      </c>
      <c r="B699" t="s">
        <v>14</v>
      </c>
      <c r="C699" t="s">
        <v>18</v>
      </c>
      <c r="D699" s="3">
        <v>2</v>
      </c>
      <c r="E699" s="3">
        <v>16</v>
      </c>
      <c r="F699" s="3">
        <v>72</v>
      </c>
      <c r="G699" s="3">
        <v>250</v>
      </c>
    </row>
    <row r="700" spans="1:7" x14ac:dyDescent="0.3">
      <c r="A700" t="s">
        <v>966</v>
      </c>
      <c r="B700" t="s">
        <v>967</v>
      </c>
      <c r="C700" t="s">
        <v>969</v>
      </c>
      <c r="D700" s="3">
        <v>60</v>
      </c>
      <c r="E700" s="3">
        <v>87</v>
      </c>
      <c r="F700" s="3">
        <v>337</v>
      </c>
      <c r="G700" s="3">
        <v>250</v>
      </c>
    </row>
    <row r="701" spans="1:7" x14ac:dyDescent="0.3">
      <c r="A701" t="s">
        <v>875</v>
      </c>
      <c r="B701" t="s">
        <v>893</v>
      </c>
      <c r="C701" t="s">
        <v>894</v>
      </c>
      <c r="D701" s="3">
        <v>50</v>
      </c>
      <c r="E701" s="3">
        <v>116</v>
      </c>
      <c r="F701" s="3">
        <v>522</v>
      </c>
      <c r="G701" s="3">
        <v>250</v>
      </c>
    </row>
    <row r="702" spans="1:7" x14ac:dyDescent="0.3">
      <c r="A702" t="s">
        <v>593</v>
      </c>
      <c r="B702" t="s">
        <v>676</v>
      </c>
      <c r="C702" t="s">
        <v>60</v>
      </c>
      <c r="D702" s="3">
        <v>31</v>
      </c>
      <c r="E702" s="3">
        <v>121</v>
      </c>
      <c r="F702" s="3">
        <v>535</v>
      </c>
      <c r="G702" s="3">
        <v>250</v>
      </c>
    </row>
    <row r="703" spans="1:7" x14ac:dyDescent="0.3">
      <c r="A703" t="s">
        <v>536</v>
      </c>
      <c r="B703" t="s">
        <v>563</v>
      </c>
      <c r="C703" t="s">
        <v>569</v>
      </c>
      <c r="D703" s="3">
        <v>30</v>
      </c>
      <c r="E703" s="3">
        <v>131</v>
      </c>
      <c r="F703" s="3">
        <v>607</v>
      </c>
      <c r="G703" s="3">
        <v>250</v>
      </c>
    </row>
    <row r="704" spans="1:7" x14ac:dyDescent="0.3">
      <c r="A704" t="s">
        <v>875</v>
      </c>
      <c r="B704" t="s">
        <v>896</v>
      </c>
      <c r="C704" t="s">
        <v>204</v>
      </c>
      <c r="D704" s="3">
        <v>50</v>
      </c>
      <c r="E704" s="3">
        <v>152</v>
      </c>
      <c r="F704" s="3">
        <v>665</v>
      </c>
      <c r="G704" s="3">
        <v>250</v>
      </c>
    </row>
    <row r="705" spans="1:7" x14ac:dyDescent="0.3">
      <c r="A705" t="s">
        <v>536</v>
      </c>
      <c r="B705" t="s">
        <v>587</v>
      </c>
      <c r="C705" t="s">
        <v>592</v>
      </c>
      <c r="D705" s="3">
        <v>30</v>
      </c>
      <c r="E705" s="3">
        <v>174</v>
      </c>
      <c r="F705" s="3">
        <v>749</v>
      </c>
      <c r="G705" s="3">
        <v>250</v>
      </c>
    </row>
    <row r="706" spans="1:7" x14ac:dyDescent="0.3">
      <c r="A706" t="s">
        <v>28</v>
      </c>
      <c r="B706" t="s">
        <v>29</v>
      </c>
      <c r="C706" t="s">
        <v>30</v>
      </c>
      <c r="D706" s="3">
        <v>4</v>
      </c>
      <c r="E706" s="3">
        <v>5</v>
      </c>
      <c r="F706" s="3">
        <v>17</v>
      </c>
      <c r="G706" s="3">
        <v>260</v>
      </c>
    </row>
    <row r="707" spans="1:7" x14ac:dyDescent="0.3">
      <c r="A707" t="s">
        <v>536</v>
      </c>
      <c r="B707" t="s">
        <v>551</v>
      </c>
      <c r="C707" t="s">
        <v>179</v>
      </c>
      <c r="D707" s="3">
        <v>30</v>
      </c>
      <c r="E707" s="3">
        <v>59</v>
      </c>
      <c r="F707" s="3">
        <v>211</v>
      </c>
      <c r="G707" s="3">
        <v>260</v>
      </c>
    </row>
    <row r="708" spans="1:7" x14ac:dyDescent="0.3">
      <c r="A708" t="s">
        <v>354</v>
      </c>
      <c r="B708" t="s">
        <v>355</v>
      </c>
      <c r="C708" t="s">
        <v>359</v>
      </c>
      <c r="D708" s="3">
        <v>25</v>
      </c>
      <c r="E708" s="3">
        <v>102</v>
      </c>
      <c r="F708" s="3">
        <v>384</v>
      </c>
      <c r="G708" s="3">
        <v>260</v>
      </c>
    </row>
    <row r="709" spans="1:7" x14ac:dyDescent="0.3">
      <c r="A709" t="s">
        <v>363</v>
      </c>
      <c r="B709" t="s">
        <v>366</v>
      </c>
      <c r="C709" t="s">
        <v>85</v>
      </c>
      <c r="D709" s="3">
        <v>26</v>
      </c>
      <c r="E709" s="3">
        <v>108</v>
      </c>
      <c r="F709" s="3">
        <v>452</v>
      </c>
      <c r="G709" s="3">
        <v>260</v>
      </c>
    </row>
    <row r="710" spans="1:7" x14ac:dyDescent="0.3">
      <c r="A710" t="s">
        <v>875</v>
      </c>
      <c r="B710" t="s">
        <v>888</v>
      </c>
      <c r="C710" t="s">
        <v>890</v>
      </c>
      <c r="D710" s="3">
        <v>50</v>
      </c>
      <c r="E710" s="3">
        <v>113</v>
      </c>
      <c r="F710" s="3">
        <v>512</v>
      </c>
      <c r="G710" s="3">
        <v>260</v>
      </c>
    </row>
    <row r="711" spans="1:7" x14ac:dyDescent="0.3">
      <c r="A711" t="s">
        <v>28</v>
      </c>
      <c r="B711" t="s">
        <v>37</v>
      </c>
      <c r="C711" t="s">
        <v>42</v>
      </c>
      <c r="D711" s="3">
        <v>4</v>
      </c>
      <c r="E711" s="3">
        <v>15</v>
      </c>
      <c r="F711" s="3">
        <v>47</v>
      </c>
      <c r="G711" s="3">
        <v>270</v>
      </c>
    </row>
    <row r="712" spans="1:7" x14ac:dyDescent="0.3">
      <c r="A712" t="s">
        <v>308</v>
      </c>
      <c r="B712" t="s">
        <v>309</v>
      </c>
      <c r="C712" t="s">
        <v>310</v>
      </c>
      <c r="D712" s="3">
        <v>18</v>
      </c>
      <c r="E712" s="3">
        <v>51</v>
      </c>
      <c r="F712" s="3">
        <v>184</v>
      </c>
      <c r="G712" s="3">
        <v>270</v>
      </c>
    </row>
    <row r="713" spans="1:7" x14ac:dyDescent="0.3">
      <c r="A713" t="s">
        <v>536</v>
      </c>
      <c r="B713" t="s">
        <v>553</v>
      </c>
      <c r="C713" t="s">
        <v>555</v>
      </c>
      <c r="D713" s="3">
        <v>30</v>
      </c>
      <c r="E713" s="3">
        <v>69</v>
      </c>
      <c r="F713" s="3">
        <v>230</v>
      </c>
      <c r="G713" s="3">
        <v>270</v>
      </c>
    </row>
    <row r="714" spans="1:7" x14ac:dyDescent="0.3">
      <c r="A714" t="s">
        <v>363</v>
      </c>
      <c r="B714" t="s">
        <v>366</v>
      </c>
      <c r="C714" t="s">
        <v>60</v>
      </c>
      <c r="D714" s="3">
        <v>26</v>
      </c>
      <c r="E714" s="3">
        <v>108</v>
      </c>
      <c r="F714" s="3">
        <v>457</v>
      </c>
      <c r="G714" s="3">
        <v>270</v>
      </c>
    </row>
    <row r="715" spans="1:7" x14ac:dyDescent="0.3">
      <c r="A715" t="s">
        <v>593</v>
      </c>
      <c r="B715" t="s">
        <v>676</v>
      </c>
      <c r="C715" t="s">
        <v>678</v>
      </c>
      <c r="D715" s="3">
        <v>31</v>
      </c>
      <c r="E715" s="3">
        <v>121</v>
      </c>
      <c r="F715" s="3">
        <v>534</v>
      </c>
      <c r="G715" s="3">
        <v>270</v>
      </c>
    </row>
    <row r="716" spans="1:7" x14ac:dyDescent="0.3">
      <c r="A716" t="s">
        <v>875</v>
      </c>
      <c r="B716" t="s">
        <v>896</v>
      </c>
      <c r="C716" t="s">
        <v>400</v>
      </c>
      <c r="D716" s="3">
        <v>50</v>
      </c>
      <c r="E716" s="3">
        <v>152</v>
      </c>
      <c r="F716" s="3">
        <v>655</v>
      </c>
      <c r="G716" s="3">
        <v>270</v>
      </c>
    </row>
    <row r="717" spans="1:7" x14ac:dyDescent="0.3">
      <c r="A717" t="s">
        <v>222</v>
      </c>
      <c r="B717" t="s">
        <v>231</v>
      </c>
      <c r="C717" t="s">
        <v>232</v>
      </c>
      <c r="D717" s="3">
        <v>16</v>
      </c>
      <c r="E717" s="3">
        <v>163</v>
      </c>
      <c r="F717" s="3">
        <v>704</v>
      </c>
      <c r="G717" s="3">
        <v>270</v>
      </c>
    </row>
    <row r="718" spans="1:7" x14ac:dyDescent="0.3">
      <c r="A718" t="s">
        <v>67</v>
      </c>
      <c r="B718" t="s">
        <v>70</v>
      </c>
      <c r="C718" t="s">
        <v>69</v>
      </c>
      <c r="D718" s="3">
        <v>5</v>
      </c>
      <c r="E718" s="3">
        <v>166</v>
      </c>
      <c r="F718" s="3">
        <v>716</v>
      </c>
      <c r="G718" s="3">
        <v>270</v>
      </c>
    </row>
    <row r="719" spans="1:7" x14ac:dyDescent="0.3">
      <c r="A719" t="s">
        <v>957</v>
      </c>
      <c r="B719" t="s">
        <v>962</v>
      </c>
      <c r="C719" t="s">
        <v>21</v>
      </c>
      <c r="D719" s="3">
        <v>59</v>
      </c>
      <c r="E719" s="3">
        <v>195</v>
      </c>
      <c r="F719" s="3">
        <v>922</v>
      </c>
      <c r="G719" s="3">
        <v>270</v>
      </c>
    </row>
    <row r="720" spans="1:7" x14ac:dyDescent="0.3">
      <c r="A720" t="s">
        <v>745</v>
      </c>
      <c r="B720" t="s">
        <v>748</v>
      </c>
      <c r="C720" t="s">
        <v>100</v>
      </c>
      <c r="D720" s="3">
        <v>36</v>
      </c>
      <c r="E720" s="3">
        <v>24</v>
      </c>
      <c r="F720" s="3">
        <v>85</v>
      </c>
      <c r="G720" s="3">
        <v>280</v>
      </c>
    </row>
    <row r="721" spans="1:7" x14ac:dyDescent="0.3">
      <c r="A721" t="s">
        <v>456</v>
      </c>
      <c r="B721" t="s">
        <v>474</v>
      </c>
      <c r="C721" t="s">
        <v>476</v>
      </c>
      <c r="D721" s="3">
        <v>29</v>
      </c>
      <c r="E721" s="3">
        <v>31</v>
      </c>
      <c r="F721" s="3">
        <v>117</v>
      </c>
      <c r="G721" s="3">
        <v>280</v>
      </c>
    </row>
    <row r="722" spans="1:7" x14ac:dyDescent="0.3">
      <c r="A722" t="s">
        <v>134</v>
      </c>
      <c r="B722" t="s">
        <v>135</v>
      </c>
      <c r="C722" t="s">
        <v>138</v>
      </c>
      <c r="D722" s="3">
        <v>10</v>
      </c>
      <c r="E722" s="3">
        <v>48</v>
      </c>
      <c r="F722" s="3">
        <v>173</v>
      </c>
      <c r="G722" s="3">
        <v>280</v>
      </c>
    </row>
    <row r="723" spans="1:7" x14ac:dyDescent="0.3">
      <c r="A723" t="s">
        <v>171</v>
      </c>
      <c r="B723" t="s">
        <v>188</v>
      </c>
      <c r="C723" t="s">
        <v>210</v>
      </c>
      <c r="D723" s="3">
        <v>15</v>
      </c>
      <c r="E723" s="3">
        <v>107</v>
      </c>
      <c r="F723" s="3">
        <v>434</v>
      </c>
      <c r="G723" s="3">
        <v>280</v>
      </c>
    </row>
    <row r="724" spans="1:7" x14ac:dyDescent="0.3">
      <c r="A724" t="s">
        <v>75</v>
      </c>
      <c r="B724" t="s">
        <v>82</v>
      </c>
      <c r="C724" t="s">
        <v>103</v>
      </c>
      <c r="D724" s="3">
        <v>7</v>
      </c>
      <c r="E724" s="3">
        <v>178</v>
      </c>
      <c r="F724" s="3">
        <v>780</v>
      </c>
      <c r="G724" s="3">
        <v>280</v>
      </c>
    </row>
    <row r="725" spans="1:7" x14ac:dyDescent="0.3">
      <c r="A725" t="s">
        <v>239</v>
      </c>
      <c r="B725" t="s">
        <v>245</v>
      </c>
      <c r="C725" t="s">
        <v>282</v>
      </c>
      <c r="D725" s="3">
        <v>17</v>
      </c>
      <c r="E725" s="3">
        <v>185</v>
      </c>
      <c r="F725" s="3">
        <v>851</v>
      </c>
      <c r="G725" s="3">
        <v>280</v>
      </c>
    </row>
    <row r="726" spans="1:7" x14ac:dyDescent="0.3">
      <c r="A726" t="s">
        <v>593</v>
      </c>
      <c r="B726" t="s">
        <v>704</v>
      </c>
      <c r="C726" t="s">
        <v>21</v>
      </c>
      <c r="D726" s="3">
        <v>31</v>
      </c>
      <c r="E726" s="3">
        <v>192</v>
      </c>
      <c r="F726" s="3">
        <v>892</v>
      </c>
      <c r="G726" s="3">
        <v>280</v>
      </c>
    </row>
    <row r="727" spans="1:7" x14ac:dyDescent="0.3">
      <c r="A727" t="s">
        <v>790</v>
      </c>
      <c r="B727" t="s">
        <v>791</v>
      </c>
      <c r="C727" t="s">
        <v>618</v>
      </c>
      <c r="D727" s="3">
        <v>37</v>
      </c>
      <c r="E727" s="3">
        <v>194</v>
      </c>
      <c r="F727" s="3">
        <v>912</v>
      </c>
      <c r="G727" s="3">
        <v>280</v>
      </c>
    </row>
    <row r="728" spans="1:7" x14ac:dyDescent="0.3">
      <c r="A728" t="s">
        <v>456</v>
      </c>
      <c r="B728" t="s">
        <v>457</v>
      </c>
      <c r="C728" t="s">
        <v>464</v>
      </c>
      <c r="D728" s="3">
        <v>29</v>
      </c>
      <c r="E728" s="3">
        <v>2</v>
      </c>
      <c r="F728" s="3">
        <v>12</v>
      </c>
      <c r="G728" s="3">
        <v>290</v>
      </c>
    </row>
    <row r="729" spans="1:7" x14ac:dyDescent="0.3">
      <c r="A729" t="s">
        <v>7</v>
      </c>
      <c r="B729" t="s">
        <v>8</v>
      </c>
      <c r="C729" t="s">
        <v>11</v>
      </c>
      <c r="D729" s="3">
        <v>2</v>
      </c>
      <c r="E729" s="3">
        <v>7</v>
      </c>
      <c r="F729" s="3">
        <v>27</v>
      </c>
      <c r="G729" s="3">
        <v>290</v>
      </c>
    </row>
    <row r="730" spans="1:7" x14ac:dyDescent="0.3">
      <c r="A730" t="s">
        <v>593</v>
      </c>
      <c r="B730" t="s">
        <v>597</v>
      </c>
      <c r="C730" t="s">
        <v>386</v>
      </c>
      <c r="D730" s="3">
        <v>31</v>
      </c>
      <c r="E730" s="3">
        <v>23</v>
      </c>
      <c r="F730" s="3">
        <v>80</v>
      </c>
      <c r="G730" s="3">
        <v>290</v>
      </c>
    </row>
    <row r="731" spans="1:7" x14ac:dyDescent="0.3">
      <c r="A731" t="s">
        <v>239</v>
      </c>
      <c r="B731" t="s">
        <v>240</v>
      </c>
      <c r="C731" t="s">
        <v>60</v>
      </c>
      <c r="D731" s="3">
        <v>17</v>
      </c>
      <c r="E731" s="3">
        <v>25</v>
      </c>
      <c r="F731" s="3">
        <v>97</v>
      </c>
      <c r="G731" s="3">
        <v>290</v>
      </c>
    </row>
    <row r="732" spans="1:7" x14ac:dyDescent="0.3">
      <c r="A732" t="s">
        <v>712</v>
      </c>
      <c r="B732" t="s">
        <v>713</v>
      </c>
      <c r="C732" t="s">
        <v>60</v>
      </c>
      <c r="D732" s="3">
        <v>33</v>
      </c>
      <c r="E732" s="3">
        <v>28</v>
      </c>
      <c r="F732" s="3">
        <v>111</v>
      </c>
      <c r="G732" s="3">
        <v>290</v>
      </c>
    </row>
    <row r="733" spans="1:7" x14ac:dyDescent="0.3">
      <c r="A733" t="s">
        <v>593</v>
      </c>
      <c r="B733" t="s">
        <v>626</v>
      </c>
      <c r="C733" t="s">
        <v>655</v>
      </c>
      <c r="D733" s="3">
        <v>31</v>
      </c>
      <c r="E733" s="3">
        <v>109</v>
      </c>
      <c r="F733" s="3">
        <v>486</v>
      </c>
      <c r="G733" s="3">
        <v>290</v>
      </c>
    </row>
    <row r="734" spans="1:7" x14ac:dyDescent="0.3">
      <c r="A734" t="s">
        <v>28</v>
      </c>
      <c r="B734" t="s">
        <v>37</v>
      </c>
      <c r="C734" t="s">
        <v>38</v>
      </c>
      <c r="D734" s="3">
        <v>4</v>
      </c>
      <c r="E734" s="3">
        <v>15</v>
      </c>
      <c r="F734" s="3">
        <v>43</v>
      </c>
      <c r="G734" s="3">
        <v>300</v>
      </c>
    </row>
    <row r="735" spans="1:7" x14ac:dyDescent="0.3">
      <c r="A735" t="s">
        <v>725</v>
      </c>
      <c r="B735" t="s">
        <v>729</v>
      </c>
      <c r="C735" t="s">
        <v>73</v>
      </c>
      <c r="D735" s="3">
        <v>35</v>
      </c>
      <c r="E735" s="3">
        <v>39</v>
      </c>
      <c r="F735" s="3">
        <v>147</v>
      </c>
      <c r="G735" s="3">
        <v>300</v>
      </c>
    </row>
    <row r="736" spans="1:7" x14ac:dyDescent="0.3">
      <c r="A736" t="s">
        <v>416</v>
      </c>
      <c r="B736" t="s">
        <v>427</v>
      </c>
      <c r="C736" t="s">
        <v>60</v>
      </c>
      <c r="D736" s="3">
        <v>27</v>
      </c>
      <c r="E736" s="3">
        <v>73</v>
      </c>
      <c r="F736" s="3">
        <v>257</v>
      </c>
      <c r="G736" s="3">
        <v>300</v>
      </c>
    </row>
    <row r="737" spans="1:7" x14ac:dyDescent="0.3">
      <c r="A737" t="s">
        <v>875</v>
      </c>
      <c r="B737" t="s">
        <v>887</v>
      </c>
      <c r="C737" t="s">
        <v>353</v>
      </c>
      <c r="D737" s="3">
        <v>50</v>
      </c>
      <c r="E737" s="3">
        <v>104</v>
      </c>
      <c r="F737" s="3">
        <v>390</v>
      </c>
      <c r="G737" s="3">
        <v>300</v>
      </c>
    </row>
    <row r="738" spans="1:7" x14ac:dyDescent="0.3">
      <c r="A738" t="s">
        <v>363</v>
      </c>
      <c r="B738" t="s">
        <v>366</v>
      </c>
      <c r="C738" t="s">
        <v>370</v>
      </c>
      <c r="D738" s="3">
        <v>26</v>
      </c>
      <c r="E738" s="3">
        <v>108</v>
      </c>
      <c r="F738" s="3">
        <v>453</v>
      </c>
      <c r="G738" s="3">
        <v>300</v>
      </c>
    </row>
    <row r="739" spans="1:7" x14ac:dyDescent="0.3">
      <c r="A739" t="s">
        <v>75</v>
      </c>
      <c r="B739" t="s">
        <v>82</v>
      </c>
      <c r="C739" t="s">
        <v>99</v>
      </c>
      <c r="D739" s="3">
        <v>7</v>
      </c>
      <c r="E739" s="3">
        <v>178</v>
      </c>
      <c r="F739" s="3">
        <v>776</v>
      </c>
      <c r="G739" s="3">
        <v>300</v>
      </c>
    </row>
    <row r="740" spans="1:7" x14ac:dyDescent="0.3">
      <c r="A740" t="s">
        <v>239</v>
      </c>
      <c r="B740" t="s">
        <v>245</v>
      </c>
      <c r="C740" t="s">
        <v>274</v>
      </c>
      <c r="D740" s="3">
        <v>17</v>
      </c>
      <c r="E740" s="3">
        <v>185</v>
      </c>
      <c r="F740" s="3">
        <v>841</v>
      </c>
      <c r="G740" s="3">
        <v>300</v>
      </c>
    </row>
    <row r="741" spans="1:7" x14ac:dyDescent="0.3">
      <c r="A741" t="s">
        <v>28</v>
      </c>
      <c r="B741" t="s">
        <v>37</v>
      </c>
      <c r="C741" t="s">
        <v>57</v>
      </c>
      <c r="D741" s="3">
        <v>4</v>
      </c>
      <c r="E741" s="3">
        <v>15</v>
      </c>
      <c r="F741" s="3">
        <v>63</v>
      </c>
      <c r="G741" s="3">
        <v>310</v>
      </c>
    </row>
    <row r="742" spans="1:7" x14ac:dyDescent="0.3">
      <c r="A742" t="s">
        <v>416</v>
      </c>
      <c r="B742" t="s">
        <v>427</v>
      </c>
      <c r="C742" t="s">
        <v>414</v>
      </c>
      <c r="D742" s="3">
        <v>27</v>
      </c>
      <c r="E742" s="3">
        <v>73</v>
      </c>
      <c r="F742" s="3">
        <v>246</v>
      </c>
      <c r="G742" s="3">
        <v>310</v>
      </c>
    </row>
    <row r="743" spans="1:7" x14ac:dyDescent="0.3">
      <c r="A743" t="s">
        <v>593</v>
      </c>
      <c r="B743" t="s">
        <v>676</v>
      </c>
      <c r="C743" t="s">
        <v>677</v>
      </c>
      <c r="D743" s="3">
        <v>31</v>
      </c>
      <c r="E743" s="3">
        <v>121</v>
      </c>
      <c r="F743" s="3">
        <v>533</v>
      </c>
      <c r="G743" s="3">
        <v>310</v>
      </c>
    </row>
    <row r="744" spans="1:7" x14ac:dyDescent="0.3">
      <c r="A744" t="s">
        <v>239</v>
      </c>
      <c r="B744" t="s">
        <v>245</v>
      </c>
      <c r="C744" t="s">
        <v>263</v>
      </c>
      <c r="D744" s="3">
        <v>17</v>
      </c>
      <c r="E744" s="3">
        <v>185</v>
      </c>
      <c r="F744" s="3">
        <v>830</v>
      </c>
      <c r="G744" s="3">
        <v>310</v>
      </c>
    </row>
    <row r="745" spans="1:7" x14ac:dyDescent="0.3">
      <c r="A745" t="s">
        <v>28</v>
      </c>
      <c r="B745" t="s">
        <v>37</v>
      </c>
      <c r="C745" t="s">
        <v>48</v>
      </c>
      <c r="D745" s="3">
        <v>4</v>
      </c>
      <c r="E745" s="3">
        <v>15</v>
      </c>
      <c r="F745" s="3">
        <v>53</v>
      </c>
      <c r="G745" s="3">
        <v>320</v>
      </c>
    </row>
    <row r="746" spans="1:7" x14ac:dyDescent="0.3">
      <c r="A746" t="s">
        <v>315</v>
      </c>
      <c r="B746" t="s">
        <v>316</v>
      </c>
      <c r="C746" t="s">
        <v>143</v>
      </c>
      <c r="D746" s="3">
        <v>19</v>
      </c>
      <c r="E746" s="3">
        <v>52</v>
      </c>
      <c r="F746" s="3">
        <v>185</v>
      </c>
      <c r="G746" s="3">
        <v>320</v>
      </c>
    </row>
    <row r="747" spans="1:7" x14ac:dyDescent="0.3">
      <c r="A747" t="s">
        <v>745</v>
      </c>
      <c r="B747" t="s">
        <v>757</v>
      </c>
      <c r="C747" t="s">
        <v>774</v>
      </c>
      <c r="D747" s="3">
        <v>36</v>
      </c>
      <c r="E747" s="3">
        <v>79</v>
      </c>
      <c r="F747" s="3">
        <v>305</v>
      </c>
      <c r="G747" s="3">
        <v>320</v>
      </c>
    </row>
    <row r="748" spans="1:7" x14ac:dyDescent="0.3">
      <c r="A748" t="s">
        <v>725</v>
      </c>
      <c r="B748" t="s">
        <v>737</v>
      </c>
      <c r="C748" t="s">
        <v>738</v>
      </c>
      <c r="D748" s="3">
        <v>35</v>
      </c>
      <c r="E748" s="3">
        <v>103</v>
      </c>
      <c r="F748" s="3">
        <v>385</v>
      </c>
      <c r="G748" s="3">
        <v>320</v>
      </c>
    </row>
    <row r="749" spans="1:7" x14ac:dyDescent="0.3">
      <c r="A749" t="s">
        <v>593</v>
      </c>
      <c r="B749" t="s">
        <v>626</v>
      </c>
      <c r="C749" t="s">
        <v>643</v>
      </c>
      <c r="D749" s="3">
        <v>31</v>
      </c>
      <c r="E749" s="3">
        <v>109</v>
      </c>
      <c r="F749" s="3">
        <v>474</v>
      </c>
      <c r="G749" s="3">
        <v>320</v>
      </c>
    </row>
    <row r="750" spans="1:7" x14ac:dyDescent="0.3">
      <c r="A750" t="s">
        <v>222</v>
      </c>
      <c r="B750" t="s">
        <v>227</v>
      </c>
      <c r="C750" t="s">
        <v>228</v>
      </c>
      <c r="D750" s="3">
        <v>16</v>
      </c>
      <c r="E750" s="3">
        <v>33</v>
      </c>
      <c r="F750" s="3">
        <v>125</v>
      </c>
      <c r="G750" s="3">
        <v>330</v>
      </c>
    </row>
    <row r="751" spans="1:7" x14ac:dyDescent="0.3">
      <c r="A751" t="s">
        <v>28</v>
      </c>
      <c r="B751" t="s">
        <v>37</v>
      </c>
      <c r="C751" t="s">
        <v>45</v>
      </c>
      <c r="D751" s="3">
        <v>4</v>
      </c>
      <c r="E751" s="3">
        <v>15</v>
      </c>
      <c r="F751" s="3">
        <v>50</v>
      </c>
      <c r="G751" s="3">
        <v>340</v>
      </c>
    </row>
    <row r="752" spans="1:7" x14ac:dyDescent="0.3">
      <c r="A752" t="s">
        <v>942</v>
      </c>
      <c r="B752" t="s">
        <v>945</v>
      </c>
      <c r="C752" t="s">
        <v>946</v>
      </c>
      <c r="D752" s="3">
        <v>56</v>
      </c>
      <c r="E752" s="3">
        <v>84</v>
      </c>
      <c r="F752" s="3">
        <v>329</v>
      </c>
      <c r="G752" s="3">
        <v>340</v>
      </c>
    </row>
    <row r="753" spans="1:7" x14ac:dyDescent="0.3">
      <c r="A753" t="s">
        <v>363</v>
      </c>
      <c r="B753" t="s">
        <v>374</v>
      </c>
      <c r="C753" t="s">
        <v>378</v>
      </c>
      <c r="D753" s="3">
        <v>26</v>
      </c>
      <c r="E753" s="3">
        <v>115</v>
      </c>
      <c r="F753" s="3">
        <v>519</v>
      </c>
      <c r="G753" s="3">
        <v>340</v>
      </c>
    </row>
    <row r="754" spans="1:7" x14ac:dyDescent="0.3">
      <c r="A754" t="s">
        <v>957</v>
      </c>
      <c r="B754" t="s">
        <v>960</v>
      </c>
      <c r="C754" t="s">
        <v>961</v>
      </c>
      <c r="D754" s="3">
        <v>59</v>
      </c>
      <c r="E754" s="3">
        <v>161</v>
      </c>
      <c r="F754" s="3">
        <v>701</v>
      </c>
      <c r="G754" s="3">
        <v>340</v>
      </c>
    </row>
    <row r="755" spans="1:7" x14ac:dyDescent="0.3">
      <c r="A755" t="s">
        <v>239</v>
      </c>
      <c r="B755" t="s">
        <v>245</v>
      </c>
      <c r="C755" t="s">
        <v>276</v>
      </c>
      <c r="D755" s="3">
        <v>17</v>
      </c>
      <c r="E755" s="3">
        <v>185</v>
      </c>
      <c r="F755" s="3">
        <v>844</v>
      </c>
      <c r="G755" s="3">
        <v>340</v>
      </c>
    </row>
    <row r="756" spans="1:7" x14ac:dyDescent="0.3">
      <c r="A756" t="s">
        <v>957</v>
      </c>
      <c r="B756" t="s">
        <v>962</v>
      </c>
      <c r="C756" t="s">
        <v>798</v>
      </c>
      <c r="D756" s="3">
        <v>59</v>
      </c>
      <c r="E756" s="3">
        <v>195</v>
      </c>
      <c r="F756" s="3">
        <v>921</v>
      </c>
      <c r="G756" s="3">
        <v>340</v>
      </c>
    </row>
    <row r="757" spans="1:7" x14ac:dyDescent="0.3">
      <c r="A757" t="s">
        <v>536</v>
      </c>
      <c r="B757" t="s">
        <v>537</v>
      </c>
      <c r="C757" t="s">
        <v>540</v>
      </c>
      <c r="D757" s="3">
        <v>30</v>
      </c>
      <c r="E757" s="3">
        <v>1</v>
      </c>
      <c r="F757" s="3">
        <v>3</v>
      </c>
      <c r="G757" s="3">
        <v>350</v>
      </c>
    </row>
    <row r="758" spans="1:7" x14ac:dyDescent="0.3">
      <c r="A758" t="s">
        <v>456</v>
      </c>
      <c r="B758" t="s">
        <v>483</v>
      </c>
      <c r="C758" t="s">
        <v>488</v>
      </c>
      <c r="D758" s="3">
        <v>29</v>
      </c>
      <c r="E758" s="3">
        <v>47</v>
      </c>
      <c r="F758" s="3">
        <v>169</v>
      </c>
      <c r="G758" s="3">
        <v>350</v>
      </c>
    </row>
    <row r="759" spans="1:7" x14ac:dyDescent="0.3">
      <c r="A759" t="s">
        <v>67</v>
      </c>
      <c r="B759" t="s">
        <v>68</v>
      </c>
      <c r="C759" t="s">
        <v>69</v>
      </c>
      <c r="D759" s="3">
        <v>5</v>
      </c>
      <c r="E759" s="3">
        <v>57</v>
      </c>
      <c r="F759" s="3">
        <v>206</v>
      </c>
      <c r="G759" s="3">
        <v>350</v>
      </c>
    </row>
    <row r="760" spans="1:7" x14ac:dyDescent="0.3">
      <c r="A760" t="s">
        <v>456</v>
      </c>
      <c r="B760" t="s">
        <v>500</v>
      </c>
      <c r="C760" t="s">
        <v>503</v>
      </c>
      <c r="D760" s="3">
        <v>29</v>
      </c>
      <c r="E760" s="3">
        <v>97</v>
      </c>
      <c r="F760" s="3">
        <v>368</v>
      </c>
      <c r="G760" s="3">
        <v>350</v>
      </c>
    </row>
    <row r="761" spans="1:7" x14ac:dyDescent="0.3">
      <c r="A761" t="s">
        <v>456</v>
      </c>
      <c r="B761" t="s">
        <v>500</v>
      </c>
      <c r="C761" t="s">
        <v>60</v>
      </c>
      <c r="D761" s="3">
        <v>29</v>
      </c>
      <c r="E761" s="3">
        <v>97</v>
      </c>
      <c r="F761" s="3">
        <v>372</v>
      </c>
      <c r="G761" s="3">
        <v>350</v>
      </c>
    </row>
    <row r="762" spans="1:7" x14ac:dyDescent="0.3">
      <c r="A762" t="s">
        <v>875</v>
      </c>
      <c r="B762" t="s">
        <v>887</v>
      </c>
      <c r="C762" t="s">
        <v>60</v>
      </c>
      <c r="D762" s="3">
        <v>50</v>
      </c>
      <c r="E762" s="3">
        <v>104</v>
      </c>
      <c r="F762" s="3">
        <v>391</v>
      </c>
      <c r="G762" s="3">
        <v>350</v>
      </c>
    </row>
    <row r="763" spans="1:7" x14ac:dyDescent="0.3">
      <c r="A763" t="s">
        <v>171</v>
      </c>
      <c r="B763" t="s">
        <v>188</v>
      </c>
      <c r="C763" t="s">
        <v>106</v>
      </c>
      <c r="D763" s="3">
        <v>15</v>
      </c>
      <c r="E763" s="3">
        <v>107</v>
      </c>
      <c r="F763" s="3">
        <v>423</v>
      </c>
      <c r="G763" s="3">
        <v>350</v>
      </c>
    </row>
    <row r="764" spans="1:7" x14ac:dyDescent="0.3">
      <c r="A764" t="s">
        <v>843</v>
      </c>
      <c r="B764" t="s">
        <v>844</v>
      </c>
      <c r="C764" t="s">
        <v>21</v>
      </c>
      <c r="D764" s="3">
        <v>40</v>
      </c>
      <c r="E764" s="3">
        <v>118</v>
      </c>
      <c r="F764" s="3">
        <v>527</v>
      </c>
      <c r="G764" s="3">
        <v>350</v>
      </c>
    </row>
    <row r="765" spans="1:7" x14ac:dyDescent="0.3">
      <c r="A765" t="s">
        <v>171</v>
      </c>
      <c r="B765" t="s">
        <v>188</v>
      </c>
      <c r="C765" t="s">
        <v>202</v>
      </c>
      <c r="D765" s="3">
        <v>15</v>
      </c>
      <c r="E765" s="3">
        <v>107</v>
      </c>
      <c r="F765" s="3">
        <v>426</v>
      </c>
      <c r="G765" s="3">
        <v>360</v>
      </c>
    </row>
    <row r="766" spans="1:7" x14ac:dyDescent="0.3">
      <c r="A766" t="s">
        <v>593</v>
      </c>
      <c r="B766" t="s">
        <v>656</v>
      </c>
      <c r="C766" t="s">
        <v>157</v>
      </c>
      <c r="D766" s="3">
        <v>31</v>
      </c>
      <c r="E766" s="3">
        <v>112</v>
      </c>
      <c r="F766" s="3">
        <v>507</v>
      </c>
      <c r="G766" s="3">
        <v>360</v>
      </c>
    </row>
    <row r="767" spans="1:7" x14ac:dyDescent="0.3">
      <c r="A767" t="s">
        <v>363</v>
      </c>
      <c r="B767" t="s">
        <v>390</v>
      </c>
      <c r="C767" t="s">
        <v>21</v>
      </c>
      <c r="D767" s="3">
        <v>26</v>
      </c>
      <c r="E767" s="3">
        <v>126</v>
      </c>
      <c r="F767" s="3">
        <v>579</v>
      </c>
      <c r="G767" s="3">
        <v>360</v>
      </c>
    </row>
    <row r="768" spans="1:7" x14ac:dyDescent="0.3">
      <c r="A768" t="s">
        <v>239</v>
      </c>
      <c r="B768" t="s">
        <v>245</v>
      </c>
      <c r="C768" t="s">
        <v>267</v>
      </c>
      <c r="D768" s="3">
        <v>17</v>
      </c>
      <c r="E768" s="3">
        <v>185</v>
      </c>
      <c r="F768" s="3">
        <v>834</v>
      </c>
      <c r="G768" s="3">
        <v>360</v>
      </c>
    </row>
    <row r="769" spans="1:7" x14ac:dyDescent="0.3">
      <c r="A769" t="s">
        <v>790</v>
      </c>
      <c r="B769" t="s">
        <v>791</v>
      </c>
      <c r="C769" t="s">
        <v>801</v>
      </c>
      <c r="D769" s="3">
        <v>37</v>
      </c>
      <c r="E769" s="3">
        <v>194</v>
      </c>
      <c r="F769" s="3">
        <v>907</v>
      </c>
      <c r="G769" s="3">
        <v>360</v>
      </c>
    </row>
    <row r="770" spans="1:7" x14ac:dyDescent="0.3">
      <c r="A770" t="s">
        <v>71</v>
      </c>
      <c r="B770" t="s">
        <v>72</v>
      </c>
      <c r="C770" t="s">
        <v>74</v>
      </c>
      <c r="D770" s="3">
        <v>6</v>
      </c>
      <c r="E770" s="3">
        <v>14</v>
      </c>
      <c r="F770" s="3">
        <v>42</v>
      </c>
      <c r="G770" s="3">
        <v>370</v>
      </c>
    </row>
    <row r="771" spans="1:7" x14ac:dyDescent="0.3">
      <c r="A771" t="s">
        <v>347</v>
      </c>
      <c r="B771" t="s">
        <v>350</v>
      </c>
      <c r="C771" t="s">
        <v>214</v>
      </c>
      <c r="D771" s="3">
        <v>24</v>
      </c>
      <c r="E771" s="3">
        <v>191</v>
      </c>
      <c r="F771" s="3">
        <v>889</v>
      </c>
      <c r="G771" s="3">
        <v>370</v>
      </c>
    </row>
    <row r="772" spans="1:7" x14ac:dyDescent="0.3">
      <c r="A772" t="s">
        <v>536</v>
      </c>
      <c r="B772" t="s">
        <v>542</v>
      </c>
      <c r="C772" t="s">
        <v>543</v>
      </c>
      <c r="D772" s="3">
        <v>30</v>
      </c>
      <c r="E772" s="3">
        <v>3</v>
      </c>
      <c r="F772" s="3">
        <v>15</v>
      </c>
      <c r="G772" s="3">
        <v>380</v>
      </c>
    </row>
    <row r="773" spans="1:7" x14ac:dyDescent="0.3">
      <c r="A773" t="s">
        <v>75</v>
      </c>
      <c r="B773" t="s">
        <v>82</v>
      </c>
      <c r="C773" t="s">
        <v>86</v>
      </c>
      <c r="D773" s="3">
        <v>7</v>
      </c>
      <c r="E773" s="3">
        <v>178</v>
      </c>
      <c r="F773" s="3">
        <v>763</v>
      </c>
      <c r="G773" s="3">
        <v>380</v>
      </c>
    </row>
    <row r="774" spans="1:7" x14ac:dyDescent="0.3">
      <c r="A774" t="s">
        <v>171</v>
      </c>
      <c r="B774" t="s">
        <v>172</v>
      </c>
      <c r="C774" t="s">
        <v>187</v>
      </c>
      <c r="D774" s="3">
        <v>15</v>
      </c>
      <c r="E774" s="3">
        <v>91</v>
      </c>
      <c r="F774" s="3">
        <v>359</v>
      </c>
      <c r="G774" s="3">
        <v>390</v>
      </c>
    </row>
    <row r="775" spans="1:7" x14ac:dyDescent="0.3">
      <c r="A775" t="s">
        <v>832</v>
      </c>
      <c r="B775" t="s">
        <v>833</v>
      </c>
      <c r="C775" t="s">
        <v>212</v>
      </c>
      <c r="D775" s="3">
        <v>39</v>
      </c>
      <c r="E775" s="3">
        <v>124</v>
      </c>
      <c r="F775" s="3">
        <v>562</v>
      </c>
      <c r="G775" s="3">
        <v>390</v>
      </c>
    </row>
    <row r="776" spans="1:7" x14ac:dyDescent="0.3">
      <c r="A776" t="s">
        <v>363</v>
      </c>
      <c r="B776" t="s">
        <v>390</v>
      </c>
      <c r="C776" t="s">
        <v>64</v>
      </c>
      <c r="D776" s="3">
        <v>26</v>
      </c>
      <c r="E776" s="3">
        <v>126</v>
      </c>
      <c r="F776" s="3">
        <v>572</v>
      </c>
      <c r="G776" s="3">
        <v>390</v>
      </c>
    </row>
    <row r="777" spans="1:7" x14ac:dyDescent="0.3">
      <c r="A777" t="s">
        <v>593</v>
      </c>
      <c r="B777" t="s">
        <v>683</v>
      </c>
      <c r="C777" t="s">
        <v>685</v>
      </c>
      <c r="D777" s="3">
        <v>31</v>
      </c>
      <c r="E777" s="3">
        <v>136</v>
      </c>
      <c r="F777" s="3">
        <v>617</v>
      </c>
      <c r="G777" s="3">
        <v>390</v>
      </c>
    </row>
    <row r="778" spans="1:7" x14ac:dyDescent="0.3">
      <c r="A778" t="s">
        <v>593</v>
      </c>
      <c r="B778" t="s">
        <v>694</v>
      </c>
      <c r="C778" t="s">
        <v>699</v>
      </c>
      <c r="D778" s="3">
        <v>31</v>
      </c>
      <c r="E778" s="3">
        <v>157</v>
      </c>
      <c r="F778" s="3">
        <v>689</v>
      </c>
      <c r="G778" s="3">
        <v>390</v>
      </c>
    </row>
    <row r="779" spans="1:7" x14ac:dyDescent="0.3">
      <c r="A779" t="s">
        <v>875</v>
      </c>
      <c r="B779" t="s">
        <v>918</v>
      </c>
      <c r="C779" t="s">
        <v>204</v>
      </c>
      <c r="D779" s="3">
        <v>50</v>
      </c>
      <c r="E779" s="3">
        <v>164</v>
      </c>
      <c r="F779" s="3">
        <v>711</v>
      </c>
      <c r="G779" s="3">
        <v>390</v>
      </c>
    </row>
    <row r="780" spans="1:7" x14ac:dyDescent="0.3">
      <c r="A780" t="s">
        <v>875</v>
      </c>
      <c r="B780" t="s">
        <v>922</v>
      </c>
      <c r="C780" t="s">
        <v>179</v>
      </c>
      <c r="D780" s="3">
        <v>50</v>
      </c>
      <c r="E780" s="3">
        <v>190</v>
      </c>
      <c r="F780" s="3">
        <v>883</v>
      </c>
      <c r="G780" s="3">
        <v>390</v>
      </c>
    </row>
    <row r="781" spans="1:7" x14ac:dyDescent="0.3">
      <c r="A781" t="s">
        <v>7</v>
      </c>
      <c r="B781" t="s">
        <v>14</v>
      </c>
      <c r="C781" t="s">
        <v>19</v>
      </c>
      <c r="D781" s="3">
        <v>2</v>
      </c>
      <c r="E781" s="3">
        <v>16</v>
      </c>
      <c r="F781" s="3">
        <v>73</v>
      </c>
      <c r="G781" s="3">
        <v>400</v>
      </c>
    </row>
    <row r="782" spans="1:7" x14ac:dyDescent="0.3">
      <c r="A782" t="s">
        <v>745</v>
      </c>
      <c r="B782" t="s">
        <v>748</v>
      </c>
      <c r="C782" t="s">
        <v>490</v>
      </c>
      <c r="D782" s="3">
        <v>36</v>
      </c>
      <c r="E782" s="3">
        <v>24</v>
      </c>
      <c r="F782" s="3">
        <v>86</v>
      </c>
      <c r="G782" s="3">
        <v>400</v>
      </c>
    </row>
    <row r="783" spans="1:7" x14ac:dyDescent="0.3">
      <c r="A783" t="s">
        <v>416</v>
      </c>
      <c r="B783" t="s">
        <v>447</v>
      </c>
      <c r="C783" t="s">
        <v>448</v>
      </c>
      <c r="D783" s="3">
        <v>27</v>
      </c>
      <c r="E783" s="3">
        <v>92</v>
      </c>
      <c r="F783" s="3">
        <v>360</v>
      </c>
      <c r="G783" s="3">
        <v>400</v>
      </c>
    </row>
    <row r="784" spans="1:7" x14ac:dyDescent="0.3">
      <c r="A784" t="s">
        <v>171</v>
      </c>
      <c r="B784" t="s">
        <v>188</v>
      </c>
      <c r="C784" t="s">
        <v>214</v>
      </c>
      <c r="D784" s="3">
        <v>15</v>
      </c>
      <c r="E784" s="3">
        <v>107</v>
      </c>
      <c r="F784" s="3">
        <v>439</v>
      </c>
      <c r="G784" s="3">
        <v>400</v>
      </c>
    </row>
    <row r="785" spans="1:7" x14ac:dyDescent="0.3">
      <c r="A785" t="s">
        <v>239</v>
      </c>
      <c r="B785" t="s">
        <v>245</v>
      </c>
      <c r="C785" t="s">
        <v>260</v>
      </c>
      <c r="D785" s="3">
        <v>17</v>
      </c>
      <c r="E785" s="3">
        <v>185</v>
      </c>
      <c r="F785" s="3">
        <v>827</v>
      </c>
      <c r="G785" s="3">
        <v>400</v>
      </c>
    </row>
    <row r="786" spans="1:7" x14ac:dyDescent="0.3">
      <c r="A786" t="s">
        <v>239</v>
      </c>
      <c r="B786" t="s">
        <v>245</v>
      </c>
      <c r="C786" t="s">
        <v>298</v>
      </c>
      <c r="D786" s="3">
        <v>17</v>
      </c>
      <c r="E786" s="3">
        <v>185</v>
      </c>
      <c r="F786" s="3">
        <v>867</v>
      </c>
      <c r="G786" s="3">
        <v>400</v>
      </c>
    </row>
    <row r="787" spans="1:7" x14ac:dyDescent="0.3">
      <c r="A787" t="s">
        <v>28</v>
      </c>
      <c r="B787" t="s">
        <v>29</v>
      </c>
      <c r="C787" t="s">
        <v>33</v>
      </c>
      <c r="D787" s="3">
        <v>4</v>
      </c>
      <c r="E787" s="3">
        <v>5</v>
      </c>
      <c r="F787" s="3">
        <v>20</v>
      </c>
      <c r="G787" s="3">
        <v>410</v>
      </c>
    </row>
    <row r="788" spans="1:7" x14ac:dyDescent="0.3">
      <c r="A788" t="s">
        <v>875</v>
      </c>
      <c r="B788" t="s">
        <v>896</v>
      </c>
      <c r="C788" t="s">
        <v>916</v>
      </c>
      <c r="D788" s="3">
        <v>50</v>
      </c>
      <c r="E788" s="3">
        <v>152</v>
      </c>
      <c r="F788" s="3">
        <v>677</v>
      </c>
      <c r="G788" s="3">
        <v>410</v>
      </c>
    </row>
    <row r="789" spans="1:7" x14ac:dyDescent="0.3">
      <c r="A789" t="s">
        <v>745</v>
      </c>
      <c r="B789" t="s">
        <v>757</v>
      </c>
      <c r="C789" t="s">
        <v>768</v>
      </c>
      <c r="D789" s="3">
        <v>36</v>
      </c>
      <c r="E789" s="3">
        <v>79</v>
      </c>
      <c r="F789" s="3">
        <v>299</v>
      </c>
      <c r="G789" s="3">
        <v>420</v>
      </c>
    </row>
    <row r="790" spans="1:7" x14ac:dyDescent="0.3">
      <c r="A790" t="s">
        <v>171</v>
      </c>
      <c r="B790" t="s">
        <v>188</v>
      </c>
      <c r="C790" t="s">
        <v>193</v>
      </c>
      <c r="D790" s="3">
        <v>15</v>
      </c>
      <c r="E790" s="3">
        <v>107</v>
      </c>
      <c r="F790" s="3">
        <v>415</v>
      </c>
      <c r="G790" s="3">
        <v>420</v>
      </c>
    </row>
    <row r="791" spans="1:7" x14ac:dyDescent="0.3">
      <c r="A791" t="s">
        <v>28</v>
      </c>
      <c r="B791" t="s">
        <v>37</v>
      </c>
      <c r="C791" t="s">
        <v>62</v>
      </c>
      <c r="D791" s="3">
        <v>4</v>
      </c>
      <c r="E791" s="3">
        <v>15</v>
      </c>
      <c r="F791" s="3">
        <v>68</v>
      </c>
      <c r="G791" s="3">
        <v>440</v>
      </c>
    </row>
    <row r="792" spans="1:7" x14ac:dyDescent="0.3">
      <c r="A792" t="s">
        <v>712</v>
      </c>
      <c r="B792" t="s">
        <v>713</v>
      </c>
      <c r="C792" t="s">
        <v>717</v>
      </c>
      <c r="D792" s="3">
        <v>33</v>
      </c>
      <c r="E792" s="3">
        <v>28</v>
      </c>
      <c r="F792" s="3">
        <v>107</v>
      </c>
      <c r="G792" s="3">
        <v>440</v>
      </c>
    </row>
    <row r="793" spans="1:7" x14ac:dyDescent="0.3">
      <c r="A793" t="s">
        <v>593</v>
      </c>
      <c r="B793" t="s">
        <v>679</v>
      </c>
      <c r="C793" t="s">
        <v>680</v>
      </c>
      <c r="D793" s="3">
        <v>31</v>
      </c>
      <c r="E793" s="3">
        <v>122</v>
      </c>
      <c r="F793" s="3">
        <v>536</v>
      </c>
      <c r="G793" s="3">
        <v>440</v>
      </c>
    </row>
    <row r="794" spans="1:7" x14ac:dyDescent="0.3">
      <c r="A794" t="s">
        <v>134</v>
      </c>
      <c r="B794" t="s">
        <v>135</v>
      </c>
      <c r="C794" t="s">
        <v>140</v>
      </c>
      <c r="D794" s="3">
        <v>10</v>
      </c>
      <c r="E794" s="3">
        <v>48</v>
      </c>
      <c r="F794" s="3">
        <v>175</v>
      </c>
      <c r="G794" s="3">
        <v>450</v>
      </c>
    </row>
    <row r="795" spans="1:7" x14ac:dyDescent="0.3">
      <c r="A795" t="s">
        <v>416</v>
      </c>
      <c r="B795" t="s">
        <v>427</v>
      </c>
      <c r="C795" t="s">
        <v>440</v>
      </c>
      <c r="D795" s="3">
        <v>27</v>
      </c>
      <c r="E795" s="3">
        <v>73</v>
      </c>
      <c r="F795" s="3">
        <v>251</v>
      </c>
      <c r="G795" s="3">
        <v>450</v>
      </c>
    </row>
    <row r="796" spans="1:7" x14ac:dyDescent="0.3">
      <c r="A796" t="s">
        <v>171</v>
      </c>
      <c r="B796" t="s">
        <v>188</v>
      </c>
      <c r="C796" t="s">
        <v>189</v>
      </c>
      <c r="D796" s="3">
        <v>15</v>
      </c>
      <c r="E796" s="3">
        <v>107</v>
      </c>
      <c r="F796" s="3">
        <v>409</v>
      </c>
      <c r="G796" s="3">
        <v>450</v>
      </c>
    </row>
    <row r="797" spans="1:7" x14ac:dyDescent="0.3">
      <c r="A797" t="s">
        <v>725</v>
      </c>
      <c r="B797" t="s">
        <v>735</v>
      </c>
      <c r="C797" t="s">
        <v>326</v>
      </c>
      <c r="D797" s="3">
        <v>35</v>
      </c>
      <c r="E797" s="3">
        <v>88</v>
      </c>
      <c r="F797" s="3">
        <v>340</v>
      </c>
      <c r="G797" s="3">
        <v>470</v>
      </c>
    </row>
    <row r="798" spans="1:7" x14ac:dyDescent="0.3">
      <c r="A798" t="s">
        <v>416</v>
      </c>
      <c r="B798" t="s">
        <v>450</v>
      </c>
      <c r="C798" t="s">
        <v>454</v>
      </c>
      <c r="D798" s="3">
        <v>27</v>
      </c>
      <c r="E798" s="3">
        <v>105</v>
      </c>
      <c r="F798" s="3">
        <v>398</v>
      </c>
      <c r="G798" s="3">
        <v>470</v>
      </c>
    </row>
    <row r="799" spans="1:7" x14ac:dyDescent="0.3">
      <c r="A799" t="s">
        <v>321</v>
      </c>
      <c r="B799" t="s">
        <v>322</v>
      </c>
      <c r="C799" t="s">
        <v>60</v>
      </c>
      <c r="D799" s="3">
        <v>21</v>
      </c>
      <c r="E799" s="3">
        <v>173</v>
      </c>
      <c r="F799" s="3">
        <v>742</v>
      </c>
      <c r="G799" s="3">
        <v>470</v>
      </c>
    </row>
    <row r="800" spans="1:7" x14ac:dyDescent="0.3">
      <c r="A800" t="s">
        <v>239</v>
      </c>
      <c r="B800" t="s">
        <v>245</v>
      </c>
      <c r="C800" t="s">
        <v>283</v>
      </c>
      <c r="D800" s="3">
        <v>17</v>
      </c>
      <c r="E800" s="3">
        <v>185</v>
      </c>
      <c r="F800" s="3">
        <v>852</v>
      </c>
      <c r="G800" s="3">
        <v>470</v>
      </c>
    </row>
    <row r="801" spans="1:7" x14ac:dyDescent="0.3">
      <c r="A801" t="s">
        <v>28</v>
      </c>
      <c r="B801" t="s">
        <v>29</v>
      </c>
      <c r="C801" t="s">
        <v>32</v>
      </c>
      <c r="D801" s="3">
        <v>4</v>
      </c>
      <c r="E801" s="3">
        <v>5</v>
      </c>
      <c r="F801" s="3">
        <v>19</v>
      </c>
      <c r="G801" s="3">
        <v>480</v>
      </c>
    </row>
    <row r="802" spans="1:7" x14ac:dyDescent="0.3">
      <c r="A802" t="s">
        <v>416</v>
      </c>
      <c r="B802" t="s">
        <v>418</v>
      </c>
      <c r="C802" t="s">
        <v>419</v>
      </c>
      <c r="D802" s="3">
        <v>27</v>
      </c>
      <c r="E802" s="3">
        <v>35</v>
      </c>
      <c r="F802" s="3">
        <v>129</v>
      </c>
      <c r="G802" s="3">
        <v>480</v>
      </c>
    </row>
    <row r="803" spans="1:7" x14ac:dyDescent="0.3">
      <c r="A803" t="s">
        <v>957</v>
      </c>
      <c r="B803" t="s">
        <v>958</v>
      </c>
      <c r="C803" t="s">
        <v>959</v>
      </c>
      <c r="D803" s="3">
        <v>59</v>
      </c>
      <c r="E803" s="3">
        <v>72</v>
      </c>
      <c r="F803" s="3">
        <v>235</v>
      </c>
      <c r="G803" s="3">
        <v>480</v>
      </c>
    </row>
    <row r="804" spans="1:7" x14ac:dyDescent="0.3">
      <c r="A804" t="s">
        <v>222</v>
      </c>
      <c r="B804" t="s">
        <v>231</v>
      </c>
      <c r="C804" t="s">
        <v>204</v>
      </c>
      <c r="D804" s="3">
        <v>16</v>
      </c>
      <c r="E804" s="3">
        <v>163</v>
      </c>
      <c r="F804" s="3">
        <v>709</v>
      </c>
      <c r="G804" s="3">
        <v>480</v>
      </c>
    </row>
    <row r="805" spans="1:7" x14ac:dyDescent="0.3">
      <c r="A805" t="s">
        <v>924</v>
      </c>
      <c r="B805" t="s">
        <v>925</v>
      </c>
      <c r="C805" t="s">
        <v>926</v>
      </c>
      <c r="D805" s="3">
        <v>51</v>
      </c>
      <c r="E805" s="3">
        <v>171</v>
      </c>
      <c r="F805" s="3">
        <v>730</v>
      </c>
      <c r="G805" s="3">
        <v>490</v>
      </c>
    </row>
    <row r="806" spans="1:7" x14ac:dyDescent="0.3">
      <c r="A806" t="s">
        <v>456</v>
      </c>
      <c r="B806" t="s">
        <v>472</v>
      </c>
      <c r="C806" t="s">
        <v>473</v>
      </c>
      <c r="D806" s="3">
        <v>29</v>
      </c>
      <c r="E806" s="3">
        <v>18</v>
      </c>
      <c r="F806" s="3">
        <v>75</v>
      </c>
      <c r="G806" s="3">
        <v>500</v>
      </c>
    </row>
    <row r="807" spans="1:7" x14ac:dyDescent="0.3">
      <c r="A807" t="s">
        <v>456</v>
      </c>
      <c r="B807" t="s">
        <v>483</v>
      </c>
      <c r="C807" t="s">
        <v>484</v>
      </c>
      <c r="D807" s="3">
        <v>29</v>
      </c>
      <c r="E807" s="3">
        <v>47</v>
      </c>
      <c r="F807" s="3">
        <v>165</v>
      </c>
      <c r="G807" s="3">
        <v>500</v>
      </c>
    </row>
    <row r="808" spans="1:7" x14ac:dyDescent="0.3">
      <c r="A808" t="s">
        <v>745</v>
      </c>
      <c r="B808" t="s">
        <v>757</v>
      </c>
      <c r="C808" t="s">
        <v>247</v>
      </c>
      <c r="D808" s="3">
        <v>36</v>
      </c>
      <c r="E808" s="3">
        <v>79</v>
      </c>
      <c r="F808" s="3">
        <v>288</v>
      </c>
      <c r="G808" s="3">
        <v>500</v>
      </c>
    </row>
    <row r="809" spans="1:7" x14ac:dyDescent="0.3">
      <c r="A809" t="s">
        <v>954</v>
      </c>
      <c r="B809" t="s">
        <v>955</v>
      </c>
      <c r="C809" t="s">
        <v>126</v>
      </c>
      <c r="D809" s="3">
        <v>58</v>
      </c>
      <c r="E809" s="3">
        <v>83</v>
      </c>
      <c r="F809" s="3">
        <v>328</v>
      </c>
      <c r="G809" s="3">
        <v>510</v>
      </c>
    </row>
    <row r="810" spans="1:7" x14ac:dyDescent="0.3">
      <c r="A810" t="s">
        <v>171</v>
      </c>
      <c r="B810" t="s">
        <v>188</v>
      </c>
      <c r="C810" t="s">
        <v>190</v>
      </c>
      <c r="D810" s="3">
        <v>15</v>
      </c>
      <c r="E810" s="3">
        <v>107</v>
      </c>
      <c r="F810" s="3">
        <v>410</v>
      </c>
      <c r="G810" s="3">
        <v>510</v>
      </c>
    </row>
    <row r="811" spans="1:7" x14ac:dyDescent="0.3">
      <c r="A811" t="s">
        <v>171</v>
      </c>
      <c r="B811" t="s">
        <v>188</v>
      </c>
      <c r="C811" t="s">
        <v>216</v>
      </c>
      <c r="D811" s="3">
        <v>15</v>
      </c>
      <c r="E811" s="3">
        <v>107</v>
      </c>
      <c r="F811" s="3">
        <v>441</v>
      </c>
      <c r="G811" s="3">
        <v>510</v>
      </c>
    </row>
    <row r="812" spans="1:7" x14ac:dyDescent="0.3">
      <c r="A812" t="s">
        <v>966</v>
      </c>
      <c r="B812" t="s">
        <v>967</v>
      </c>
      <c r="C812" t="s">
        <v>970</v>
      </c>
      <c r="D812" s="3">
        <v>60</v>
      </c>
      <c r="E812" s="3">
        <v>87</v>
      </c>
      <c r="F812" s="3">
        <v>338</v>
      </c>
      <c r="G812" s="3">
        <v>520</v>
      </c>
    </row>
    <row r="813" spans="1:7" x14ac:dyDescent="0.3">
      <c r="A813" t="s">
        <v>725</v>
      </c>
      <c r="B813" t="s">
        <v>737</v>
      </c>
      <c r="C813" t="s">
        <v>740</v>
      </c>
      <c r="D813" s="3">
        <v>35</v>
      </c>
      <c r="E813" s="3">
        <v>103</v>
      </c>
      <c r="F813" s="3">
        <v>388</v>
      </c>
      <c r="G813" s="3">
        <v>530</v>
      </c>
    </row>
    <row r="814" spans="1:7" x14ac:dyDescent="0.3">
      <c r="A814" t="s">
        <v>75</v>
      </c>
      <c r="B814" t="s">
        <v>82</v>
      </c>
      <c r="C814" t="s">
        <v>113</v>
      </c>
      <c r="D814" s="3">
        <v>7</v>
      </c>
      <c r="E814" s="3">
        <v>178</v>
      </c>
      <c r="F814" s="3">
        <v>790</v>
      </c>
      <c r="G814" s="3">
        <v>530</v>
      </c>
    </row>
    <row r="815" spans="1:7" x14ac:dyDescent="0.3">
      <c r="A815" t="s">
        <v>28</v>
      </c>
      <c r="B815" t="s">
        <v>63</v>
      </c>
      <c r="C815" t="s">
        <v>64</v>
      </c>
      <c r="D815" s="3">
        <v>4</v>
      </c>
      <c r="E815" s="3">
        <v>65</v>
      </c>
      <c r="F815" s="3">
        <v>221</v>
      </c>
      <c r="G815" s="3">
        <v>540</v>
      </c>
    </row>
    <row r="816" spans="1:7" x14ac:dyDescent="0.3">
      <c r="A816" t="s">
        <v>308</v>
      </c>
      <c r="B816" t="s">
        <v>311</v>
      </c>
      <c r="C816" t="s">
        <v>312</v>
      </c>
      <c r="D816" s="3">
        <v>18</v>
      </c>
      <c r="E816" s="3">
        <v>80</v>
      </c>
      <c r="F816" s="3">
        <v>323</v>
      </c>
      <c r="G816" s="3">
        <v>540</v>
      </c>
    </row>
    <row r="817" spans="1:7" x14ac:dyDescent="0.3">
      <c r="A817" t="s">
        <v>416</v>
      </c>
      <c r="B817" t="s">
        <v>427</v>
      </c>
      <c r="C817" t="s">
        <v>432</v>
      </c>
      <c r="D817" s="3">
        <v>27</v>
      </c>
      <c r="E817" s="3">
        <v>73</v>
      </c>
      <c r="F817" s="3">
        <v>241</v>
      </c>
      <c r="G817" s="3">
        <v>550</v>
      </c>
    </row>
    <row r="818" spans="1:7" x14ac:dyDescent="0.3">
      <c r="A818" t="s">
        <v>144</v>
      </c>
      <c r="B818" t="s">
        <v>148</v>
      </c>
      <c r="C818" t="s">
        <v>149</v>
      </c>
      <c r="D818" s="3">
        <v>11</v>
      </c>
      <c r="E818" s="3">
        <v>153</v>
      </c>
      <c r="F818" s="3">
        <v>679</v>
      </c>
      <c r="G818" s="3">
        <v>550</v>
      </c>
    </row>
    <row r="819" spans="1:7" x14ac:dyDescent="0.3">
      <c r="A819" t="s">
        <v>790</v>
      </c>
      <c r="B819" t="s">
        <v>791</v>
      </c>
      <c r="C819" t="s">
        <v>177</v>
      </c>
      <c r="D819" s="3">
        <v>37</v>
      </c>
      <c r="E819" s="3">
        <v>194</v>
      </c>
      <c r="F819" s="3">
        <v>899</v>
      </c>
      <c r="G819" s="3">
        <v>550</v>
      </c>
    </row>
    <row r="820" spans="1:7" x14ac:dyDescent="0.3">
      <c r="A820" t="s">
        <v>745</v>
      </c>
      <c r="B820" t="s">
        <v>757</v>
      </c>
      <c r="C820" t="s">
        <v>765</v>
      </c>
      <c r="D820" s="3">
        <v>36</v>
      </c>
      <c r="E820" s="3">
        <v>79</v>
      </c>
      <c r="F820" s="3">
        <v>295</v>
      </c>
      <c r="G820" s="3">
        <v>560</v>
      </c>
    </row>
    <row r="821" spans="1:7" x14ac:dyDescent="0.3">
      <c r="A821" t="s">
        <v>875</v>
      </c>
      <c r="B821" t="s">
        <v>896</v>
      </c>
      <c r="C821" t="s">
        <v>903</v>
      </c>
      <c r="D821" s="3">
        <v>50</v>
      </c>
      <c r="E821" s="3">
        <v>152</v>
      </c>
      <c r="F821" s="3">
        <v>654</v>
      </c>
      <c r="G821" s="3">
        <v>560</v>
      </c>
    </row>
    <row r="822" spans="1:7" x14ac:dyDescent="0.3">
      <c r="A822" t="s">
        <v>239</v>
      </c>
      <c r="B822" t="s">
        <v>245</v>
      </c>
      <c r="C822" t="s">
        <v>273</v>
      </c>
      <c r="D822" s="3">
        <v>17</v>
      </c>
      <c r="E822" s="3">
        <v>185</v>
      </c>
      <c r="F822" s="3">
        <v>840</v>
      </c>
      <c r="G822" s="3">
        <v>560</v>
      </c>
    </row>
    <row r="823" spans="1:7" x14ac:dyDescent="0.3">
      <c r="A823" t="s">
        <v>745</v>
      </c>
      <c r="B823" t="s">
        <v>755</v>
      </c>
      <c r="C823" t="s">
        <v>21</v>
      </c>
      <c r="D823" s="3">
        <v>36</v>
      </c>
      <c r="E823" s="3">
        <v>44</v>
      </c>
      <c r="F823" s="3">
        <v>160</v>
      </c>
      <c r="G823" s="3">
        <v>570</v>
      </c>
    </row>
    <row r="824" spans="1:7" x14ac:dyDescent="0.3">
      <c r="A824" t="s">
        <v>875</v>
      </c>
      <c r="B824" t="s">
        <v>884</v>
      </c>
      <c r="C824" t="s">
        <v>885</v>
      </c>
      <c r="D824" s="3">
        <v>50</v>
      </c>
      <c r="E824" s="3">
        <v>81</v>
      </c>
      <c r="F824" s="3">
        <v>324</v>
      </c>
      <c r="G824" s="3">
        <v>580</v>
      </c>
    </row>
    <row r="825" spans="1:7" x14ac:dyDescent="0.3">
      <c r="A825" t="s">
        <v>593</v>
      </c>
      <c r="B825" t="s">
        <v>707</v>
      </c>
      <c r="C825" t="s">
        <v>708</v>
      </c>
      <c r="D825" s="3">
        <v>31</v>
      </c>
      <c r="E825" s="3">
        <v>193</v>
      </c>
      <c r="F825" s="3">
        <v>895</v>
      </c>
      <c r="G825" s="3">
        <v>580</v>
      </c>
    </row>
    <row r="826" spans="1:7" x14ac:dyDescent="0.3">
      <c r="A826" t="s">
        <v>354</v>
      </c>
      <c r="B826" t="s">
        <v>355</v>
      </c>
      <c r="C826" t="s">
        <v>358</v>
      </c>
      <c r="D826" s="3">
        <v>25</v>
      </c>
      <c r="E826" s="3">
        <v>102</v>
      </c>
      <c r="F826" s="3">
        <v>383</v>
      </c>
      <c r="G826" s="3">
        <v>590</v>
      </c>
    </row>
    <row r="827" spans="1:7" x14ac:dyDescent="0.3">
      <c r="A827" t="s">
        <v>593</v>
      </c>
      <c r="B827" t="s">
        <v>683</v>
      </c>
      <c r="C827" t="s">
        <v>684</v>
      </c>
      <c r="D827" s="3">
        <v>31</v>
      </c>
      <c r="E827" s="3">
        <v>136</v>
      </c>
      <c r="F827" s="3">
        <v>616</v>
      </c>
      <c r="G827" s="3">
        <v>590</v>
      </c>
    </row>
    <row r="828" spans="1:7" x14ac:dyDescent="0.3">
      <c r="A828" t="s">
        <v>593</v>
      </c>
      <c r="B828" t="s">
        <v>688</v>
      </c>
      <c r="C828" t="s">
        <v>691</v>
      </c>
      <c r="D828" s="3">
        <v>31</v>
      </c>
      <c r="E828" s="3">
        <v>148</v>
      </c>
      <c r="F828" s="3">
        <v>639</v>
      </c>
      <c r="G828" s="3">
        <v>600</v>
      </c>
    </row>
    <row r="829" spans="1:7" x14ac:dyDescent="0.3">
      <c r="A829" t="s">
        <v>593</v>
      </c>
      <c r="B829" t="s">
        <v>617</v>
      </c>
      <c r="C829" t="s">
        <v>619</v>
      </c>
      <c r="D829" s="3">
        <v>31</v>
      </c>
      <c r="E829" s="3">
        <v>61</v>
      </c>
      <c r="F829" s="3">
        <v>217</v>
      </c>
      <c r="G829" s="3">
        <v>610</v>
      </c>
    </row>
    <row r="830" spans="1:7" x14ac:dyDescent="0.3">
      <c r="A830" t="s">
        <v>808</v>
      </c>
      <c r="B830" t="s">
        <v>809</v>
      </c>
      <c r="C830" t="s">
        <v>242</v>
      </c>
      <c r="D830" s="3">
        <v>38</v>
      </c>
      <c r="E830" s="3">
        <v>75</v>
      </c>
      <c r="F830" s="3">
        <v>260</v>
      </c>
      <c r="G830" s="3">
        <v>610</v>
      </c>
    </row>
    <row r="831" spans="1:7" x14ac:dyDescent="0.3">
      <c r="A831" t="s">
        <v>808</v>
      </c>
      <c r="B831" t="s">
        <v>810</v>
      </c>
      <c r="C831" t="s">
        <v>60</v>
      </c>
      <c r="D831" s="3">
        <v>38</v>
      </c>
      <c r="E831" s="3">
        <v>76</v>
      </c>
      <c r="F831" s="3">
        <v>280</v>
      </c>
      <c r="G831" s="3">
        <v>620</v>
      </c>
    </row>
    <row r="832" spans="1:7" x14ac:dyDescent="0.3">
      <c r="A832" t="s">
        <v>725</v>
      </c>
      <c r="B832" t="s">
        <v>726</v>
      </c>
      <c r="C832" t="s">
        <v>727</v>
      </c>
      <c r="D832" s="3">
        <v>35</v>
      </c>
      <c r="E832" s="3">
        <v>29</v>
      </c>
      <c r="F832" s="3">
        <v>113</v>
      </c>
      <c r="G832" s="3">
        <v>630</v>
      </c>
    </row>
    <row r="833" spans="1:7" x14ac:dyDescent="0.3">
      <c r="A833" t="s">
        <v>856</v>
      </c>
      <c r="B833" t="s">
        <v>857</v>
      </c>
      <c r="C833" t="s">
        <v>217</v>
      </c>
      <c r="D833" s="3">
        <v>44</v>
      </c>
      <c r="E833" s="3">
        <v>86</v>
      </c>
      <c r="F833" s="3">
        <v>335</v>
      </c>
      <c r="G833" s="3">
        <v>630</v>
      </c>
    </row>
    <row r="834" spans="1:7" x14ac:dyDescent="0.3">
      <c r="A834" t="s">
        <v>239</v>
      </c>
      <c r="B834" t="s">
        <v>245</v>
      </c>
      <c r="C834" t="s">
        <v>303</v>
      </c>
      <c r="D834" s="3">
        <v>17</v>
      </c>
      <c r="E834" s="3">
        <v>185</v>
      </c>
      <c r="F834" s="3">
        <v>873</v>
      </c>
      <c r="G834" s="3">
        <v>640</v>
      </c>
    </row>
    <row r="835" spans="1:7" x14ac:dyDescent="0.3">
      <c r="A835" t="s">
        <v>745</v>
      </c>
      <c r="B835" t="s">
        <v>757</v>
      </c>
      <c r="C835" t="s">
        <v>758</v>
      </c>
      <c r="D835" s="3">
        <v>36</v>
      </c>
      <c r="E835" s="3">
        <v>79</v>
      </c>
      <c r="F835" s="3">
        <v>74</v>
      </c>
      <c r="G835" s="3">
        <v>650</v>
      </c>
    </row>
    <row r="836" spans="1:7" x14ac:dyDescent="0.3">
      <c r="A836" t="s">
        <v>725</v>
      </c>
      <c r="B836" t="s">
        <v>735</v>
      </c>
      <c r="C836" t="s">
        <v>170</v>
      </c>
      <c r="D836" s="3">
        <v>35</v>
      </c>
      <c r="E836" s="3">
        <v>88</v>
      </c>
      <c r="F836" s="3">
        <v>339</v>
      </c>
      <c r="G836" s="3">
        <v>650</v>
      </c>
    </row>
    <row r="837" spans="1:7" x14ac:dyDescent="0.3">
      <c r="A837" t="s">
        <v>354</v>
      </c>
      <c r="B837" t="s">
        <v>355</v>
      </c>
      <c r="C837" t="s">
        <v>356</v>
      </c>
      <c r="D837" s="3">
        <v>25</v>
      </c>
      <c r="E837" s="3">
        <v>102</v>
      </c>
      <c r="F837" s="3">
        <v>381</v>
      </c>
      <c r="G837" s="3">
        <v>650</v>
      </c>
    </row>
    <row r="838" spans="1:7" x14ac:dyDescent="0.3">
      <c r="A838" t="s">
        <v>725</v>
      </c>
      <c r="B838" t="s">
        <v>741</v>
      </c>
      <c r="C838" t="s">
        <v>743</v>
      </c>
      <c r="D838" s="3">
        <v>35</v>
      </c>
      <c r="E838" s="3">
        <v>175</v>
      </c>
      <c r="F838" s="3">
        <v>752</v>
      </c>
      <c r="G838" s="3">
        <v>650</v>
      </c>
    </row>
    <row r="839" spans="1:7" x14ac:dyDescent="0.3">
      <c r="A839" t="s">
        <v>725</v>
      </c>
      <c r="B839" t="s">
        <v>741</v>
      </c>
      <c r="C839" t="s">
        <v>744</v>
      </c>
      <c r="D839" s="3">
        <v>35</v>
      </c>
      <c r="E839" s="3">
        <v>175</v>
      </c>
      <c r="F839" s="3">
        <v>754</v>
      </c>
      <c r="G839" s="3">
        <v>650</v>
      </c>
    </row>
    <row r="840" spans="1:7" x14ac:dyDescent="0.3">
      <c r="A840" t="s">
        <v>593</v>
      </c>
      <c r="B840" t="s">
        <v>599</v>
      </c>
      <c r="C840" t="s">
        <v>600</v>
      </c>
      <c r="D840" s="3">
        <v>31</v>
      </c>
      <c r="E840" s="3">
        <v>42</v>
      </c>
      <c r="F840" s="3">
        <v>157</v>
      </c>
      <c r="G840" s="3">
        <v>680</v>
      </c>
    </row>
    <row r="841" spans="1:7" x14ac:dyDescent="0.3">
      <c r="A841" t="s">
        <v>790</v>
      </c>
      <c r="B841" t="s">
        <v>791</v>
      </c>
      <c r="C841" t="s">
        <v>799</v>
      </c>
      <c r="D841" s="3">
        <v>37</v>
      </c>
      <c r="E841" s="3">
        <v>194</v>
      </c>
      <c r="F841" s="3">
        <v>904</v>
      </c>
      <c r="G841" s="3">
        <v>700</v>
      </c>
    </row>
    <row r="842" spans="1:7" x14ac:dyDescent="0.3">
      <c r="A842" t="s">
        <v>456</v>
      </c>
      <c r="B842" t="s">
        <v>498</v>
      </c>
      <c r="C842" t="s">
        <v>499</v>
      </c>
      <c r="D842" s="3">
        <v>29</v>
      </c>
      <c r="E842" s="3">
        <v>90</v>
      </c>
      <c r="F842" s="3">
        <v>343</v>
      </c>
      <c r="G842" s="3">
        <v>710</v>
      </c>
    </row>
    <row r="843" spans="1:7" x14ac:dyDescent="0.3">
      <c r="A843" t="s">
        <v>416</v>
      </c>
      <c r="B843" t="s">
        <v>417</v>
      </c>
      <c r="C843" t="s">
        <v>179</v>
      </c>
      <c r="D843" s="3">
        <v>27</v>
      </c>
      <c r="E843" s="3">
        <v>20</v>
      </c>
      <c r="F843" s="3">
        <v>77</v>
      </c>
      <c r="G843" s="3">
        <v>720</v>
      </c>
    </row>
    <row r="844" spans="1:7" x14ac:dyDescent="0.3">
      <c r="A844" t="s">
        <v>75</v>
      </c>
      <c r="B844" t="s">
        <v>82</v>
      </c>
      <c r="C844" t="s">
        <v>108</v>
      </c>
      <c r="D844" s="3">
        <v>7</v>
      </c>
      <c r="E844" s="3">
        <v>178</v>
      </c>
      <c r="F844" s="3">
        <v>785</v>
      </c>
      <c r="G844" s="3">
        <v>720</v>
      </c>
    </row>
    <row r="845" spans="1:7" x14ac:dyDescent="0.3">
      <c r="A845" t="s">
        <v>239</v>
      </c>
      <c r="B845" t="s">
        <v>245</v>
      </c>
      <c r="C845" t="s">
        <v>253</v>
      </c>
      <c r="D845" s="3">
        <v>17</v>
      </c>
      <c r="E845" s="3">
        <v>185</v>
      </c>
      <c r="F845" s="3">
        <v>820</v>
      </c>
      <c r="G845" s="3">
        <v>720</v>
      </c>
    </row>
    <row r="846" spans="1:7" x14ac:dyDescent="0.3">
      <c r="A846" t="s">
        <v>790</v>
      </c>
      <c r="B846" t="s">
        <v>791</v>
      </c>
      <c r="C846" t="s">
        <v>806</v>
      </c>
      <c r="D846" s="3">
        <v>37</v>
      </c>
      <c r="E846" s="3">
        <v>194</v>
      </c>
      <c r="F846" s="3">
        <v>914</v>
      </c>
      <c r="G846" s="3">
        <v>720</v>
      </c>
    </row>
    <row r="847" spans="1:7" x14ac:dyDescent="0.3">
      <c r="A847" t="s">
        <v>152</v>
      </c>
      <c r="B847" t="s">
        <v>153</v>
      </c>
      <c r="C847" t="s">
        <v>157</v>
      </c>
      <c r="D847" s="3">
        <v>12</v>
      </c>
      <c r="E847" s="3">
        <v>36</v>
      </c>
      <c r="F847" s="3">
        <v>135</v>
      </c>
      <c r="G847" s="3">
        <v>740</v>
      </c>
    </row>
    <row r="848" spans="1:7" x14ac:dyDescent="0.3">
      <c r="A848" t="s">
        <v>456</v>
      </c>
      <c r="B848" t="s">
        <v>495</v>
      </c>
      <c r="C848" t="s">
        <v>21</v>
      </c>
      <c r="D848" s="3">
        <v>29</v>
      </c>
      <c r="E848" s="3">
        <v>63</v>
      </c>
      <c r="F848" s="3">
        <v>219</v>
      </c>
      <c r="G848" s="3">
        <v>740</v>
      </c>
    </row>
    <row r="849" spans="1:7" x14ac:dyDescent="0.3">
      <c r="A849" t="s">
        <v>171</v>
      </c>
      <c r="B849" t="s">
        <v>188</v>
      </c>
      <c r="C849" t="s">
        <v>204</v>
      </c>
      <c r="D849" s="3">
        <v>15</v>
      </c>
      <c r="E849" s="3">
        <v>107</v>
      </c>
      <c r="F849" s="3">
        <v>428</v>
      </c>
      <c r="G849" s="3">
        <v>740</v>
      </c>
    </row>
    <row r="850" spans="1:7" x14ac:dyDescent="0.3">
      <c r="A850" t="s">
        <v>416</v>
      </c>
      <c r="B850" t="s">
        <v>418</v>
      </c>
      <c r="C850" t="s">
        <v>420</v>
      </c>
      <c r="D850" s="3">
        <v>27</v>
      </c>
      <c r="E850" s="3">
        <v>35</v>
      </c>
      <c r="F850" s="3">
        <v>130</v>
      </c>
      <c r="G850" s="3">
        <v>750</v>
      </c>
    </row>
    <row r="851" spans="1:7" x14ac:dyDescent="0.3">
      <c r="A851" t="s">
        <v>536</v>
      </c>
      <c r="B851" t="s">
        <v>547</v>
      </c>
      <c r="C851" t="s">
        <v>548</v>
      </c>
      <c r="D851" s="3">
        <v>30</v>
      </c>
      <c r="E851" s="3">
        <v>40</v>
      </c>
      <c r="F851" s="3">
        <v>155</v>
      </c>
      <c r="G851" s="3">
        <v>780</v>
      </c>
    </row>
    <row r="852" spans="1:7" x14ac:dyDescent="0.3">
      <c r="A852" t="s">
        <v>7</v>
      </c>
      <c r="B852" t="s">
        <v>14</v>
      </c>
      <c r="C852" t="s">
        <v>17</v>
      </c>
      <c r="D852" s="3">
        <v>2</v>
      </c>
      <c r="E852" s="3">
        <v>16</v>
      </c>
      <c r="F852" s="3">
        <v>71</v>
      </c>
      <c r="G852" s="3">
        <v>800</v>
      </c>
    </row>
    <row r="853" spans="1:7" x14ac:dyDescent="0.3">
      <c r="A853" t="s">
        <v>171</v>
      </c>
      <c r="B853" t="s">
        <v>188</v>
      </c>
      <c r="C853" t="s">
        <v>60</v>
      </c>
      <c r="D853" s="3">
        <v>15</v>
      </c>
      <c r="E853" s="3">
        <v>107</v>
      </c>
      <c r="F853" s="3">
        <v>446</v>
      </c>
      <c r="G853" s="3">
        <v>800</v>
      </c>
    </row>
    <row r="854" spans="1:7" x14ac:dyDescent="0.3">
      <c r="A854" t="s">
        <v>75</v>
      </c>
      <c r="B854" t="s">
        <v>82</v>
      </c>
      <c r="C854" t="s">
        <v>95</v>
      </c>
      <c r="D854" s="3">
        <v>7</v>
      </c>
      <c r="E854" s="3">
        <v>178</v>
      </c>
      <c r="F854" s="3">
        <v>772</v>
      </c>
      <c r="G854" s="3">
        <v>800</v>
      </c>
    </row>
    <row r="855" spans="1:7" x14ac:dyDescent="0.3">
      <c r="A855" t="s">
        <v>790</v>
      </c>
      <c r="B855" t="s">
        <v>791</v>
      </c>
      <c r="C855" t="s">
        <v>426</v>
      </c>
      <c r="D855" s="3">
        <v>37</v>
      </c>
      <c r="E855" s="3">
        <v>194</v>
      </c>
      <c r="F855" s="3">
        <v>916</v>
      </c>
      <c r="G855" s="3">
        <v>800</v>
      </c>
    </row>
    <row r="856" spans="1:7" x14ac:dyDescent="0.3">
      <c r="A856" t="s">
        <v>456</v>
      </c>
      <c r="B856" t="s">
        <v>535</v>
      </c>
      <c r="C856" t="s">
        <v>143</v>
      </c>
      <c r="D856" s="3">
        <v>29</v>
      </c>
      <c r="E856" s="3">
        <v>196</v>
      </c>
      <c r="F856" s="3">
        <v>927</v>
      </c>
      <c r="G856" s="3">
        <v>800</v>
      </c>
    </row>
    <row r="857" spans="1:7" x14ac:dyDescent="0.3">
      <c r="A857" t="s">
        <v>28</v>
      </c>
      <c r="B857" t="s">
        <v>37</v>
      </c>
      <c r="C857" t="s">
        <v>44</v>
      </c>
      <c r="D857" s="3">
        <v>4</v>
      </c>
      <c r="E857" s="3">
        <v>15</v>
      </c>
      <c r="F857" s="3">
        <v>49</v>
      </c>
      <c r="G857" s="3">
        <v>820</v>
      </c>
    </row>
    <row r="858" spans="1:7" x14ac:dyDescent="0.3">
      <c r="A858" t="s">
        <v>937</v>
      </c>
      <c r="B858" t="s">
        <v>938</v>
      </c>
      <c r="C858" t="s">
        <v>899</v>
      </c>
      <c r="D858" s="3">
        <v>54</v>
      </c>
      <c r="E858" s="3">
        <v>183</v>
      </c>
      <c r="F858" s="3">
        <v>809</v>
      </c>
      <c r="G858" s="3">
        <v>830</v>
      </c>
    </row>
    <row r="859" spans="1:7" x14ac:dyDescent="0.3">
      <c r="A859" t="s">
        <v>71</v>
      </c>
      <c r="B859" t="s">
        <v>72</v>
      </c>
      <c r="C859" t="s">
        <v>73</v>
      </c>
      <c r="D859" s="3">
        <v>6</v>
      </c>
      <c r="E859" s="3">
        <v>14</v>
      </c>
      <c r="F859" s="3">
        <v>41</v>
      </c>
      <c r="G859" s="3">
        <v>850</v>
      </c>
    </row>
    <row r="860" spans="1:7" x14ac:dyDescent="0.3">
      <c r="A860" t="s">
        <v>745</v>
      </c>
      <c r="B860" t="s">
        <v>748</v>
      </c>
      <c r="C860" t="s">
        <v>753</v>
      </c>
      <c r="D860" s="3">
        <v>36</v>
      </c>
      <c r="E860" s="3">
        <v>24</v>
      </c>
      <c r="F860" s="3">
        <v>89</v>
      </c>
      <c r="G860" s="3">
        <v>850</v>
      </c>
    </row>
    <row r="861" spans="1:7" x14ac:dyDescent="0.3">
      <c r="A861" t="s">
        <v>790</v>
      </c>
      <c r="B861" t="s">
        <v>791</v>
      </c>
      <c r="C861" t="s">
        <v>60</v>
      </c>
      <c r="D861" s="3">
        <v>37</v>
      </c>
      <c r="E861" s="3">
        <v>194</v>
      </c>
      <c r="F861" s="3">
        <v>915</v>
      </c>
      <c r="G861" s="3">
        <v>850</v>
      </c>
    </row>
    <row r="862" spans="1:7" x14ac:dyDescent="0.3">
      <c r="A862" t="s">
        <v>222</v>
      </c>
      <c r="B862" t="s">
        <v>229</v>
      </c>
      <c r="C862" t="s">
        <v>107</v>
      </c>
      <c r="D862" s="3">
        <v>16</v>
      </c>
      <c r="E862" s="3">
        <v>147</v>
      </c>
      <c r="F862" s="3">
        <v>636</v>
      </c>
      <c r="G862" s="3">
        <v>870</v>
      </c>
    </row>
    <row r="863" spans="1:7" x14ac:dyDescent="0.3">
      <c r="A863" t="s">
        <v>593</v>
      </c>
      <c r="B863" t="s">
        <v>694</v>
      </c>
      <c r="C863" t="s">
        <v>684</v>
      </c>
      <c r="D863" s="3">
        <v>31</v>
      </c>
      <c r="E863" s="3">
        <v>157</v>
      </c>
      <c r="F863" s="3">
        <v>686</v>
      </c>
      <c r="G863" s="3">
        <v>870</v>
      </c>
    </row>
    <row r="864" spans="1:7" x14ac:dyDescent="0.3">
      <c r="A864" t="s">
        <v>924</v>
      </c>
      <c r="B864" t="s">
        <v>925</v>
      </c>
      <c r="C864" t="s">
        <v>367</v>
      </c>
      <c r="D864" s="3">
        <v>51</v>
      </c>
      <c r="E864" s="3">
        <v>171</v>
      </c>
      <c r="F864" s="3">
        <v>729</v>
      </c>
      <c r="G864" s="3">
        <v>890</v>
      </c>
    </row>
    <row r="865" spans="1:7" x14ac:dyDescent="0.3">
      <c r="A865" t="s">
        <v>171</v>
      </c>
      <c r="B865" t="s">
        <v>188</v>
      </c>
      <c r="C865" t="s">
        <v>211</v>
      </c>
      <c r="D865" s="3">
        <v>15</v>
      </c>
      <c r="E865" s="3">
        <v>107</v>
      </c>
      <c r="F865" s="3">
        <v>435</v>
      </c>
      <c r="G865" s="3">
        <v>910</v>
      </c>
    </row>
    <row r="866" spans="1:7" x14ac:dyDescent="0.3">
      <c r="A866" t="s">
        <v>134</v>
      </c>
      <c r="B866" t="s">
        <v>142</v>
      </c>
      <c r="C866" t="s">
        <v>143</v>
      </c>
      <c r="D866" s="3">
        <v>10</v>
      </c>
      <c r="E866" s="3">
        <v>132</v>
      </c>
      <c r="F866" s="3">
        <v>611</v>
      </c>
      <c r="G866" s="3">
        <v>910</v>
      </c>
    </row>
    <row r="867" spans="1:7" x14ac:dyDescent="0.3">
      <c r="A867" t="s">
        <v>363</v>
      </c>
      <c r="B867" t="s">
        <v>390</v>
      </c>
      <c r="C867" t="s">
        <v>407</v>
      </c>
      <c r="D867" s="3">
        <v>26</v>
      </c>
      <c r="E867" s="3">
        <v>126</v>
      </c>
      <c r="F867" s="3">
        <v>588</v>
      </c>
      <c r="G867" s="3">
        <v>950</v>
      </c>
    </row>
    <row r="868" spans="1:7" x14ac:dyDescent="0.3">
      <c r="A868" t="s">
        <v>593</v>
      </c>
      <c r="B868" t="s">
        <v>688</v>
      </c>
      <c r="C868" t="s">
        <v>692</v>
      </c>
      <c r="D868" s="3">
        <v>31</v>
      </c>
      <c r="E868" s="3">
        <v>148</v>
      </c>
      <c r="F868" s="3">
        <v>640</v>
      </c>
      <c r="G868" s="3">
        <v>990</v>
      </c>
    </row>
    <row r="869" spans="1:7" x14ac:dyDescent="0.3">
      <c r="A869" t="s">
        <v>536</v>
      </c>
      <c r="B869" t="s">
        <v>549</v>
      </c>
      <c r="C869" t="s">
        <v>126</v>
      </c>
      <c r="D869" s="3">
        <v>30</v>
      </c>
      <c r="E869" s="3">
        <v>46</v>
      </c>
      <c r="F869" s="3">
        <v>163</v>
      </c>
      <c r="G869" s="3">
        <v>1010</v>
      </c>
    </row>
    <row r="870" spans="1:7" x14ac:dyDescent="0.3">
      <c r="A870" t="s">
        <v>745</v>
      </c>
      <c r="B870" t="s">
        <v>748</v>
      </c>
      <c r="C870" t="s">
        <v>658</v>
      </c>
      <c r="D870" s="3">
        <v>36</v>
      </c>
      <c r="E870" s="3">
        <v>24</v>
      </c>
      <c r="F870" s="3">
        <v>83</v>
      </c>
      <c r="G870" s="3">
        <v>1020</v>
      </c>
    </row>
    <row r="871" spans="1:7" x14ac:dyDescent="0.3">
      <c r="A871" t="s">
        <v>363</v>
      </c>
      <c r="B871" t="s">
        <v>390</v>
      </c>
      <c r="C871" t="s">
        <v>408</v>
      </c>
      <c r="D871" s="3">
        <v>26</v>
      </c>
      <c r="E871" s="3">
        <v>126</v>
      </c>
      <c r="F871" s="3">
        <v>589</v>
      </c>
      <c r="G871" s="3">
        <v>1090</v>
      </c>
    </row>
    <row r="872" spans="1:7" x14ac:dyDescent="0.3">
      <c r="A872" t="s">
        <v>536</v>
      </c>
      <c r="B872" t="s">
        <v>571</v>
      </c>
      <c r="C872" t="s">
        <v>572</v>
      </c>
      <c r="D872" s="3">
        <v>30</v>
      </c>
      <c r="E872" s="3">
        <v>135</v>
      </c>
      <c r="F872" s="3">
        <v>615</v>
      </c>
      <c r="G872" s="3">
        <v>1130</v>
      </c>
    </row>
    <row r="873" spans="1:7" x14ac:dyDescent="0.3">
      <c r="A873" t="s">
        <v>536</v>
      </c>
      <c r="B873" t="s">
        <v>553</v>
      </c>
      <c r="C873" t="s">
        <v>556</v>
      </c>
      <c r="D873" s="3">
        <v>30</v>
      </c>
      <c r="E873" s="3">
        <v>69</v>
      </c>
      <c r="F873" s="3">
        <v>231</v>
      </c>
      <c r="G873" s="3">
        <v>1150</v>
      </c>
    </row>
    <row r="874" spans="1:7" x14ac:dyDescent="0.3">
      <c r="A874" t="s">
        <v>875</v>
      </c>
      <c r="B874" t="s">
        <v>896</v>
      </c>
      <c r="C874" t="s">
        <v>60</v>
      </c>
      <c r="D874" s="3">
        <v>50</v>
      </c>
      <c r="E874" s="3">
        <v>152</v>
      </c>
      <c r="F874" s="3">
        <v>673</v>
      </c>
      <c r="G874" s="3">
        <v>1150</v>
      </c>
    </row>
    <row r="875" spans="1:7" x14ac:dyDescent="0.3">
      <c r="A875" t="s">
        <v>745</v>
      </c>
      <c r="B875" t="s">
        <v>748</v>
      </c>
      <c r="C875" t="s">
        <v>754</v>
      </c>
      <c r="D875" s="3">
        <v>36</v>
      </c>
      <c r="E875" s="3">
        <v>24</v>
      </c>
      <c r="F875" s="3">
        <v>90</v>
      </c>
      <c r="G875" s="3">
        <v>1190</v>
      </c>
    </row>
    <row r="876" spans="1:7" x14ac:dyDescent="0.3">
      <c r="A876" t="s">
        <v>75</v>
      </c>
      <c r="B876" t="s">
        <v>82</v>
      </c>
      <c r="C876" t="s">
        <v>101</v>
      </c>
      <c r="D876" s="3">
        <v>7</v>
      </c>
      <c r="E876" s="3">
        <v>178</v>
      </c>
      <c r="F876" s="3">
        <v>778</v>
      </c>
      <c r="G876" s="3">
        <v>1190</v>
      </c>
    </row>
    <row r="877" spans="1:7" x14ac:dyDescent="0.3">
      <c r="A877" t="s">
        <v>171</v>
      </c>
      <c r="B877" t="s">
        <v>188</v>
      </c>
      <c r="C877" t="s">
        <v>198</v>
      </c>
      <c r="D877" s="3">
        <v>15</v>
      </c>
      <c r="E877" s="3">
        <v>107</v>
      </c>
      <c r="F877" s="3">
        <v>420</v>
      </c>
      <c r="G877" s="3">
        <v>1210</v>
      </c>
    </row>
    <row r="878" spans="1:7" x14ac:dyDescent="0.3">
      <c r="A878" t="s">
        <v>593</v>
      </c>
      <c r="B878" t="s">
        <v>594</v>
      </c>
      <c r="C878" t="s">
        <v>595</v>
      </c>
      <c r="D878" s="3">
        <v>31</v>
      </c>
      <c r="E878" s="3">
        <v>6</v>
      </c>
      <c r="F878" s="3">
        <v>24</v>
      </c>
      <c r="G878" s="3">
        <v>1220</v>
      </c>
    </row>
    <row r="879" spans="1:7" x14ac:dyDescent="0.3">
      <c r="A879" t="s">
        <v>456</v>
      </c>
      <c r="B879" t="s">
        <v>525</v>
      </c>
      <c r="C879" t="s">
        <v>526</v>
      </c>
      <c r="D879" s="3">
        <v>29</v>
      </c>
      <c r="E879" s="3">
        <v>167</v>
      </c>
      <c r="F879" s="3">
        <v>717</v>
      </c>
      <c r="G879" s="3">
        <v>1240</v>
      </c>
    </row>
    <row r="880" spans="1:7" x14ac:dyDescent="0.3">
      <c r="A880" t="s">
        <v>28</v>
      </c>
      <c r="B880" t="s">
        <v>29</v>
      </c>
      <c r="C880" t="s">
        <v>36</v>
      </c>
      <c r="D880" s="3">
        <v>4</v>
      </c>
      <c r="E880" s="3">
        <v>5</v>
      </c>
      <c r="F880" s="3">
        <v>23</v>
      </c>
      <c r="G880" s="3">
        <v>1280</v>
      </c>
    </row>
    <row r="881" spans="1:7" x14ac:dyDescent="0.3">
      <c r="A881" t="s">
        <v>75</v>
      </c>
      <c r="B881" t="s">
        <v>80</v>
      </c>
      <c r="C881" t="s">
        <v>81</v>
      </c>
      <c r="D881" s="3">
        <v>7</v>
      </c>
      <c r="E881" s="3">
        <v>130</v>
      </c>
      <c r="F881" s="3">
        <v>599</v>
      </c>
      <c r="G881" s="3">
        <v>1300</v>
      </c>
    </row>
    <row r="882" spans="1:7" x14ac:dyDescent="0.3">
      <c r="A882" t="s">
        <v>28</v>
      </c>
      <c r="B882" t="s">
        <v>37</v>
      </c>
      <c r="C882" t="s">
        <v>56</v>
      </c>
      <c r="D882" s="3">
        <v>4</v>
      </c>
      <c r="E882" s="3">
        <v>15</v>
      </c>
      <c r="F882" s="3">
        <v>62</v>
      </c>
      <c r="G882" s="3">
        <v>1330</v>
      </c>
    </row>
    <row r="883" spans="1:7" x14ac:dyDescent="0.3">
      <c r="A883" t="s">
        <v>134</v>
      </c>
      <c r="B883" t="s">
        <v>135</v>
      </c>
      <c r="C883" t="s">
        <v>141</v>
      </c>
      <c r="D883" s="3">
        <v>10</v>
      </c>
      <c r="E883" s="3">
        <v>48</v>
      </c>
      <c r="F883" s="3">
        <v>176</v>
      </c>
      <c r="G883" s="3">
        <v>1340</v>
      </c>
    </row>
    <row r="884" spans="1:7" x14ac:dyDescent="0.3">
      <c r="A884" t="s">
        <v>239</v>
      </c>
      <c r="B884" t="s">
        <v>245</v>
      </c>
      <c r="C884" t="s">
        <v>259</v>
      </c>
      <c r="D884" s="3">
        <v>17</v>
      </c>
      <c r="E884" s="3">
        <v>185</v>
      </c>
      <c r="F884" s="3">
        <v>826</v>
      </c>
      <c r="G884" s="3">
        <v>1350</v>
      </c>
    </row>
    <row r="885" spans="1:7" x14ac:dyDescent="0.3">
      <c r="A885" t="s">
        <v>593</v>
      </c>
      <c r="B885" t="s">
        <v>694</v>
      </c>
      <c r="C885" t="s">
        <v>698</v>
      </c>
      <c r="D885" s="3">
        <v>31</v>
      </c>
      <c r="E885" s="3">
        <v>157</v>
      </c>
      <c r="F885" s="3">
        <v>688</v>
      </c>
      <c r="G885" s="3">
        <v>1380</v>
      </c>
    </row>
    <row r="886" spans="1:7" x14ac:dyDescent="0.3">
      <c r="A886" t="s">
        <v>134</v>
      </c>
      <c r="B886" t="s">
        <v>135</v>
      </c>
      <c r="C886" t="s">
        <v>139</v>
      </c>
      <c r="D886" s="3">
        <v>10</v>
      </c>
      <c r="E886" s="3">
        <v>48</v>
      </c>
      <c r="F886" s="3">
        <v>174</v>
      </c>
      <c r="G886" s="3">
        <v>1410</v>
      </c>
    </row>
    <row r="887" spans="1:7" x14ac:dyDescent="0.3">
      <c r="A887" t="s">
        <v>363</v>
      </c>
      <c r="B887" t="s">
        <v>390</v>
      </c>
      <c r="C887" t="s">
        <v>60</v>
      </c>
      <c r="D887" s="3">
        <v>26</v>
      </c>
      <c r="E887" s="3">
        <v>126</v>
      </c>
      <c r="F887" s="3">
        <v>592</v>
      </c>
      <c r="G887" s="3">
        <v>1420</v>
      </c>
    </row>
    <row r="888" spans="1:7" x14ac:dyDescent="0.3">
      <c r="A888" t="s">
        <v>363</v>
      </c>
      <c r="B888" t="s">
        <v>411</v>
      </c>
      <c r="C888" t="s">
        <v>412</v>
      </c>
      <c r="D888" s="3">
        <v>26</v>
      </c>
      <c r="E888" s="3">
        <v>137</v>
      </c>
      <c r="F888" s="3">
        <v>620</v>
      </c>
      <c r="G888" s="3">
        <v>1420</v>
      </c>
    </row>
    <row r="889" spans="1:7" x14ac:dyDescent="0.3">
      <c r="A889" t="s">
        <v>239</v>
      </c>
      <c r="B889" t="s">
        <v>240</v>
      </c>
      <c r="C889" t="s">
        <v>89</v>
      </c>
      <c r="D889" s="3">
        <v>17</v>
      </c>
      <c r="E889" s="3">
        <v>25</v>
      </c>
      <c r="F889" s="3">
        <v>91</v>
      </c>
      <c r="G889" s="3">
        <v>1480</v>
      </c>
    </row>
    <row r="890" spans="1:7" x14ac:dyDescent="0.3">
      <c r="A890" t="s">
        <v>957</v>
      </c>
      <c r="B890" t="s">
        <v>962</v>
      </c>
      <c r="C890" t="s">
        <v>643</v>
      </c>
      <c r="D890" s="3">
        <v>59</v>
      </c>
      <c r="E890" s="3">
        <v>195</v>
      </c>
      <c r="F890" s="3">
        <v>923</v>
      </c>
      <c r="G890" s="3">
        <v>1490</v>
      </c>
    </row>
    <row r="891" spans="1:7" x14ac:dyDescent="0.3">
      <c r="A891" t="s">
        <v>7</v>
      </c>
      <c r="B891" t="s">
        <v>8</v>
      </c>
      <c r="C891" t="s">
        <v>9</v>
      </c>
      <c r="D891" s="3">
        <v>2</v>
      </c>
      <c r="E891" s="3">
        <v>7</v>
      </c>
      <c r="F891" s="3">
        <v>25</v>
      </c>
      <c r="G891" s="3">
        <v>1500</v>
      </c>
    </row>
    <row r="892" spans="1:7" x14ac:dyDescent="0.3">
      <c r="A892" t="s">
        <v>745</v>
      </c>
      <c r="B892" t="s">
        <v>756</v>
      </c>
      <c r="C892" t="s">
        <v>386</v>
      </c>
      <c r="D892" s="3">
        <v>36</v>
      </c>
      <c r="E892" s="3">
        <v>45</v>
      </c>
      <c r="F892" s="3">
        <v>162</v>
      </c>
      <c r="G892" s="3">
        <v>1500</v>
      </c>
    </row>
    <row r="893" spans="1:7" x14ac:dyDescent="0.3">
      <c r="A893" t="s">
        <v>957</v>
      </c>
      <c r="B893" t="s">
        <v>962</v>
      </c>
      <c r="C893" t="s">
        <v>482</v>
      </c>
      <c r="D893" s="3">
        <v>59</v>
      </c>
      <c r="E893" s="3">
        <v>195</v>
      </c>
      <c r="F893" s="3">
        <v>919</v>
      </c>
      <c r="G893" s="3">
        <v>1540</v>
      </c>
    </row>
    <row r="894" spans="1:7" x14ac:dyDescent="0.3">
      <c r="A894" t="s">
        <v>127</v>
      </c>
      <c r="B894" t="s">
        <v>128</v>
      </c>
      <c r="C894" t="s">
        <v>129</v>
      </c>
      <c r="D894" s="3">
        <v>9</v>
      </c>
      <c r="E894" s="3">
        <v>22</v>
      </c>
      <c r="F894" s="3">
        <v>79</v>
      </c>
      <c r="G894" s="3">
        <v>1570</v>
      </c>
    </row>
    <row r="895" spans="1:7" x14ac:dyDescent="0.3">
      <c r="A895" t="s">
        <v>152</v>
      </c>
      <c r="B895" t="s">
        <v>153</v>
      </c>
      <c r="C895" t="s">
        <v>156</v>
      </c>
      <c r="D895" s="3">
        <v>12</v>
      </c>
      <c r="E895" s="3">
        <v>36</v>
      </c>
      <c r="F895" s="3">
        <v>133</v>
      </c>
      <c r="G895" s="3">
        <v>1570</v>
      </c>
    </row>
    <row r="896" spans="1:7" x14ac:dyDescent="0.3">
      <c r="A896" t="s">
        <v>28</v>
      </c>
      <c r="B896" t="s">
        <v>37</v>
      </c>
      <c r="C896" t="s">
        <v>50</v>
      </c>
      <c r="D896" s="3">
        <v>4</v>
      </c>
      <c r="E896" s="3">
        <v>15</v>
      </c>
      <c r="F896" s="3">
        <v>55</v>
      </c>
      <c r="G896" s="3">
        <v>1580</v>
      </c>
    </row>
    <row r="897" spans="1:7" x14ac:dyDescent="0.3">
      <c r="A897" t="s">
        <v>536</v>
      </c>
      <c r="B897" t="s">
        <v>583</v>
      </c>
      <c r="C897" t="s">
        <v>584</v>
      </c>
      <c r="D897" s="3">
        <v>30</v>
      </c>
      <c r="E897" s="3">
        <v>165</v>
      </c>
      <c r="F897" s="3">
        <v>715</v>
      </c>
      <c r="G897" s="3">
        <v>1600</v>
      </c>
    </row>
    <row r="898" spans="1:7" x14ac:dyDescent="0.3">
      <c r="A898" t="s">
        <v>875</v>
      </c>
      <c r="B898" t="s">
        <v>888</v>
      </c>
      <c r="C898" t="s">
        <v>889</v>
      </c>
      <c r="D898" s="3">
        <v>50</v>
      </c>
      <c r="E898" s="3">
        <v>113</v>
      </c>
      <c r="F898" s="3">
        <v>510</v>
      </c>
      <c r="G898" s="3">
        <v>1710</v>
      </c>
    </row>
    <row r="899" spans="1:7" x14ac:dyDescent="0.3">
      <c r="A899" t="s">
        <v>75</v>
      </c>
      <c r="B899" t="s">
        <v>76</v>
      </c>
      <c r="C899" t="s">
        <v>77</v>
      </c>
      <c r="D899" s="3">
        <v>7</v>
      </c>
      <c r="E899" s="3">
        <v>53</v>
      </c>
      <c r="F899" s="3">
        <v>186</v>
      </c>
      <c r="G899" s="3">
        <v>1730</v>
      </c>
    </row>
    <row r="900" spans="1:7" x14ac:dyDescent="0.3">
      <c r="A900" t="s">
        <v>75</v>
      </c>
      <c r="B900" t="s">
        <v>78</v>
      </c>
      <c r="C900" t="s">
        <v>79</v>
      </c>
      <c r="D900" s="3">
        <v>7</v>
      </c>
      <c r="E900" s="3">
        <v>100</v>
      </c>
      <c r="F900" s="3">
        <v>379</v>
      </c>
      <c r="G900" s="3">
        <v>1750</v>
      </c>
    </row>
    <row r="901" spans="1:7" x14ac:dyDescent="0.3">
      <c r="A901" t="s">
        <v>725</v>
      </c>
      <c r="B901" t="s">
        <v>729</v>
      </c>
      <c r="C901" t="s">
        <v>730</v>
      </c>
      <c r="D901" s="3">
        <v>35</v>
      </c>
      <c r="E901" s="3">
        <v>39</v>
      </c>
      <c r="F901" s="3">
        <v>148</v>
      </c>
      <c r="G901" s="3">
        <v>2110</v>
      </c>
    </row>
    <row r="902" spans="1:7" x14ac:dyDescent="0.3">
      <c r="A902" t="s">
        <v>168</v>
      </c>
      <c r="B902" t="s">
        <v>169</v>
      </c>
      <c r="C902" t="s">
        <v>170</v>
      </c>
      <c r="D902" s="3">
        <v>14</v>
      </c>
      <c r="E902" s="3">
        <v>85</v>
      </c>
      <c r="F902" s="3">
        <v>334</v>
      </c>
      <c r="G902" s="3">
        <v>2210</v>
      </c>
    </row>
    <row r="903" spans="1:7" x14ac:dyDescent="0.3">
      <c r="A903" t="s">
        <v>75</v>
      </c>
      <c r="B903" t="s">
        <v>82</v>
      </c>
      <c r="C903" t="s">
        <v>118</v>
      </c>
      <c r="D903" s="3">
        <v>7</v>
      </c>
      <c r="E903" s="3">
        <v>178</v>
      </c>
      <c r="F903" s="3">
        <v>795</v>
      </c>
      <c r="G903" s="3">
        <v>2250</v>
      </c>
    </row>
    <row r="904" spans="1:7" x14ac:dyDescent="0.3">
      <c r="A904" t="s">
        <v>875</v>
      </c>
      <c r="B904" t="s">
        <v>888</v>
      </c>
      <c r="C904" t="s">
        <v>892</v>
      </c>
      <c r="D904" s="3">
        <v>50</v>
      </c>
      <c r="E904" s="3">
        <v>113</v>
      </c>
      <c r="F904" s="3">
        <v>514</v>
      </c>
      <c r="G904" s="3">
        <v>2290</v>
      </c>
    </row>
    <row r="905" spans="1:7" x14ac:dyDescent="0.3">
      <c r="A905" t="s">
        <v>75</v>
      </c>
      <c r="B905" t="s">
        <v>82</v>
      </c>
      <c r="C905" t="s">
        <v>121</v>
      </c>
      <c r="D905" s="3">
        <v>7</v>
      </c>
      <c r="E905" s="3">
        <v>178</v>
      </c>
      <c r="F905" s="3">
        <v>798</v>
      </c>
      <c r="G905" s="3">
        <v>2300</v>
      </c>
    </row>
    <row r="906" spans="1:7" x14ac:dyDescent="0.3">
      <c r="A906" t="s">
        <v>456</v>
      </c>
      <c r="B906" t="s">
        <v>467</v>
      </c>
      <c r="C906" t="s">
        <v>468</v>
      </c>
      <c r="D906" s="3">
        <v>29</v>
      </c>
      <c r="E906" s="3">
        <v>11</v>
      </c>
      <c r="F906" s="3">
        <v>36</v>
      </c>
      <c r="G906" s="3">
        <v>2320</v>
      </c>
    </row>
    <row r="907" spans="1:7" x14ac:dyDescent="0.3">
      <c r="A907" t="s">
        <v>144</v>
      </c>
      <c r="B907" t="s">
        <v>145</v>
      </c>
      <c r="C907" t="s">
        <v>147</v>
      </c>
      <c r="D907" s="3">
        <v>11</v>
      </c>
      <c r="E907" s="3">
        <v>27</v>
      </c>
      <c r="F907" s="3">
        <v>101</v>
      </c>
      <c r="G907" s="3">
        <v>2380</v>
      </c>
    </row>
    <row r="908" spans="1:7" x14ac:dyDescent="0.3">
      <c r="A908" t="s">
        <v>7</v>
      </c>
      <c r="B908" t="s">
        <v>20</v>
      </c>
      <c r="C908" t="s">
        <v>21</v>
      </c>
      <c r="D908" s="3">
        <v>2</v>
      </c>
      <c r="E908" s="3">
        <v>182</v>
      </c>
      <c r="F908" s="3">
        <v>807</v>
      </c>
      <c r="G908" s="3">
        <v>2620</v>
      </c>
    </row>
    <row r="909" spans="1:7" x14ac:dyDescent="0.3">
      <c r="A909" t="s">
        <v>239</v>
      </c>
      <c r="B909" t="s">
        <v>245</v>
      </c>
      <c r="C909" t="s">
        <v>60</v>
      </c>
      <c r="D909" s="3">
        <v>17</v>
      </c>
      <c r="E909" s="3">
        <v>185</v>
      </c>
      <c r="F909" s="3">
        <v>870</v>
      </c>
      <c r="G909" s="3">
        <v>2820</v>
      </c>
    </row>
    <row r="910" spans="1:7" x14ac:dyDescent="0.3">
      <c r="A910" t="s">
        <v>456</v>
      </c>
      <c r="B910" t="s">
        <v>489</v>
      </c>
      <c r="C910" t="s">
        <v>490</v>
      </c>
      <c r="D910" s="3">
        <v>29</v>
      </c>
      <c r="E910" s="3">
        <v>55</v>
      </c>
      <c r="F910" s="3">
        <v>203</v>
      </c>
      <c r="G910" s="3">
        <v>3200</v>
      </c>
    </row>
    <row r="911" spans="1:7" x14ac:dyDescent="0.3">
      <c r="A911" t="s">
        <v>239</v>
      </c>
      <c r="B911" t="s">
        <v>245</v>
      </c>
      <c r="C911" t="s">
        <v>248</v>
      </c>
      <c r="D911" s="3">
        <v>17</v>
      </c>
      <c r="E911" s="3">
        <v>185</v>
      </c>
      <c r="F911" s="3">
        <v>814</v>
      </c>
      <c r="G911" s="3">
        <v>3270</v>
      </c>
    </row>
    <row r="912" spans="1:7" x14ac:dyDescent="0.3">
      <c r="A912" t="s">
        <v>536</v>
      </c>
      <c r="B912" t="s">
        <v>553</v>
      </c>
      <c r="C912" t="s">
        <v>557</v>
      </c>
      <c r="D912" s="3">
        <v>30</v>
      </c>
      <c r="E912" s="3">
        <v>69</v>
      </c>
      <c r="F912" s="3">
        <v>232</v>
      </c>
      <c r="G912" s="3">
        <v>3540</v>
      </c>
    </row>
    <row r="913" spans="1:7" x14ac:dyDescent="0.3">
      <c r="A913" t="s">
        <v>7</v>
      </c>
      <c r="B913" t="s">
        <v>14</v>
      </c>
      <c r="C913" t="s">
        <v>16</v>
      </c>
      <c r="D913" s="3">
        <v>2</v>
      </c>
      <c r="E913" s="3">
        <v>16</v>
      </c>
      <c r="F913" s="3">
        <v>70</v>
      </c>
      <c r="G913" s="3">
        <v>3620</v>
      </c>
    </row>
    <row r="914" spans="1:7" x14ac:dyDescent="0.3">
      <c r="A914" t="s">
        <v>725</v>
      </c>
      <c r="B914" t="s">
        <v>737</v>
      </c>
      <c r="C914" t="s">
        <v>273</v>
      </c>
      <c r="D914" s="3">
        <v>35</v>
      </c>
      <c r="E914" s="3">
        <v>103</v>
      </c>
      <c r="F914" s="3">
        <v>387</v>
      </c>
      <c r="G914" s="3">
        <v>3640</v>
      </c>
    </row>
    <row r="915" spans="1:7" x14ac:dyDescent="0.3">
      <c r="A915" t="s">
        <v>127</v>
      </c>
      <c r="B915" t="s">
        <v>130</v>
      </c>
      <c r="C915" t="s">
        <v>131</v>
      </c>
      <c r="D915" s="3">
        <v>9</v>
      </c>
      <c r="E915" s="3">
        <v>41</v>
      </c>
      <c r="F915" s="3">
        <v>156</v>
      </c>
      <c r="G915" s="3">
        <v>3660</v>
      </c>
    </row>
    <row r="916" spans="1:7" x14ac:dyDescent="0.3">
      <c r="A916" t="s">
        <v>331</v>
      </c>
      <c r="B916" t="s">
        <v>338</v>
      </c>
      <c r="C916" t="s">
        <v>339</v>
      </c>
      <c r="D916" s="3">
        <v>22</v>
      </c>
      <c r="E916" s="3">
        <v>96</v>
      </c>
      <c r="F916" s="3">
        <v>365</v>
      </c>
      <c r="G916" s="3">
        <v>3900</v>
      </c>
    </row>
    <row r="917" spans="1:7" x14ac:dyDescent="0.3">
      <c r="A917" t="s">
        <v>456</v>
      </c>
      <c r="B917" t="s">
        <v>500</v>
      </c>
      <c r="C917" t="s">
        <v>502</v>
      </c>
      <c r="D917" s="3">
        <v>29</v>
      </c>
      <c r="E917" s="3">
        <v>97</v>
      </c>
      <c r="F917" s="3">
        <v>367</v>
      </c>
      <c r="G917" s="3">
        <v>4010</v>
      </c>
    </row>
    <row r="918" spans="1:7" x14ac:dyDescent="0.3">
      <c r="A918" t="s">
        <v>331</v>
      </c>
      <c r="B918" t="s">
        <v>336</v>
      </c>
      <c r="C918" t="s">
        <v>337</v>
      </c>
      <c r="D918" s="3">
        <v>22</v>
      </c>
      <c r="E918" s="3">
        <v>94</v>
      </c>
      <c r="F918" s="3">
        <v>363</v>
      </c>
      <c r="G918" s="3">
        <v>4250</v>
      </c>
    </row>
    <row r="919" spans="1:7" x14ac:dyDescent="0.3">
      <c r="A919" t="s">
        <v>954</v>
      </c>
      <c r="B919" t="s">
        <v>956</v>
      </c>
      <c r="C919" t="s">
        <v>242</v>
      </c>
      <c r="D919" s="3">
        <v>58</v>
      </c>
      <c r="E919" s="3">
        <v>184</v>
      </c>
      <c r="F919" s="3">
        <v>810</v>
      </c>
      <c r="G919" s="3">
        <v>4390</v>
      </c>
    </row>
    <row r="920" spans="1:7" x14ac:dyDescent="0.3">
      <c r="A920" t="s">
        <v>222</v>
      </c>
      <c r="B920" t="s">
        <v>223</v>
      </c>
      <c r="C920" t="s">
        <v>225</v>
      </c>
      <c r="D920" s="3">
        <v>16</v>
      </c>
      <c r="E920" s="3">
        <v>32</v>
      </c>
      <c r="F920" s="3">
        <v>123</v>
      </c>
      <c r="G920" s="3">
        <v>5020</v>
      </c>
    </row>
    <row r="921" spans="1:7" x14ac:dyDescent="0.3">
      <c r="A921" t="s">
        <v>28</v>
      </c>
      <c r="B921" t="s">
        <v>37</v>
      </c>
      <c r="C921" t="s">
        <v>60</v>
      </c>
      <c r="D921" s="3">
        <v>4</v>
      </c>
      <c r="E921" s="3">
        <v>15</v>
      </c>
      <c r="F921" s="3">
        <v>66</v>
      </c>
      <c r="G921" s="3">
        <v>5200</v>
      </c>
    </row>
    <row r="922" spans="1:7" x14ac:dyDescent="0.3">
      <c r="A922" t="s">
        <v>725</v>
      </c>
      <c r="B922" t="s">
        <v>729</v>
      </c>
      <c r="C922" t="s">
        <v>619</v>
      </c>
      <c r="D922" s="3">
        <v>35</v>
      </c>
      <c r="E922" s="3">
        <v>39</v>
      </c>
      <c r="F922" s="3">
        <v>152</v>
      </c>
      <c r="G922" s="3">
        <v>5380</v>
      </c>
    </row>
    <row r="923" spans="1:7" x14ac:dyDescent="0.3">
      <c r="A923" t="s">
        <v>725</v>
      </c>
      <c r="B923" t="s">
        <v>728</v>
      </c>
      <c r="C923" t="s">
        <v>21</v>
      </c>
      <c r="D923" s="3">
        <v>35</v>
      </c>
      <c r="E923" s="3">
        <v>34</v>
      </c>
      <c r="F923" s="3">
        <v>127</v>
      </c>
      <c r="G923" s="3">
        <v>5600</v>
      </c>
    </row>
    <row r="924" spans="1:7" x14ac:dyDescent="0.3">
      <c r="A924" t="s">
        <v>222</v>
      </c>
      <c r="B924" t="s">
        <v>237</v>
      </c>
      <c r="C924" t="s">
        <v>238</v>
      </c>
      <c r="D924" s="3">
        <v>16</v>
      </c>
      <c r="E924" s="3">
        <v>176</v>
      </c>
      <c r="F924" s="3">
        <v>755</v>
      </c>
      <c r="G924" s="3">
        <v>6340</v>
      </c>
    </row>
    <row r="925" spans="1:7" x14ac:dyDescent="0.3">
      <c r="A925" t="s">
        <v>725</v>
      </c>
      <c r="B925" t="s">
        <v>741</v>
      </c>
      <c r="C925" t="s">
        <v>204</v>
      </c>
      <c r="D925" s="3">
        <v>35</v>
      </c>
      <c r="E925" s="3">
        <v>175</v>
      </c>
      <c r="F925" s="3">
        <v>753</v>
      </c>
      <c r="G925" s="3">
        <v>7330</v>
      </c>
    </row>
    <row r="926" spans="1:7" x14ac:dyDescent="0.3">
      <c r="A926" t="s">
        <v>134</v>
      </c>
      <c r="B926" t="s">
        <v>135</v>
      </c>
      <c r="C926" t="s">
        <v>136</v>
      </c>
      <c r="D926" s="3">
        <v>10</v>
      </c>
      <c r="E926" s="3">
        <v>48</v>
      </c>
      <c r="F926" s="3">
        <v>171</v>
      </c>
      <c r="G926" s="3">
        <v>11320</v>
      </c>
    </row>
  </sheetData>
  <sortState xmlns:xlrd2="http://schemas.microsoft.com/office/spreadsheetml/2017/richdata2" ref="A2:G926">
    <sortCondition ref="G2:G92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0BCF-FF36-4BD9-80CE-25552801AEEA}">
  <dimension ref="A1:G926"/>
  <sheetViews>
    <sheetView workbookViewId="0">
      <selection activeCell="F1" sqref="F1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t="s">
        <v>28</v>
      </c>
      <c r="B2" t="s">
        <v>37</v>
      </c>
      <c r="C2" t="s">
        <v>47</v>
      </c>
      <c r="D2" s="3">
        <v>4</v>
      </c>
      <c r="E2" s="3">
        <v>15</v>
      </c>
      <c r="F2" s="3">
        <v>52</v>
      </c>
      <c r="G2" s="3">
        <v>10</v>
      </c>
    </row>
    <row r="3" spans="1:7" x14ac:dyDescent="0.3">
      <c r="A3" t="s">
        <v>171</v>
      </c>
      <c r="B3" t="s">
        <v>172</v>
      </c>
      <c r="C3" t="s">
        <v>178</v>
      </c>
      <c r="D3" s="3">
        <v>15</v>
      </c>
      <c r="E3" s="3">
        <v>91</v>
      </c>
      <c r="F3" s="3">
        <v>350</v>
      </c>
      <c r="G3" s="3">
        <v>10</v>
      </c>
    </row>
    <row r="4" spans="1:7" x14ac:dyDescent="0.3">
      <c r="A4" t="s">
        <v>456</v>
      </c>
      <c r="B4" t="s">
        <v>500</v>
      </c>
      <c r="C4" t="s">
        <v>501</v>
      </c>
      <c r="D4" s="3">
        <v>29</v>
      </c>
      <c r="E4" s="3">
        <v>97</v>
      </c>
      <c r="F4" s="3">
        <v>366</v>
      </c>
      <c r="G4" s="3">
        <v>10</v>
      </c>
    </row>
    <row r="5" spans="1:7" x14ac:dyDescent="0.3">
      <c r="A5" t="s">
        <v>536</v>
      </c>
      <c r="B5" t="s">
        <v>563</v>
      </c>
      <c r="C5" t="s">
        <v>564</v>
      </c>
      <c r="D5" s="3">
        <v>30</v>
      </c>
      <c r="E5" s="3">
        <v>131</v>
      </c>
      <c r="F5" s="3">
        <v>600</v>
      </c>
      <c r="G5" s="3">
        <v>10</v>
      </c>
    </row>
    <row r="6" spans="1:7" x14ac:dyDescent="0.3">
      <c r="A6" t="s">
        <v>745</v>
      </c>
      <c r="B6" t="s">
        <v>757</v>
      </c>
      <c r="C6" t="s">
        <v>760</v>
      </c>
      <c r="D6" s="3">
        <v>36</v>
      </c>
      <c r="E6" s="3">
        <v>79</v>
      </c>
      <c r="F6" s="3">
        <v>289</v>
      </c>
      <c r="G6" s="3">
        <v>10</v>
      </c>
    </row>
    <row r="7" spans="1:7" x14ac:dyDescent="0.3">
      <c r="A7" t="s">
        <v>745</v>
      </c>
      <c r="B7" t="s">
        <v>757</v>
      </c>
      <c r="C7" t="s">
        <v>772</v>
      </c>
      <c r="D7" s="3">
        <v>36</v>
      </c>
      <c r="E7" s="3">
        <v>79</v>
      </c>
      <c r="F7" s="3">
        <v>303</v>
      </c>
      <c r="G7" s="3">
        <v>10</v>
      </c>
    </row>
    <row r="8" spans="1:7" x14ac:dyDescent="0.3">
      <c r="A8" t="s">
        <v>852</v>
      </c>
      <c r="B8" t="s">
        <v>853</v>
      </c>
      <c r="C8" t="s">
        <v>854</v>
      </c>
      <c r="D8" s="3">
        <v>43</v>
      </c>
      <c r="E8" s="3">
        <v>150</v>
      </c>
      <c r="F8" s="3">
        <v>645</v>
      </c>
      <c r="G8" s="3">
        <v>10</v>
      </c>
    </row>
    <row r="9" spans="1:7" x14ac:dyDescent="0.3">
      <c r="A9" t="s">
        <v>7</v>
      </c>
      <c r="B9" t="s">
        <v>8</v>
      </c>
      <c r="C9" t="s">
        <v>13</v>
      </c>
      <c r="D9" s="3">
        <v>2</v>
      </c>
      <c r="E9" s="3">
        <v>7</v>
      </c>
      <c r="F9" s="3">
        <v>29</v>
      </c>
      <c r="G9" s="3">
        <v>20</v>
      </c>
    </row>
    <row r="10" spans="1:7" x14ac:dyDescent="0.3">
      <c r="A10" t="s">
        <v>75</v>
      </c>
      <c r="B10" t="s">
        <v>82</v>
      </c>
      <c r="C10" t="s">
        <v>92</v>
      </c>
      <c r="D10" s="3">
        <v>7</v>
      </c>
      <c r="E10" s="3">
        <v>178</v>
      </c>
      <c r="F10" s="3">
        <v>769</v>
      </c>
      <c r="G10" s="3">
        <v>20</v>
      </c>
    </row>
    <row r="11" spans="1:7" x14ac:dyDescent="0.3">
      <c r="A11" t="s">
        <v>75</v>
      </c>
      <c r="B11" t="s">
        <v>82</v>
      </c>
      <c r="C11" t="s">
        <v>93</v>
      </c>
      <c r="D11" s="3">
        <v>7</v>
      </c>
      <c r="E11" s="3">
        <v>178</v>
      </c>
      <c r="F11" s="3">
        <v>770</v>
      </c>
      <c r="G11" s="3">
        <v>20</v>
      </c>
    </row>
    <row r="12" spans="1:7" x14ac:dyDescent="0.3">
      <c r="A12" t="s">
        <v>144</v>
      </c>
      <c r="B12" t="s">
        <v>145</v>
      </c>
      <c r="C12" t="s">
        <v>146</v>
      </c>
      <c r="D12" s="3">
        <v>11</v>
      </c>
      <c r="E12" s="3">
        <v>27</v>
      </c>
      <c r="F12" s="3">
        <v>100</v>
      </c>
      <c r="G12" s="3">
        <v>20</v>
      </c>
    </row>
    <row r="13" spans="1:7" x14ac:dyDescent="0.3">
      <c r="A13" t="s">
        <v>239</v>
      </c>
      <c r="B13" t="s">
        <v>245</v>
      </c>
      <c r="C13" t="s">
        <v>246</v>
      </c>
      <c r="D13" s="3">
        <v>17</v>
      </c>
      <c r="E13" s="3">
        <v>185</v>
      </c>
      <c r="F13" s="3">
        <v>812</v>
      </c>
      <c r="G13" s="3">
        <v>20</v>
      </c>
    </row>
    <row r="14" spans="1:7" x14ac:dyDescent="0.3">
      <c r="A14" t="s">
        <v>321</v>
      </c>
      <c r="B14" t="s">
        <v>322</v>
      </c>
      <c r="C14" t="s">
        <v>328</v>
      </c>
      <c r="D14" s="3">
        <v>21</v>
      </c>
      <c r="E14" s="3">
        <v>173</v>
      </c>
      <c r="F14" s="3">
        <v>740</v>
      </c>
      <c r="G14" s="3">
        <v>20</v>
      </c>
    </row>
    <row r="15" spans="1:7" x14ac:dyDescent="0.3">
      <c r="A15" t="s">
        <v>416</v>
      </c>
      <c r="B15" t="s">
        <v>424</v>
      </c>
      <c r="C15" t="s">
        <v>425</v>
      </c>
      <c r="D15" s="3">
        <v>27</v>
      </c>
      <c r="E15" s="3">
        <v>50</v>
      </c>
      <c r="F15" s="3">
        <v>182</v>
      </c>
      <c r="G15" s="3">
        <v>20</v>
      </c>
    </row>
    <row r="16" spans="1:7" x14ac:dyDescent="0.3">
      <c r="A16" t="s">
        <v>616</v>
      </c>
      <c r="B16" t="s">
        <v>617</v>
      </c>
      <c r="C16" t="s">
        <v>618</v>
      </c>
      <c r="D16" s="3">
        <v>28</v>
      </c>
      <c r="E16" s="3">
        <v>61</v>
      </c>
      <c r="F16" s="3">
        <v>215</v>
      </c>
      <c r="G16" s="3">
        <v>20</v>
      </c>
    </row>
    <row r="17" spans="1:7" x14ac:dyDescent="0.3">
      <c r="A17" t="s">
        <v>456</v>
      </c>
      <c r="B17" t="s">
        <v>507</v>
      </c>
      <c r="C17" t="s">
        <v>516</v>
      </c>
      <c r="D17" s="3">
        <v>29</v>
      </c>
      <c r="E17" s="3">
        <v>106</v>
      </c>
      <c r="F17" s="3">
        <v>408</v>
      </c>
      <c r="G17" s="3">
        <v>20</v>
      </c>
    </row>
    <row r="18" spans="1:7" x14ac:dyDescent="0.3">
      <c r="A18" t="s">
        <v>593</v>
      </c>
      <c r="B18" t="s">
        <v>626</v>
      </c>
      <c r="C18" t="s">
        <v>627</v>
      </c>
      <c r="D18" s="3">
        <v>31</v>
      </c>
      <c r="E18" s="3">
        <v>109</v>
      </c>
      <c r="F18" s="3">
        <v>458</v>
      </c>
      <c r="G18" s="3">
        <v>20</v>
      </c>
    </row>
    <row r="19" spans="1:7" x14ac:dyDescent="0.3">
      <c r="A19" t="s">
        <v>593</v>
      </c>
      <c r="B19" t="s">
        <v>626</v>
      </c>
      <c r="C19" t="s">
        <v>629</v>
      </c>
      <c r="D19" s="3">
        <v>31</v>
      </c>
      <c r="E19" s="3">
        <v>109</v>
      </c>
      <c r="F19" s="3">
        <v>460</v>
      </c>
      <c r="G19" s="3">
        <v>20</v>
      </c>
    </row>
    <row r="20" spans="1:7" x14ac:dyDescent="0.3">
      <c r="A20" t="s">
        <v>593</v>
      </c>
      <c r="B20" t="s">
        <v>626</v>
      </c>
      <c r="C20" t="s">
        <v>649</v>
      </c>
      <c r="D20" s="3">
        <v>31</v>
      </c>
      <c r="E20" s="3">
        <v>109</v>
      </c>
      <c r="F20" s="3">
        <v>480</v>
      </c>
      <c r="G20" s="3">
        <v>20</v>
      </c>
    </row>
    <row r="21" spans="1:7" x14ac:dyDescent="0.3">
      <c r="A21" t="s">
        <v>593</v>
      </c>
      <c r="B21" t="s">
        <v>626</v>
      </c>
      <c r="C21" t="s">
        <v>651</v>
      </c>
      <c r="D21" s="3">
        <v>31</v>
      </c>
      <c r="E21" s="3">
        <v>109</v>
      </c>
      <c r="F21" s="3">
        <v>482</v>
      </c>
      <c r="G21" s="3">
        <v>20</v>
      </c>
    </row>
    <row r="22" spans="1:7" x14ac:dyDescent="0.3">
      <c r="A22" t="s">
        <v>593</v>
      </c>
      <c r="B22" t="s">
        <v>656</v>
      </c>
      <c r="C22" t="s">
        <v>675</v>
      </c>
      <c r="D22" s="3">
        <v>31</v>
      </c>
      <c r="E22" s="3">
        <v>112</v>
      </c>
      <c r="F22" s="3">
        <v>509</v>
      </c>
      <c r="G22" s="3">
        <v>20</v>
      </c>
    </row>
    <row r="23" spans="1:7" x14ac:dyDescent="0.3">
      <c r="A23" t="s">
        <v>593</v>
      </c>
      <c r="B23" t="s">
        <v>694</v>
      </c>
      <c r="C23" t="s">
        <v>380</v>
      </c>
      <c r="D23" s="3">
        <v>31</v>
      </c>
      <c r="E23" s="3">
        <v>157</v>
      </c>
      <c r="F23" s="3">
        <v>684</v>
      </c>
      <c r="G23" s="3">
        <v>20</v>
      </c>
    </row>
    <row r="24" spans="1:7" x14ac:dyDescent="0.3">
      <c r="A24" t="s">
        <v>745</v>
      </c>
      <c r="B24" t="s">
        <v>746</v>
      </c>
      <c r="C24" t="s">
        <v>747</v>
      </c>
      <c r="D24" s="3">
        <v>36</v>
      </c>
      <c r="E24" s="3">
        <v>17</v>
      </c>
      <c r="F24" s="3">
        <v>161</v>
      </c>
      <c r="G24" s="3">
        <v>20</v>
      </c>
    </row>
    <row r="25" spans="1:7" x14ac:dyDescent="0.3">
      <c r="A25" t="s">
        <v>808</v>
      </c>
      <c r="B25" t="s">
        <v>810</v>
      </c>
      <c r="C25" t="s">
        <v>234</v>
      </c>
      <c r="D25" s="3">
        <v>38</v>
      </c>
      <c r="E25" s="3">
        <v>76</v>
      </c>
      <c r="F25" s="3">
        <v>262</v>
      </c>
      <c r="G25" s="3">
        <v>20</v>
      </c>
    </row>
    <row r="26" spans="1:7" x14ac:dyDescent="0.3">
      <c r="A26" t="s">
        <v>808</v>
      </c>
      <c r="B26" t="s">
        <v>810</v>
      </c>
      <c r="C26" t="s">
        <v>814</v>
      </c>
      <c r="D26" s="3">
        <v>38</v>
      </c>
      <c r="E26" s="3">
        <v>76</v>
      </c>
      <c r="F26" s="3">
        <v>265</v>
      </c>
      <c r="G26" s="3">
        <v>20</v>
      </c>
    </row>
    <row r="27" spans="1:7" x14ac:dyDescent="0.3">
      <c r="A27" t="s">
        <v>808</v>
      </c>
      <c r="B27" t="s">
        <v>810</v>
      </c>
      <c r="C27" t="s">
        <v>815</v>
      </c>
      <c r="D27" s="3">
        <v>38</v>
      </c>
      <c r="E27" s="3">
        <v>76</v>
      </c>
      <c r="F27" s="3">
        <v>266</v>
      </c>
      <c r="G27" s="3">
        <v>20</v>
      </c>
    </row>
    <row r="28" spans="1:7" x14ac:dyDescent="0.3">
      <c r="A28" t="s">
        <v>808</v>
      </c>
      <c r="B28" t="s">
        <v>810</v>
      </c>
      <c r="C28" t="s">
        <v>824</v>
      </c>
      <c r="D28" s="3">
        <v>38</v>
      </c>
      <c r="E28" s="3">
        <v>76</v>
      </c>
      <c r="F28" s="3">
        <v>277</v>
      </c>
      <c r="G28" s="3">
        <v>20</v>
      </c>
    </row>
    <row r="29" spans="1:7" x14ac:dyDescent="0.3">
      <c r="A29" t="s">
        <v>808</v>
      </c>
      <c r="B29" t="s">
        <v>810</v>
      </c>
      <c r="C29" t="s">
        <v>825</v>
      </c>
      <c r="D29" s="3">
        <v>38</v>
      </c>
      <c r="E29" s="3">
        <v>76</v>
      </c>
      <c r="F29" s="3">
        <v>278</v>
      </c>
      <c r="G29" s="3">
        <v>20</v>
      </c>
    </row>
    <row r="30" spans="1:7" x14ac:dyDescent="0.3">
      <c r="A30" t="s">
        <v>832</v>
      </c>
      <c r="B30" t="s">
        <v>833</v>
      </c>
      <c r="C30" t="s">
        <v>838</v>
      </c>
      <c r="D30" s="3">
        <v>39</v>
      </c>
      <c r="E30" s="3">
        <v>124</v>
      </c>
      <c r="F30" s="3">
        <v>564</v>
      </c>
      <c r="G30" s="3">
        <v>20</v>
      </c>
    </row>
    <row r="31" spans="1:7" x14ac:dyDescent="0.3">
      <c r="A31" t="s">
        <v>875</v>
      </c>
      <c r="B31" t="s">
        <v>896</v>
      </c>
      <c r="C31" t="s">
        <v>900</v>
      </c>
      <c r="D31" s="3">
        <v>50</v>
      </c>
      <c r="E31" s="3">
        <v>152</v>
      </c>
      <c r="F31" s="3">
        <v>651</v>
      </c>
      <c r="G31" s="3">
        <v>20</v>
      </c>
    </row>
    <row r="32" spans="1:7" x14ac:dyDescent="0.3">
      <c r="A32" t="s">
        <v>875</v>
      </c>
      <c r="B32" t="s">
        <v>896</v>
      </c>
      <c r="C32" t="s">
        <v>711</v>
      </c>
      <c r="D32" s="3">
        <v>50</v>
      </c>
      <c r="E32" s="3">
        <v>152</v>
      </c>
      <c r="F32" s="3">
        <v>666</v>
      </c>
      <c r="G32" s="3">
        <v>20</v>
      </c>
    </row>
    <row r="33" spans="1:7" x14ac:dyDescent="0.3">
      <c r="A33" t="s">
        <v>7</v>
      </c>
      <c r="B33" t="s">
        <v>20</v>
      </c>
      <c r="C33" t="s">
        <v>22</v>
      </c>
      <c r="D33" s="3">
        <v>2</v>
      </c>
      <c r="E33" s="3">
        <v>182</v>
      </c>
      <c r="F33" s="3">
        <v>808</v>
      </c>
      <c r="G33" s="3">
        <v>30</v>
      </c>
    </row>
    <row r="34" spans="1:7" x14ac:dyDescent="0.3">
      <c r="A34" t="s">
        <v>28</v>
      </c>
      <c r="B34" t="s">
        <v>37</v>
      </c>
      <c r="C34" t="s">
        <v>43</v>
      </c>
      <c r="D34" s="3">
        <v>4</v>
      </c>
      <c r="E34" s="3">
        <v>15</v>
      </c>
      <c r="F34" s="3">
        <v>48</v>
      </c>
      <c r="G34" s="3">
        <v>30</v>
      </c>
    </row>
    <row r="35" spans="1:7" x14ac:dyDescent="0.3">
      <c r="A35" t="s">
        <v>28</v>
      </c>
      <c r="B35" t="s">
        <v>37</v>
      </c>
      <c r="C35" t="s">
        <v>51</v>
      </c>
      <c r="D35" s="3">
        <v>4</v>
      </c>
      <c r="E35" s="3">
        <v>15</v>
      </c>
      <c r="F35" s="3">
        <v>56</v>
      </c>
      <c r="G35" s="3">
        <v>30</v>
      </c>
    </row>
    <row r="36" spans="1:7" x14ac:dyDescent="0.3">
      <c r="A36" t="s">
        <v>28</v>
      </c>
      <c r="B36" t="s">
        <v>37</v>
      </c>
      <c r="C36" t="s">
        <v>52</v>
      </c>
      <c r="D36" s="3">
        <v>4</v>
      </c>
      <c r="E36" s="3">
        <v>15</v>
      </c>
      <c r="F36" s="3">
        <v>57</v>
      </c>
      <c r="G36" s="3">
        <v>30</v>
      </c>
    </row>
    <row r="37" spans="1:7" x14ac:dyDescent="0.3">
      <c r="A37" t="s">
        <v>75</v>
      </c>
      <c r="B37" t="s">
        <v>82</v>
      </c>
      <c r="C37" t="s">
        <v>119</v>
      </c>
      <c r="D37" s="3">
        <v>7</v>
      </c>
      <c r="E37" s="3">
        <v>178</v>
      </c>
      <c r="F37" s="3">
        <v>796</v>
      </c>
      <c r="G37" s="3">
        <v>30</v>
      </c>
    </row>
    <row r="38" spans="1:7" x14ac:dyDescent="0.3">
      <c r="A38" t="s">
        <v>158</v>
      </c>
      <c r="B38" t="s">
        <v>159</v>
      </c>
      <c r="C38" t="s">
        <v>163</v>
      </c>
      <c r="D38" s="3">
        <v>13</v>
      </c>
      <c r="E38" s="3">
        <v>38</v>
      </c>
      <c r="F38" s="3">
        <v>141</v>
      </c>
      <c r="G38" s="3">
        <v>30</v>
      </c>
    </row>
    <row r="39" spans="1:7" x14ac:dyDescent="0.3">
      <c r="A39" t="s">
        <v>158</v>
      </c>
      <c r="B39" t="s">
        <v>159</v>
      </c>
      <c r="C39" t="s">
        <v>164</v>
      </c>
      <c r="D39" s="3">
        <v>13</v>
      </c>
      <c r="E39" s="3">
        <v>38</v>
      </c>
      <c r="F39" s="3">
        <v>142</v>
      </c>
      <c r="G39" s="3">
        <v>30</v>
      </c>
    </row>
    <row r="40" spans="1:7" x14ac:dyDescent="0.3">
      <c r="A40" t="s">
        <v>171</v>
      </c>
      <c r="B40" t="s">
        <v>188</v>
      </c>
      <c r="C40" t="s">
        <v>217</v>
      </c>
      <c r="D40" s="3">
        <v>15</v>
      </c>
      <c r="E40" s="3">
        <v>107</v>
      </c>
      <c r="F40" s="3">
        <v>443</v>
      </c>
      <c r="G40" s="3">
        <v>30</v>
      </c>
    </row>
    <row r="41" spans="1:7" x14ac:dyDescent="0.3">
      <c r="A41" t="s">
        <v>222</v>
      </c>
      <c r="B41" t="s">
        <v>223</v>
      </c>
      <c r="C41" t="s">
        <v>224</v>
      </c>
      <c r="D41" s="3">
        <v>16</v>
      </c>
      <c r="E41" s="3">
        <v>32</v>
      </c>
      <c r="F41" s="3">
        <v>122</v>
      </c>
      <c r="G41" s="3">
        <v>30</v>
      </c>
    </row>
    <row r="42" spans="1:7" x14ac:dyDescent="0.3">
      <c r="A42" t="s">
        <v>239</v>
      </c>
      <c r="B42" t="s">
        <v>245</v>
      </c>
      <c r="C42" t="s">
        <v>257</v>
      </c>
      <c r="D42" s="3">
        <v>17</v>
      </c>
      <c r="E42" s="3">
        <v>185</v>
      </c>
      <c r="F42" s="3">
        <v>824</v>
      </c>
      <c r="G42" s="3">
        <v>30</v>
      </c>
    </row>
    <row r="43" spans="1:7" x14ac:dyDescent="0.3">
      <c r="A43" t="s">
        <v>239</v>
      </c>
      <c r="B43" t="s">
        <v>245</v>
      </c>
      <c r="C43" t="s">
        <v>277</v>
      </c>
      <c r="D43" s="3">
        <v>17</v>
      </c>
      <c r="E43" s="3">
        <v>185</v>
      </c>
      <c r="F43" s="3">
        <v>845</v>
      </c>
      <c r="G43" s="3">
        <v>30</v>
      </c>
    </row>
    <row r="44" spans="1:7" x14ac:dyDescent="0.3">
      <c r="A44" t="s">
        <v>239</v>
      </c>
      <c r="B44" t="s">
        <v>245</v>
      </c>
      <c r="C44" t="s">
        <v>288</v>
      </c>
      <c r="D44" s="3">
        <v>17</v>
      </c>
      <c r="E44" s="3">
        <v>185</v>
      </c>
      <c r="F44" s="3">
        <v>857</v>
      </c>
      <c r="G44" s="3">
        <v>30</v>
      </c>
    </row>
    <row r="45" spans="1:7" x14ac:dyDescent="0.3">
      <c r="A45" t="s">
        <v>239</v>
      </c>
      <c r="B45" t="s">
        <v>245</v>
      </c>
      <c r="C45" t="s">
        <v>296</v>
      </c>
      <c r="D45" s="3">
        <v>17</v>
      </c>
      <c r="E45" s="3">
        <v>185</v>
      </c>
      <c r="F45" s="3">
        <v>865</v>
      </c>
      <c r="G45" s="3">
        <v>30</v>
      </c>
    </row>
    <row r="46" spans="1:7" x14ac:dyDescent="0.3">
      <c r="A46" t="s">
        <v>363</v>
      </c>
      <c r="B46" t="s">
        <v>366</v>
      </c>
      <c r="C46" t="s">
        <v>371</v>
      </c>
      <c r="D46" s="3">
        <v>26</v>
      </c>
      <c r="E46" s="3">
        <v>108</v>
      </c>
      <c r="F46" s="3">
        <v>454</v>
      </c>
      <c r="G46" s="3">
        <v>30</v>
      </c>
    </row>
    <row r="47" spans="1:7" x14ac:dyDescent="0.3">
      <c r="A47" t="s">
        <v>363</v>
      </c>
      <c r="B47" t="s">
        <v>390</v>
      </c>
      <c r="C47" t="s">
        <v>400</v>
      </c>
      <c r="D47" s="3">
        <v>26</v>
      </c>
      <c r="E47" s="3">
        <v>126</v>
      </c>
      <c r="F47" s="3">
        <v>578</v>
      </c>
      <c r="G47" s="3">
        <v>30</v>
      </c>
    </row>
    <row r="48" spans="1:7" x14ac:dyDescent="0.3">
      <c r="A48" t="s">
        <v>363</v>
      </c>
      <c r="B48" t="s">
        <v>413</v>
      </c>
      <c r="C48" t="s">
        <v>60</v>
      </c>
      <c r="D48" s="3">
        <v>26</v>
      </c>
      <c r="E48" s="3">
        <v>149</v>
      </c>
      <c r="F48" s="3">
        <v>644</v>
      </c>
      <c r="G48" s="3">
        <v>30</v>
      </c>
    </row>
    <row r="49" spans="1:7" x14ac:dyDescent="0.3">
      <c r="A49" t="s">
        <v>416</v>
      </c>
      <c r="B49" t="s">
        <v>427</v>
      </c>
      <c r="C49" t="s">
        <v>433</v>
      </c>
      <c r="D49" s="3">
        <v>27</v>
      </c>
      <c r="E49" s="3">
        <v>73</v>
      </c>
      <c r="F49" s="3">
        <v>242</v>
      </c>
      <c r="G49" s="3">
        <v>30</v>
      </c>
    </row>
    <row r="50" spans="1:7" x14ac:dyDescent="0.3">
      <c r="A50" t="s">
        <v>416</v>
      </c>
      <c r="B50" t="s">
        <v>450</v>
      </c>
      <c r="C50" t="s">
        <v>455</v>
      </c>
      <c r="D50" s="3">
        <v>27</v>
      </c>
      <c r="E50" s="3">
        <v>105</v>
      </c>
      <c r="F50" s="3">
        <v>399</v>
      </c>
      <c r="G50" s="3">
        <v>30</v>
      </c>
    </row>
    <row r="51" spans="1:7" x14ac:dyDescent="0.3">
      <c r="A51" t="s">
        <v>456</v>
      </c>
      <c r="B51" t="s">
        <v>474</v>
      </c>
      <c r="C51" t="s">
        <v>479</v>
      </c>
      <c r="D51" s="3">
        <v>29</v>
      </c>
      <c r="E51" s="3">
        <v>31</v>
      </c>
      <c r="F51" s="3">
        <v>120</v>
      </c>
      <c r="G51" s="3">
        <v>30</v>
      </c>
    </row>
    <row r="52" spans="1:7" x14ac:dyDescent="0.3">
      <c r="A52" t="s">
        <v>456</v>
      </c>
      <c r="B52" t="s">
        <v>507</v>
      </c>
      <c r="C52" t="s">
        <v>511</v>
      </c>
      <c r="D52" s="3">
        <v>29</v>
      </c>
      <c r="E52" s="3">
        <v>106</v>
      </c>
      <c r="F52" s="3">
        <v>403</v>
      </c>
      <c r="G52" s="3">
        <v>30</v>
      </c>
    </row>
    <row r="53" spans="1:7" x14ac:dyDescent="0.3">
      <c r="A53" t="s">
        <v>456</v>
      </c>
      <c r="B53" t="s">
        <v>520</v>
      </c>
      <c r="C53" t="s">
        <v>521</v>
      </c>
      <c r="D53" s="3">
        <v>29</v>
      </c>
      <c r="E53" s="3">
        <v>133</v>
      </c>
      <c r="F53" s="3">
        <v>612</v>
      </c>
      <c r="G53" s="3">
        <v>30</v>
      </c>
    </row>
    <row r="54" spans="1:7" x14ac:dyDescent="0.3">
      <c r="A54" t="s">
        <v>456</v>
      </c>
      <c r="B54" t="s">
        <v>527</v>
      </c>
      <c r="C54" t="s">
        <v>60</v>
      </c>
      <c r="D54" s="3">
        <v>29</v>
      </c>
      <c r="E54" s="3">
        <v>168</v>
      </c>
      <c r="F54" s="3">
        <v>721</v>
      </c>
      <c r="G54" s="3">
        <v>30</v>
      </c>
    </row>
    <row r="55" spans="1:7" x14ac:dyDescent="0.3">
      <c r="A55" t="s">
        <v>536</v>
      </c>
      <c r="B55" t="s">
        <v>537</v>
      </c>
      <c r="C55" t="s">
        <v>541</v>
      </c>
      <c r="D55" s="3">
        <v>30</v>
      </c>
      <c r="E55" s="3">
        <v>1</v>
      </c>
      <c r="F55" s="3">
        <v>4</v>
      </c>
      <c r="G55" s="3">
        <v>30</v>
      </c>
    </row>
    <row r="56" spans="1:7" x14ac:dyDescent="0.3">
      <c r="A56" t="s">
        <v>536</v>
      </c>
      <c r="B56" t="s">
        <v>563</v>
      </c>
      <c r="C56" t="s">
        <v>570</v>
      </c>
      <c r="D56" s="3">
        <v>30</v>
      </c>
      <c r="E56" s="3">
        <v>131</v>
      </c>
      <c r="F56" s="3">
        <v>608</v>
      </c>
      <c r="G56" s="3">
        <v>30</v>
      </c>
    </row>
    <row r="57" spans="1:7" x14ac:dyDescent="0.3">
      <c r="A57" t="s">
        <v>536</v>
      </c>
      <c r="B57" t="s">
        <v>581</v>
      </c>
      <c r="C57" t="s">
        <v>582</v>
      </c>
      <c r="D57" s="3">
        <v>30</v>
      </c>
      <c r="E57" s="3">
        <v>146</v>
      </c>
      <c r="F57" s="3">
        <v>634</v>
      </c>
      <c r="G57" s="3">
        <v>30</v>
      </c>
    </row>
    <row r="58" spans="1:7" x14ac:dyDescent="0.3">
      <c r="A58" t="s">
        <v>536</v>
      </c>
      <c r="B58" t="s">
        <v>585</v>
      </c>
      <c r="C58" t="s">
        <v>373</v>
      </c>
      <c r="D58" s="3">
        <v>30</v>
      </c>
      <c r="E58" s="3">
        <v>169</v>
      </c>
      <c r="F58" s="3">
        <v>725</v>
      </c>
      <c r="G58" s="3">
        <v>30</v>
      </c>
    </row>
    <row r="59" spans="1:7" x14ac:dyDescent="0.3">
      <c r="A59" t="s">
        <v>593</v>
      </c>
      <c r="B59" t="s">
        <v>601</v>
      </c>
      <c r="C59" t="s">
        <v>605</v>
      </c>
      <c r="D59" s="3">
        <v>31</v>
      </c>
      <c r="E59" s="3">
        <v>54</v>
      </c>
      <c r="F59" s="3">
        <v>190</v>
      </c>
      <c r="G59" s="3">
        <v>30</v>
      </c>
    </row>
    <row r="60" spans="1:7" x14ac:dyDescent="0.3">
      <c r="A60" t="s">
        <v>593</v>
      </c>
      <c r="B60" t="s">
        <v>601</v>
      </c>
      <c r="C60" t="s">
        <v>201</v>
      </c>
      <c r="D60" s="3">
        <v>31</v>
      </c>
      <c r="E60" s="3">
        <v>54</v>
      </c>
      <c r="F60" s="3">
        <v>191</v>
      </c>
      <c r="G60" s="3">
        <v>30</v>
      </c>
    </row>
    <row r="61" spans="1:7" x14ac:dyDescent="0.3">
      <c r="A61" t="s">
        <v>593</v>
      </c>
      <c r="B61" t="s">
        <v>617</v>
      </c>
      <c r="C61" t="s">
        <v>373</v>
      </c>
      <c r="D61" s="3">
        <v>31</v>
      </c>
      <c r="E61" s="3">
        <v>61</v>
      </c>
      <c r="F61" s="3">
        <v>218</v>
      </c>
      <c r="G61" s="3">
        <v>30</v>
      </c>
    </row>
    <row r="62" spans="1:7" x14ac:dyDescent="0.3">
      <c r="A62" t="s">
        <v>593</v>
      </c>
      <c r="B62" t="s">
        <v>621</v>
      </c>
      <c r="C62" t="s">
        <v>624</v>
      </c>
      <c r="D62" s="3">
        <v>31</v>
      </c>
      <c r="E62" s="3">
        <v>98</v>
      </c>
      <c r="F62" s="3">
        <v>376</v>
      </c>
      <c r="G62" s="3">
        <v>30</v>
      </c>
    </row>
    <row r="63" spans="1:7" x14ac:dyDescent="0.3">
      <c r="A63" t="s">
        <v>593</v>
      </c>
      <c r="B63" t="s">
        <v>626</v>
      </c>
      <c r="C63" t="s">
        <v>647</v>
      </c>
      <c r="D63" s="3">
        <v>31</v>
      </c>
      <c r="E63" s="3">
        <v>109</v>
      </c>
      <c r="F63" s="3">
        <v>478</v>
      </c>
      <c r="G63" s="3">
        <v>30</v>
      </c>
    </row>
    <row r="64" spans="1:7" x14ac:dyDescent="0.3">
      <c r="A64" t="s">
        <v>593</v>
      </c>
      <c r="B64" t="s">
        <v>626</v>
      </c>
      <c r="C64" t="s">
        <v>648</v>
      </c>
      <c r="D64" s="3">
        <v>31</v>
      </c>
      <c r="E64" s="3">
        <v>109</v>
      </c>
      <c r="F64" s="3">
        <v>479</v>
      </c>
      <c r="G64" s="3">
        <v>30</v>
      </c>
    </row>
    <row r="65" spans="1:7" x14ac:dyDescent="0.3">
      <c r="A65" t="s">
        <v>593</v>
      </c>
      <c r="B65" t="s">
        <v>626</v>
      </c>
      <c r="C65" t="s">
        <v>652</v>
      </c>
      <c r="D65" s="3">
        <v>31</v>
      </c>
      <c r="E65" s="3">
        <v>109</v>
      </c>
      <c r="F65" s="3">
        <v>483</v>
      </c>
      <c r="G65" s="3">
        <v>30</v>
      </c>
    </row>
    <row r="66" spans="1:7" x14ac:dyDescent="0.3">
      <c r="A66" t="s">
        <v>593</v>
      </c>
      <c r="B66" t="s">
        <v>656</v>
      </c>
      <c r="C66" t="s">
        <v>659</v>
      </c>
      <c r="D66" s="3">
        <v>31</v>
      </c>
      <c r="E66" s="3">
        <v>112</v>
      </c>
      <c r="F66" s="3">
        <v>490</v>
      </c>
      <c r="G66" s="3">
        <v>30</v>
      </c>
    </row>
    <row r="67" spans="1:7" x14ac:dyDescent="0.3">
      <c r="A67" t="s">
        <v>593</v>
      </c>
      <c r="B67" t="s">
        <v>656</v>
      </c>
      <c r="C67" t="s">
        <v>663</v>
      </c>
      <c r="D67" s="3">
        <v>31</v>
      </c>
      <c r="E67" s="3">
        <v>112</v>
      </c>
      <c r="F67" s="3">
        <v>495</v>
      </c>
      <c r="G67" s="3">
        <v>30</v>
      </c>
    </row>
    <row r="68" spans="1:7" x14ac:dyDescent="0.3">
      <c r="A68" t="s">
        <v>593</v>
      </c>
      <c r="B68" t="s">
        <v>656</v>
      </c>
      <c r="C68" t="s">
        <v>664</v>
      </c>
      <c r="D68" s="3">
        <v>31</v>
      </c>
      <c r="E68" s="3">
        <v>112</v>
      </c>
      <c r="F68" s="3">
        <v>496</v>
      </c>
      <c r="G68" s="3">
        <v>30</v>
      </c>
    </row>
    <row r="69" spans="1:7" x14ac:dyDescent="0.3">
      <c r="A69" t="s">
        <v>593</v>
      </c>
      <c r="B69" t="s">
        <v>656</v>
      </c>
      <c r="C69" t="s">
        <v>666</v>
      </c>
      <c r="D69" s="3">
        <v>31</v>
      </c>
      <c r="E69" s="3">
        <v>112</v>
      </c>
      <c r="F69" s="3">
        <v>498</v>
      </c>
      <c r="G69" s="3">
        <v>30</v>
      </c>
    </row>
    <row r="70" spans="1:7" x14ac:dyDescent="0.3">
      <c r="A70" t="s">
        <v>593</v>
      </c>
      <c r="B70" t="s">
        <v>688</v>
      </c>
      <c r="C70" t="s">
        <v>18</v>
      </c>
      <c r="D70" s="3">
        <v>31</v>
      </c>
      <c r="E70" s="3">
        <v>148</v>
      </c>
      <c r="F70" s="3">
        <v>641</v>
      </c>
      <c r="G70" s="3">
        <v>30</v>
      </c>
    </row>
    <row r="71" spans="1:7" x14ac:dyDescent="0.3">
      <c r="A71" t="s">
        <v>725</v>
      </c>
      <c r="B71" t="s">
        <v>735</v>
      </c>
      <c r="C71" t="s">
        <v>736</v>
      </c>
      <c r="D71" s="3">
        <v>35</v>
      </c>
      <c r="E71" s="3">
        <v>88</v>
      </c>
      <c r="F71" s="3">
        <v>341</v>
      </c>
      <c r="G71" s="3">
        <v>30</v>
      </c>
    </row>
    <row r="72" spans="1:7" x14ac:dyDescent="0.3">
      <c r="A72" t="s">
        <v>745</v>
      </c>
      <c r="B72" t="s">
        <v>757</v>
      </c>
      <c r="C72" t="s">
        <v>205</v>
      </c>
      <c r="D72" s="3">
        <v>36</v>
      </c>
      <c r="E72" s="3">
        <v>79</v>
      </c>
      <c r="F72" s="3">
        <v>314</v>
      </c>
      <c r="G72" s="3">
        <v>30</v>
      </c>
    </row>
    <row r="73" spans="1:7" x14ac:dyDescent="0.3">
      <c r="A73" t="s">
        <v>745</v>
      </c>
      <c r="B73" t="s">
        <v>757</v>
      </c>
      <c r="C73" t="s">
        <v>783</v>
      </c>
      <c r="D73" s="3">
        <v>36</v>
      </c>
      <c r="E73" s="3">
        <v>79</v>
      </c>
      <c r="F73" s="3">
        <v>315</v>
      </c>
      <c r="G73" s="3">
        <v>30</v>
      </c>
    </row>
    <row r="74" spans="1:7" x14ac:dyDescent="0.3">
      <c r="A74" t="s">
        <v>790</v>
      </c>
      <c r="B74" t="s">
        <v>791</v>
      </c>
      <c r="C74" t="s">
        <v>795</v>
      </c>
      <c r="D74" s="3">
        <v>37</v>
      </c>
      <c r="E74" s="3">
        <v>194</v>
      </c>
      <c r="F74" s="3">
        <v>900</v>
      </c>
      <c r="G74" s="3">
        <v>30</v>
      </c>
    </row>
    <row r="75" spans="1:7" x14ac:dyDescent="0.3">
      <c r="A75" t="s">
        <v>808</v>
      </c>
      <c r="B75" t="s">
        <v>810</v>
      </c>
      <c r="C75" t="s">
        <v>820</v>
      </c>
      <c r="D75" s="3">
        <v>38</v>
      </c>
      <c r="E75" s="3">
        <v>76</v>
      </c>
      <c r="F75" s="3">
        <v>273</v>
      </c>
      <c r="G75" s="3">
        <v>30</v>
      </c>
    </row>
    <row r="76" spans="1:7" x14ac:dyDescent="0.3">
      <c r="A76" t="s">
        <v>808</v>
      </c>
      <c r="B76" t="s">
        <v>810</v>
      </c>
      <c r="C76" t="s">
        <v>827</v>
      </c>
      <c r="D76" s="3">
        <v>38</v>
      </c>
      <c r="E76" s="3">
        <v>76</v>
      </c>
      <c r="F76" s="3">
        <v>281</v>
      </c>
      <c r="G76" s="3">
        <v>30</v>
      </c>
    </row>
    <row r="77" spans="1:7" x14ac:dyDescent="0.3">
      <c r="A77" t="s">
        <v>832</v>
      </c>
      <c r="B77" t="s">
        <v>833</v>
      </c>
      <c r="C77" t="s">
        <v>834</v>
      </c>
      <c r="D77" s="3">
        <v>39</v>
      </c>
      <c r="E77" s="3">
        <v>124</v>
      </c>
      <c r="F77" s="3">
        <v>554</v>
      </c>
      <c r="G77" s="3">
        <v>30</v>
      </c>
    </row>
    <row r="78" spans="1:7" x14ac:dyDescent="0.3">
      <c r="A78" t="s">
        <v>832</v>
      </c>
      <c r="B78" t="s">
        <v>833</v>
      </c>
      <c r="C78" t="s">
        <v>840</v>
      </c>
      <c r="D78" s="3">
        <v>39</v>
      </c>
      <c r="E78" s="3">
        <v>124</v>
      </c>
      <c r="F78" s="3">
        <v>566</v>
      </c>
      <c r="G78" s="3">
        <v>30</v>
      </c>
    </row>
    <row r="79" spans="1:7" x14ac:dyDescent="0.3">
      <c r="A79" t="s">
        <v>875</v>
      </c>
      <c r="B79" t="s">
        <v>878</v>
      </c>
      <c r="C79" t="s">
        <v>27</v>
      </c>
      <c r="D79" s="3">
        <v>50</v>
      </c>
      <c r="E79" s="3">
        <v>66</v>
      </c>
      <c r="F79" s="3">
        <v>224</v>
      </c>
      <c r="G79" s="3">
        <v>30</v>
      </c>
    </row>
    <row r="80" spans="1:7" x14ac:dyDescent="0.3">
      <c r="A80" t="s">
        <v>875</v>
      </c>
      <c r="B80" t="s">
        <v>881</v>
      </c>
      <c r="C80" t="s">
        <v>883</v>
      </c>
      <c r="D80" s="3">
        <v>50</v>
      </c>
      <c r="E80" s="3">
        <v>71</v>
      </c>
      <c r="F80" s="3">
        <v>234</v>
      </c>
      <c r="G80" s="3">
        <v>30</v>
      </c>
    </row>
    <row r="81" spans="1:7" x14ac:dyDescent="0.3">
      <c r="A81" t="s">
        <v>875</v>
      </c>
      <c r="B81" t="s">
        <v>896</v>
      </c>
      <c r="C81" t="s">
        <v>902</v>
      </c>
      <c r="D81" s="3">
        <v>50</v>
      </c>
      <c r="E81" s="3">
        <v>152</v>
      </c>
      <c r="F81" s="3">
        <v>653</v>
      </c>
      <c r="G81" s="3">
        <v>30</v>
      </c>
    </row>
    <row r="82" spans="1:7" x14ac:dyDescent="0.3">
      <c r="A82" t="s">
        <v>875</v>
      </c>
      <c r="B82" t="s">
        <v>896</v>
      </c>
      <c r="C82" t="s">
        <v>904</v>
      </c>
      <c r="D82" s="3">
        <v>50</v>
      </c>
      <c r="E82" s="3">
        <v>152</v>
      </c>
      <c r="F82" s="3">
        <v>656</v>
      </c>
      <c r="G82" s="3">
        <v>30</v>
      </c>
    </row>
    <row r="83" spans="1:7" x14ac:dyDescent="0.3">
      <c r="A83" t="s">
        <v>875</v>
      </c>
      <c r="B83" t="s">
        <v>896</v>
      </c>
      <c r="C83" t="s">
        <v>910</v>
      </c>
      <c r="D83" s="3">
        <v>50</v>
      </c>
      <c r="E83" s="3">
        <v>152</v>
      </c>
      <c r="F83" s="3">
        <v>664</v>
      </c>
      <c r="G83" s="3">
        <v>30</v>
      </c>
    </row>
    <row r="84" spans="1:7" x14ac:dyDescent="0.3">
      <c r="A84" t="s">
        <v>28</v>
      </c>
      <c r="B84" t="s">
        <v>29</v>
      </c>
      <c r="C84" t="s">
        <v>34</v>
      </c>
      <c r="D84" s="3">
        <v>4</v>
      </c>
      <c r="E84" s="3">
        <v>5</v>
      </c>
      <c r="F84" s="3">
        <v>21</v>
      </c>
      <c r="G84" s="3">
        <v>40</v>
      </c>
    </row>
    <row r="85" spans="1:7" x14ac:dyDescent="0.3">
      <c r="A85" t="s">
        <v>28</v>
      </c>
      <c r="B85" t="s">
        <v>37</v>
      </c>
      <c r="C85" t="s">
        <v>49</v>
      </c>
      <c r="D85" s="3">
        <v>4</v>
      </c>
      <c r="E85" s="3">
        <v>15</v>
      </c>
      <c r="F85" s="3">
        <v>54</v>
      </c>
      <c r="G85" s="3">
        <v>40</v>
      </c>
    </row>
    <row r="86" spans="1:7" x14ac:dyDescent="0.3">
      <c r="A86" t="s">
        <v>75</v>
      </c>
      <c r="B86" t="s">
        <v>82</v>
      </c>
      <c r="C86" t="s">
        <v>98</v>
      </c>
      <c r="D86" s="3">
        <v>7</v>
      </c>
      <c r="E86" s="3">
        <v>178</v>
      </c>
      <c r="F86" s="3">
        <v>775</v>
      </c>
      <c r="G86" s="3">
        <v>40</v>
      </c>
    </row>
    <row r="87" spans="1:7" x14ac:dyDescent="0.3">
      <c r="A87" t="s">
        <v>124</v>
      </c>
      <c r="B87" t="s">
        <v>125</v>
      </c>
      <c r="C87" t="s">
        <v>126</v>
      </c>
      <c r="D87" s="3">
        <v>8</v>
      </c>
      <c r="E87" s="3">
        <v>21</v>
      </c>
      <c r="F87" s="3">
        <v>78</v>
      </c>
      <c r="G87" s="3">
        <v>40</v>
      </c>
    </row>
    <row r="88" spans="1:7" x14ac:dyDescent="0.3">
      <c r="A88" t="s">
        <v>152</v>
      </c>
      <c r="B88" t="s">
        <v>153</v>
      </c>
      <c r="C88" t="s">
        <v>155</v>
      </c>
      <c r="D88" s="3">
        <v>12</v>
      </c>
      <c r="E88" s="3">
        <v>36</v>
      </c>
      <c r="F88" s="3">
        <v>132</v>
      </c>
      <c r="G88" s="3">
        <v>40</v>
      </c>
    </row>
    <row r="89" spans="1:7" x14ac:dyDescent="0.3">
      <c r="A89" t="s">
        <v>152</v>
      </c>
      <c r="B89" t="s">
        <v>153</v>
      </c>
      <c r="C89" t="s">
        <v>60</v>
      </c>
      <c r="D89" s="3">
        <v>12</v>
      </c>
      <c r="E89" s="3">
        <v>36</v>
      </c>
      <c r="F89" s="3">
        <v>134</v>
      </c>
      <c r="G89" s="3">
        <v>40</v>
      </c>
    </row>
    <row r="90" spans="1:7" x14ac:dyDescent="0.3">
      <c r="A90" t="s">
        <v>158</v>
      </c>
      <c r="B90" t="s">
        <v>159</v>
      </c>
      <c r="C90" t="s">
        <v>160</v>
      </c>
      <c r="D90" s="3">
        <v>13</v>
      </c>
      <c r="E90" s="3">
        <v>38</v>
      </c>
      <c r="F90" s="3">
        <v>138</v>
      </c>
      <c r="G90" s="3">
        <v>40</v>
      </c>
    </row>
    <row r="91" spans="1:7" x14ac:dyDescent="0.3">
      <c r="A91" t="s">
        <v>158</v>
      </c>
      <c r="B91" t="s">
        <v>159</v>
      </c>
      <c r="C91" t="s">
        <v>161</v>
      </c>
      <c r="D91" s="3">
        <v>13</v>
      </c>
      <c r="E91" s="3">
        <v>38</v>
      </c>
      <c r="F91" s="3">
        <v>139</v>
      </c>
      <c r="G91" s="3">
        <v>40</v>
      </c>
    </row>
    <row r="92" spans="1:7" x14ac:dyDescent="0.3">
      <c r="A92" t="s">
        <v>171</v>
      </c>
      <c r="B92" t="s">
        <v>172</v>
      </c>
      <c r="C92" t="s">
        <v>174</v>
      </c>
      <c r="D92" s="3">
        <v>15</v>
      </c>
      <c r="E92" s="3">
        <v>91</v>
      </c>
      <c r="F92" s="3">
        <v>346</v>
      </c>
      <c r="G92" s="3">
        <v>40</v>
      </c>
    </row>
    <row r="93" spans="1:7" x14ac:dyDescent="0.3">
      <c r="A93" t="s">
        <v>171</v>
      </c>
      <c r="B93" t="s">
        <v>172</v>
      </c>
      <c r="C93" t="s">
        <v>183</v>
      </c>
      <c r="D93" s="3">
        <v>15</v>
      </c>
      <c r="E93" s="3">
        <v>91</v>
      </c>
      <c r="F93" s="3">
        <v>355</v>
      </c>
      <c r="G93" s="3">
        <v>40</v>
      </c>
    </row>
    <row r="94" spans="1:7" x14ac:dyDescent="0.3">
      <c r="A94" t="s">
        <v>171</v>
      </c>
      <c r="B94" t="s">
        <v>188</v>
      </c>
      <c r="C94" t="s">
        <v>200</v>
      </c>
      <c r="D94" s="3">
        <v>15</v>
      </c>
      <c r="E94" s="3">
        <v>107</v>
      </c>
      <c r="F94" s="3">
        <v>424</v>
      </c>
      <c r="G94" s="3">
        <v>40</v>
      </c>
    </row>
    <row r="95" spans="1:7" x14ac:dyDescent="0.3">
      <c r="A95" t="s">
        <v>171</v>
      </c>
      <c r="B95" t="s">
        <v>188</v>
      </c>
      <c r="C95" t="s">
        <v>215</v>
      </c>
      <c r="D95" s="3">
        <v>15</v>
      </c>
      <c r="E95" s="3">
        <v>107</v>
      </c>
      <c r="F95" s="3">
        <v>440</v>
      </c>
      <c r="G95" s="3">
        <v>40</v>
      </c>
    </row>
    <row r="96" spans="1:7" x14ac:dyDescent="0.3">
      <c r="A96" t="s">
        <v>171</v>
      </c>
      <c r="B96" t="s">
        <v>188</v>
      </c>
      <c r="C96" t="s">
        <v>218</v>
      </c>
      <c r="D96" s="3">
        <v>15</v>
      </c>
      <c r="E96" s="3">
        <v>107</v>
      </c>
      <c r="F96" s="3">
        <v>444</v>
      </c>
      <c r="G96" s="3">
        <v>40</v>
      </c>
    </row>
    <row r="97" spans="1:7" x14ac:dyDescent="0.3">
      <c r="A97" t="s">
        <v>239</v>
      </c>
      <c r="B97" t="s">
        <v>245</v>
      </c>
      <c r="C97" t="s">
        <v>254</v>
      </c>
      <c r="D97" s="3">
        <v>17</v>
      </c>
      <c r="E97" s="3">
        <v>185</v>
      </c>
      <c r="F97" s="3">
        <v>821</v>
      </c>
      <c r="G97" s="3">
        <v>40</v>
      </c>
    </row>
    <row r="98" spans="1:7" x14ac:dyDescent="0.3">
      <c r="A98" t="s">
        <v>239</v>
      </c>
      <c r="B98" t="s">
        <v>245</v>
      </c>
      <c r="C98" t="s">
        <v>286</v>
      </c>
      <c r="D98" s="3">
        <v>17</v>
      </c>
      <c r="E98" s="3">
        <v>185</v>
      </c>
      <c r="F98" s="3">
        <v>855</v>
      </c>
      <c r="G98" s="3">
        <v>40</v>
      </c>
    </row>
    <row r="99" spans="1:7" x14ac:dyDescent="0.3">
      <c r="A99" t="s">
        <v>239</v>
      </c>
      <c r="B99" t="s">
        <v>245</v>
      </c>
      <c r="C99" t="s">
        <v>306</v>
      </c>
      <c r="D99" s="3">
        <v>17</v>
      </c>
      <c r="E99" s="3">
        <v>185</v>
      </c>
      <c r="F99" s="3">
        <v>876</v>
      </c>
      <c r="G99" s="3">
        <v>40</v>
      </c>
    </row>
    <row r="100" spans="1:7" x14ac:dyDescent="0.3">
      <c r="A100" t="s">
        <v>321</v>
      </c>
      <c r="B100" t="s">
        <v>322</v>
      </c>
      <c r="C100" t="s">
        <v>325</v>
      </c>
      <c r="D100" s="3">
        <v>21</v>
      </c>
      <c r="E100" s="3">
        <v>173</v>
      </c>
      <c r="F100" s="3">
        <v>734</v>
      </c>
      <c r="G100" s="3">
        <v>40</v>
      </c>
    </row>
    <row r="101" spans="1:7" x14ac:dyDescent="0.3">
      <c r="A101" t="s">
        <v>344</v>
      </c>
      <c r="B101" t="s">
        <v>345</v>
      </c>
      <c r="C101" t="s">
        <v>346</v>
      </c>
      <c r="D101" s="3">
        <v>23</v>
      </c>
      <c r="E101" s="3">
        <v>162</v>
      </c>
      <c r="F101" s="3">
        <v>703</v>
      </c>
      <c r="G101" s="3">
        <v>40</v>
      </c>
    </row>
    <row r="102" spans="1:7" x14ac:dyDescent="0.3">
      <c r="A102" t="s">
        <v>363</v>
      </c>
      <c r="B102" t="s">
        <v>379</v>
      </c>
      <c r="C102" t="s">
        <v>381</v>
      </c>
      <c r="D102" s="3">
        <v>26</v>
      </c>
      <c r="E102" s="3">
        <v>123</v>
      </c>
      <c r="F102" s="3">
        <v>538</v>
      </c>
      <c r="G102" s="3">
        <v>40</v>
      </c>
    </row>
    <row r="103" spans="1:7" x14ac:dyDescent="0.3">
      <c r="A103" t="s">
        <v>363</v>
      </c>
      <c r="B103" t="s">
        <v>390</v>
      </c>
      <c r="C103" t="s">
        <v>393</v>
      </c>
      <c r="D103" s="3">
        <v>26</v>
      </c>
      <c r="E103" s="3">
        <v>126</v>
      </c>
      <c r="F103" s="3">
        <v>570</v>
      </c>
      <c r="G103" s="3">
        <v>40</v>
      </c>
    </row>
    <row r="104" spans="1:7" x14ac:dyDescent="0.3">
      <c r="A104" t="s">
        <v>363</v>
      </c>
      <c r="B104" t="s">
        <v>390</v>
      </c>
      <c r="C104" t="s">
        <v>394</v>
      </c>
      <c r="D104" s="3">
        <v>26</v>
      </c>
      <c r="E104" s="3">
        <v>126</v>
      </c>
      <c r="F104" s="3">
        <v>571</v>
      </c>
      <c r="G104" s="3">
        <v>40</v>
      </c>
    </row>
    <row r="105" spans="1:7" x14ac:dyDescent="0.3">
      <c r="A105" t="s">
        <v>363</v>
      </c>
      <c r="B105" t="s">
        <v>390</v>
      </c>
      <c r="C105" t="s">
        <v>402</v>
      </c>
      <c r="D105" s="3">
        <v>26</v>
      </c>
      <c r="E105" s="3">
        <v>126</v>
      </c>
      <c r="F105" s="3">
        <v>582</v>
      </c>
      <c r="G105" s="3">
        <v>40</v>
      </c>
    </row>
    <row r="106" spans="1:7" x14ac:dyDescent="0.3">
      <c r="A106" t="s">
        <v>363</v>
      </c>
      <c r="B106" t="s">
        <v>390</v>
      </c>
      <c r="C106" t="s">
        <v>410</v>
      </c>
      <c r="D106" s="3">
        <v>26</v>
      </c>
      <c r="E106" s="3">
        <v>126</v>
      </c>
      <c r="F106" s="3">
        <v>591</v>
      </c>
      <c r="G106" s="3">
        <v>40</v>
      </c>
    </row>
    <row r="107" spans="1:7" x14ac:dyDescent="0.3">
      <c r="A107" t="s">
        <v>456</v>
      </c>
      <c r="B107" t="s">
        <v>483</v>
      </c>
      <c r="C107" t="s">
        <v>485</v>
      </c>
      <c r="D107" s="3">
        <v>29</v>
      </c>
      <c r="E107" s="3">
        <v>47</v>
      </c>
      <c r="F107" s="3">
        <v>166</v>
      </c>
      <c r="G107" s="3">
        <v>40</v>
      </c>
    </row>
    <row r="108" spans="1:7" x14ac:dyDescent="0.3">
      <c r="A108" t="s">
        <v>456</v>
      </c>
      <c r="B108" t="s">
        <v>492</v>
      </c>
      <c r="C108" t="s">
        <v>493</v>
      </c>
      <c r="D108" s="3">
        <v>29</v>
      </c>
      <c r="E108" s="3">
        <v>58</v>
      </c>
      <c r="F108" s="3">
        <v>208</v>
      </c>
      <c r="G108" s="3">
        <v>40</v>
      </c>
    </row>
    <row r="109" spans="1:7" x14ac:dyDescent="0.3">
      <c r="A109" t="s">
        <v>456</v>
      </c>
      <c r="B109" t="s">
        <v>496</v>
      </c>
      <c r="C109" t="s">
        <v>497</v>
      </c>
      <c r="D109" s="3">
        <v>29</v>
      </c>
      <c r="E109" s="3">
        <v>89</v>
      </c>
      <c r="F109" s="3">
        <v>342</v>
      </c>
      <c r="G109" s="3">
        <v>40</v>
      </c>
    </row>
    <row r="110" spans="1:7" x14ac:dyDescent="0.3">
      <c r="A110" t="s">
        <v>456</v>
      </c>
      <c r="B110" t="s">
        <v>527</v>
      </c>
      <c r="C110" t="s">
        <v>528</v>
      </c>
      <c r="D110" s="3">
        <v>29</v>
      </c>
      <c r="E110" s="3">
        <v>168</v>
      </c>
      <c r="F110" s="3">
        <v>718</v>
      </c>
      <c r="G110" s="3">
        <v>40</v>
      </c>
    </row>
    <row r="111" spans="1:7" x14ac:dyDescent="0.3">
      <c r="A111" t="s">
        <v>456</v>
      </c>
      <c r="B111" t="s">
        <v>532</v>
      </c>
      <c r="C111" t="s">
        <v>534</v>
      </c>
      <c r="D111" s="3">
        <v>29</v>
      </c>
      <c r="E111" s="3">
        <v>179</v>
      </c>
      <c r="F111" s="3">
        <v>802</v>
      </c>
      <c r="G111" s="3">
        <v>40</v>
      </c>
    </row>
    <row r="112" spans="1:7" x14ac:dyDescent="0.3">
      <c r="A112" s="8" t="s">
        <v>536</v>
      </c>
      <c r="B112" s="8" t="s">
        <v>537</v>
      </c>
      <c r="C112" s="8" t="s">
        <v>538</v>
      </c>
      <c r="D112" s="4">
        <v>30</v>
      </c>
      <c r="E112" s="4">
        <v>1</v>
      </c>
      <c r="F112" s="4">
        <v>1</v>
      </c>
      <c r="G112" s="4">
        <v>40</v>
      </c>
    </row>
    <row r="113" spans="1:7" x14ac:dyDescent="0.3">
      <c r="A113" t="s">
        <v>536</v>
      </c>
      <c r="B113" t="s">
        <v>544</v>
      </c>
      <c r="C113" t="s">
        <v>60</v>
      </c>
      <c r="D113" s="3">
        <v>30</v>
      </c>
      <c r="E113" s="3">
        <v>8</v>
      </c>
      <c r="F113" s="3">
        <v>33</v>
      </c>
      <c r="G113" s="3">
        <v>40</v>
      </c>
    </row>
    <row r="114" spans="1:7" x14ac:dyDescent="0.3">
      <c r="A114" t="s">
        <v>536</v>
      </c>
      <c r="B114" t="s">
        <v>577</v>
      </c>
      <c r="C114" t="s">
        <v>578</v>
      </c>
      <c r="D114" s="3">
        <v>30</v>
      </c>
      <c r="E114" s="3">
        <v>145</v>
      </c>
      <c r="F114" s="3">
        <v>631</v>
      </c>
      <c r="G114" s="3">
        <v>40</v>
      </c>
    </row>
    <row r="115" spans="1:7" x14ac:dyDescent="0.3">
      <c r="A115" t="s">
        <v>536</v>
      </c>
      <c r="B115" t="s">
        <v>585</v>
      </c>
      <c r="C115" t="s">
        <v>539</v>
      </c>
      <c r="D115" s="3">
        <v>30</v>
      </c>
      <c r="E115" s="3">
        <v>169</v>
      </c>
      <c r="F115" s="3">
        <v>723</v>
      </c>
      <c r="G115" s="3">
        <v>40</v>
      </c>
    </row>
    <row r="116" spans="1:7" x14ac:dyDescent="0.3">
      <c r="A116" t="s">
        <v>536</v>
      </c>
      <c r="B116" t="s">
        <v>587</v>
      </c>
      <c r="C116" t="s">
        <v>588</v>
      </c>
      <c r="D116" s="3">
        <v>30</v>
      </c>
      <c r="E116" s="3">
        <v>174</v>
      </c>
      <c r="F116" s="3">
        <v>744</v>
      </c>
      <c r="G116" s="3">
        <v>40</v>
      </c>
    </row>
    <row r="117" spans="1:7" x14ac:dyDescent="0.3">
      <c r="A117" t="s">
        <v>536</v>
      </c>
      <c r="B117" t="s">
        <v>587</v>
      </c>
      <c r="C117" t="s">
        <v>589</v>
      </c>
      <c r="D117" s="3">
        <v>30</v>
      </c>
      <c r="E117" s="3">
        <v>174</v>
      </c>
      <c r="F117" s="3">
        <v>745</v>
      </c>
      <c r="G117" s="3">
        <v>40</v>
      </c>
    </row>
    <row r="118" spans="1:7" x14ac:dyDescent="0.3">
      <c r="A118" t="s">
        <v>593</v>
      </c>
      <c r="B118" t="s">
        <v>601</v>
      </c>
      <c r="C118" t="s">
        <v>607</v>
      </c>
      <c r="D118" s="3">
        <v>31</v>
      </c>
      <c r="E118" s="3">
        <v>54</v>
      </c>
      <c r="F118" s="3">
        <v>193</v>
      </c>
      <c r="G118" s="3">
        <v>40</v>
      </c>
    </row>
    <row r="119" spans="1:7" x14ac:dyDescent="0.3">
      <c r="A119" t="s">
        <v>593</v>
      </c>
      <c r="B119" t="s">
        <v>621</v>
      </c>
      <c r="C119" t="s">
        <v>623</v>
      </c>
      <c r="D119" s="3">
        <v>31</v>
      </c>
      <c r="E119" s="3">
        <v>98</v>
      </c>
      <c r="F119" s="3">
        <v>375</v>
      </c>
      <c r="G119" s="3">
        <v>40</v>
      </c>
    </row>
    <row r="120" spans="1:7" x14ac:dyDescent="0.3">
      <c r="A120" t="s">
        <v>593</v>
      </c>
      <c r="B120" t="s">
        <v>626</v>
      </c>
      <c r="C120" t="s">
        <v>636</v>
      </c>
      <c r="D120" s="3">
        <v>31</v>
      </c>
      <c r="E120" s="3">
        <v>109</v>
      </c>
      <c r="F120" s="3">
        <v>467</v>
      </c>
      <c r="G120" s="3">
        <v>40</v>
      </c>
    </row>
    <row r="121" spans="1:7" x14ac:dyDescent="0.3">
      <c r="A121" t="s">
        <v>593</v>
      </c>
      <c r="B121" t="s">
        <v>656</v>
      </c>
      <c r="C121" t="s">
        <v>660</v>
      </c>
      <c r="D121" s="3">
        <v>31</v>
      </c>
      <c r="E121" s="3">
        <v>112</v>
      </c>
      <c r="F121" s="3">
        <v>491</v>
      </c>
      <c r="G121" s="3">
        <v>40</v>
      </c>
    </row>
    <row r="122" spans="1:7" x14ac:dyDescent="0.3">
      <c r="A122" t="s">
        <v>712</v>
      </c>
      <c r="B122" t="s">
        <v>713</v>
      </c>
      <c r="C122" t="s">
        <v>432</v>
      </c>
      <c r="D122" s="3">
        <v>33</v>
      </c>
      <c r="E122" s="3">
        <v>28</v>
      </c>
      <c r="F122" s="3">
        <v>104</v>
      </c>
      <c r="G122" s="3">
        <v>40</v>
      </c>
    </row>
    <row r="123" spans="1:7" x14ac:dyDescent="0.3">
      <c r="A123" t="s">
        <v>712</v>
      </c>
      <c r="B123" t="s">
        <v>713</v>
      </c>
      <c r="C123" t="s">
        <v>719</v>
      </c>
      <c r="D123" s="3">
        <v>33</v>
      </c>
      <c r="E123" s="3">
        <v>28</v>
      </c>
      <c r="F123" s="3">
        <v>109</v>
      </c>
      <c r="G123" s="3">
        <v>40</v>
      </c>
    </row>
    <row r="124" spans="1:7" x14ac:dyDescent="0.3">
      <c r="A124" t="s">
        <v>745</v>
      </c>
      <c r="B124" t="s">
        <v>757</v>
      </c>
      <c r="C124" t="s">
        <v>85</v>
      </c>
      <c r="D124" s="3">
        <v>36</v>
      </c>
      <c r="E124" s="3">
        <v>79</v>
      </c>
      <c r="F124" s="3">
        <v>296</v>
      </c>
      <c r="G124" s="3">
        <v>40</v>
      </c>
    </row>
    <row r="125" spans="1:7" x14ac:dyDescent="0.3">
      <c r="A125" t="s">
        <v>745</v>
      </c>
      <c r="B125" t="s">
        <v>757</v>
      </c>
      <c r="C125" t="s">
        <v>777</v>
      </c>
      <c r="D125" s="3">
        <v>36</v>
      </c>
      <c r="E125" s="3">
        <v>79</v>
      </c>
      <c r="F125" s="3">
        <v>308</v>
      </c>
      <c r="G125" s="3">
        <v>40</v>
      </c>
    </row>
    <row r="126" spans="1:7" x14ac:dyDescent="0.3">
      <c r="A126" t="s">
        <v>745</v>
      </c>
      <c r="B126" t="s">
        <v>757</v>
      </c>
      <c r="C126" t="s">
        <v>784</v>
      </c>
      <c r="D126" s="3">
        <v>36</v>
      </c>
      <c r="E126" s="3">
        <v>79</v>
      </c>
      <c r="F126" s="3">
        <v>317</v>
      </c>
      <c r="G126" s="3">
        <v>40</v>
      </c>
    </row>
    <row r="127" spans="1:7" x14ac:dyDescent="0.3">
      <c r="A127" t="s">
        <v>745</v>
      </c>
      <c r="B127" t="s">
        <v>757</v>
      </c>
      <c r="C127" t="s">
        <v>785</v>
      </c>
      <c r="D127" s="3">
        <v>36</v>
      </c>
      <c r="E127" s="3">
        <v>79</v>
      </c>
      <c r="F127" s="3">
        <v>318</v>
      </c>
      <c r="G127" s="3">
        <v>40</v>
      </c>
    </row>
    <row r="128" spans="1:7" x14ac:dyDescent="0.3">
      <c r="A128" t="s">
        <v>745</v>
      </c>
      <c r="B128" t="s">
        <v>757</v>
      </c>
      <c r="C128" t="s">
        <v>788</v>
      </c>
      <c r="D128" s="3">
        <v>36</v>
      </c>
      <c r="E128" s="3">
        <v>79</v>
      </c>
      <c r="F128" s="3">
        <v>321</v>
      </c>
      <c r="G128" s="3">
        <v>40</v>
      </c>
    </row>
    <row r="129" spans="1:7" x14ac:dyDescent="0.3">
      <c r="A129" t="s">
        <v>790</v>
      </c>
      <c r="B129" t="s">
        <v>791</v>
      </c>
      <c r="C129" t="s">
        <v>794</v>
      </c>
      <c r="D129" s="3">
        <v>37</v>
      </c>
      <c r="E129" s="3">
        <v>194</v>
      </c>
      <c r="F129" s="3">
        <v>898</v>
      </c>
      <c r="G129" s="3">
        <v>40</v>
      </c>
    </row>
    <row r="130" spans="1:7" x14ac:dyDescent="0.3">
      <c r="A130" t="s">
        <v>790</v>
      </c>
      <c r="B130" t="s">
        <v>791</v>
      </c>
      <c r="C130" t="s">
        <v>353</v>
      </c>
      <c r="D130" s="3">
        <v>37</v>
      </c>
      <c r="E130" s="3">
        <v>194</v>
      </c>
      <c r="F130" s="3">
        <v>906</v>
      </c>
      <c r="G130" s="3">
        <v>40</v>
      </c>
    </row>
    <row r="131" spans="1:7" x14ac:dyDescent="0.3">
      <c r="A131" t="s">
        <v>790</v>
      </c>
      <c r="B131" t="s">
        <v>791</v>
      </c>
      <c r="C131" t="s">
        <v>802</v>
      </c>
      <c r="D131" s="3">
        <v>37</v>
      </c>
      <c r="E131" s="3">
        <v>194</v>
      </c>
      <c r="F131" s="3">
        <v>908</v>
      </c>
      <c r="G131" s="3">
        <v>40</v>
      </c>
    </row>
    <row r="132" spans="1:7" x14ac:dyDescent="0.3">
      <c r="A132" t="s">
        <v>808</v>
      </c>
      <c r="B132" t="s">
        <v>810</v>
      </c>
      <c r="C132" t="s">
        <v>813</v>
      </c>
      <c r="D132" s="3">
        <v>38</v>
      </c>
      <c r="E132" s="3">
        <v>76</v>
      </c>
      <c r="F132" s="3">
        <v>264</v>
      </c>
      <c r="G132" s="3">
        <v>40</v>
      </c>
    </row>
    <row r="133" spans="1:7" x14ac:dyDescent="0.3">
      <c r="A133" t="s">
        <v>808</v>
      </c>
      <c r="B133" t="s">
        <v>810</v>
      </c>
      <c r="C133" t="s">
        <v>176</v>
      </c>
      <c r="D133" s="3">
        <v>38</v>
      </c>
      <c r="E133" s="3">
        <v>76</v>
      </c>
      <c r="F133" s="3">
        <v>267</v>
      </c>
      <c r="G133" s="3">
        <v>40</v>
      </c>
    </row>
    <row r="134" spans="1:7" x14ac:dyDescent="0.3">
      <c r="A134" t="s">
        <v>808</v>
      </c>
      <c r="B134" t="s">
        <v>810</v>
      </c>
      <c r="C134" t="s">
        <v>817</v>
      </c>
      <c r="D134" s="3">
        <v>38</v>
      </c>
      <c r="E134" s="3">
        <v>76</v>
      </c>
      <c r="F134" s="3">
        <v>270</v>
      </c>
      <c r="G134" s="3">
        <v>40</v>
      </c>
    </row>
    <row r="135" spans="1:7" x14ac:dyDescent="0.3">
      <c r="A135" t="s">
        <v>808</v>
      </c>
      <c r="B135" t="s">
        <v>810</v>
      </c>
      <c r="C135" t="s">
        <v>828</v>
      </c>
      <c r="D135" s="3">
        <v>38</v>
      </c>
      <c r="E135" s="3">
        <v>76</v>
      </c>
      <c r="F135" s="3">
        <v>282</v>
      </c>
      <c r="G135" s="3">
        <v>40</v>
      </c>
    </row>
    <row r="136" spans="1:7" x14ac:dyDescent="0.3">
      <c r="A136" t="s">
        <v>832</v>
      </c>
      <c r="B136" t="s">
        <v>833</v>
      </c>
      <c r="C136" t="s">
        <v>414</v>
      </c>
      <c r="D136" s="3">
        <v>39</v>
      </c>
      <c r="E136" s="3">
        <v>124</v>
      </c>
      <c r="F136" s="3">
        <v>559</v>
      </c>
      <c r="G136" s="3">
        <v>40</v>
      </c>
    </row>
    <row r="137" spans="1:7" x14ac:dyDescent="0.3">
      <c r="A137" t="s">
        <v>843</v>
      </c>
      <c r="B137" t="s">
        <v>844</v>
      </c>
      <c r="C137" t="s">
        <v>515</v>
      </c>
      <c r="D137" s="3">
        <v>40</v>
      </c>
      <c r="E137" s="3">
        <v>118</v>
      </c>
      <c r="F137" s="3">
        <v>529</v>
      </c>
      <c r="G137" s="3">
        <v>40</v>
      </c>
    </row>
    <row r="138" spans="1:7" x14ac:dyDescent="0.3">
      <c r="A138" t="s">
        <v>848</v>
      </c>
      <c r="B138" t="s">
        <v>849</v>
      </c>
      <c r="C138" t="s">
        <v>851</v>
      </c>
      <c r="D138" s="3">
        <v>42</v>
      </c>
      <c r="E138" s="3">
        <v>140</v>
      </c>
      <c r="F138" s="3">
        <v>625</v>
      </c>
      <c r="G138" s="3">
        <v>40</v>
      </c>
    </row>
    <row r="139" spans="1:7" x14ac:dyDescent="0.3">
      <c r="A139" t="s">
        <v>869</v>
      </c>
      <c r="B139" t="s">
        <v>870</v>
      </c>
      <c r="C139" t="s">
        <v>872</v>
      </c>
      <c r="D139" s="3">
        <v>48</v>
      </c>
      <c r="E139" s="3">
        <v>129</v>
      </c>
      <c r="F139" s="3">
        <v>598</v>
      </c>
      <c r="G139" s="3">
        <v>40</v>
      </c>
    </row>
    <row r="140" spans="1:7" x14ac:dyDescent="0.3">
      <c r="A140" t="s">
        <v>875</v>
      </c>
      <c r="B140" t="s">
        <v>884</v>
      </c>
      <c r="C140" t="s">
        <v>886</v>
      </c>
      <c r="D140" s="3">
        <v>50</v>
      </c>
      <c r="E140" s="3">
        <v>81</v>
      </c>
      <c r="F140" s="3">
        <v>325</v>
      </c>
      <c r="G140" s="3">
        <v>40</v>
      </c>
    </row>
    <row r="141" spans="1:7" x14ac:dyDescent="0.3">
      <c r="A141" t="s">
        <v>875</v>
      </c>
      <c r="B141" t="s">
        <v>896</v>
      </c>
      <c r="C141" t="s">
        <v>898</v>
      </c>
      <c r="D141" s="3">
        <v>50</v>
      </c>
      <c r="E141" s="3">
        <v>152</v>
      </c>
      <c r="F141" s="3">
        <v>649</v>
      </c>
      <c r="G141" s="3">
        <v>40</v>
      </c>
    </row>
    <row r="142" spans="1:7" x14ac:dyDescent="0.3">
      <c r="A142" t="s">
        <v>875</v>
      </c>
      <c r="B142" t="s">
        <v>896</v>
      </c>
      <c r="C142" t="s">
        <v>899</v>
      </c>
      <c r="D142" s="3">
        <v>50</v>
      </c>
      <c r="E142" s="3">
        <v>152</v>
      </c>
      <c r="F142" s="3">
        <v>650</v>
      </c>
      <c r="G142" s="3">
        <v>40</v>
      </c>
    </row>
    <row r="143" spans="1:7" x14ac:dyDescent="0.3">
      <c r="A143" t="s">
        <v>875</v>
      </c>
      <c r="B143" t="s">
        <v>896</v>
      </c>
      <c r="C143" t="s">
        <v>909</v>
      </c>
      <c r="D143" s="3">
        <v>50</v>
      </c>
      <c r="E143" s="3">
        <v>152</v>
      </c>
      <c r="F143" s="3">
        <v>663</v>
      </c>
      <c r="G143" s="3">
        <v>40</v>
      </c>
    </row>
    <row r="144" spans="1:7" x14ac:dyDescent="0.3">
      <c r="A144" t="s">
        <v>875</v>
      </c>
      <c r="B144" t="s">
        <v>896</v>
      </c>
      <c r="C144" t="s">
        <v>915</v>
      </c>
      <c r="D144" s="3">
        <v>50</v>
      </c>
      <c r="E144" s="3">
        <v>152</v>
      </c>
      <c r="F144" s="3">
        <v>676</v>
      </c>
      <c r="G144" s="3">
        <v>40</v>
      </c>
    </row>
    <row r="145" spans="1:7" x14ac:dyDescent="0.3">
      <c r="A145" t="s">
        <v>942</v>
      </c>
      <c r="B145" t="s">
        <v>943</v>
      </c>
      <c r="C145" t="s">
        <v>944</v>
      </c>
      <c r="D145" s="3">
        <v>56</v>
      </c>
      <c r="E145" s="3">
        <v>12</v>
      </c>
      <c r="F145" s="3">
        <v>39</v>
      </c>
      <c r="G145" s="3">
        <v>40</v>
      </c>
    </row>
    <row r="146" spans="1:7" x14ac:dyDescent="0.3">
      <c r="A146" t="s">
        <v>28</v>
      </c>
      <c r="B146" t="s">
        <v>37</v>
      </c>
      <c r="C146" t="s">
        <v>41</v>
      </c>
      <c r="D146" s="3">
        <v>4</v>
      </c>
      <c r="E146" s="3">
        <v>15</v>
      </c>
      <c r="F146" s="3">
        <v>46</v>
      </c>
      <c r="G146" s="3">
        <v>50</v>
      </c>
    </row>
    <row r="147" spans="1:7" x14ac:dyDescent="0.3">
      <c r="A147" t="s">
        <v>28</v>
      </c>
      <c r="B147" t="s">
        <v>37</v>
      </c>
      <c r="C147" t="s">
        <v>11</v>
      </c>
      <c r="D147" s="3">
        <v>4</v>
      </c>
      <c r="E147" s="3">
        <v>15</v>
      </c>
      <c r="F147" s="3">
        <v>58</v>
      </c>
      <c r="G147" s="3">
        <v>50</v>
      </c>
    </row>
    <row r="148" spans="1:7" x14ac:dyDescent="0.3">
      <c r="A148" t="s">
        <v>28</v>
      </c>
      <c r="B148" t="s">
        <v>37</v>
      </c>
      <c r="C148" t="s">
        <v>61</v>
      </c>
      <c r="D148" s="3">
        <v>4</v>
      </c>
      <c r="E148" s="3">
        <v>15</v>
      </c>
      <c r="F148" s="3">
        <v>67</v>
      </c>
      <c r="G148" s="3">
        <v>50</v>
      </c>
    </row>
    <row r="149" spans="1:7" x14ac:dyDescent="0.3">
      <c r="A149" t="s">
        <v>75</v>
      </c>
      <c r="B149" t="s">
        <v>82</v>
      </c>
      <c r="C149" t="s">
        <v>84</v>
      </c>
      <c r="D149" s="3">
        <v>7</v>
      </c>
      <c r="E149" s="3">
        <v>178</v>
      </c>
      <c r="F149" s="3">
        <v>761</v>
      </c>
      <c r="G149" s="3">
        <v>50</v>
      </c>
    </row>
    <row r="150" spans="1:7" x14ac:dyDescent="0.3">
      <c r="A150" t="s">
        <v>75</v>
      </c>
      <c r="B150" t="s">
        <v>82</v>
      </c>
      <c r="C150" t="s">
        <v>102</v>
      </c>
      <c r="D150" s="3">
        <v>7</v>
      </c>
      <c r="E150" s="3">
        <v>178</v>
      </c>
      <c r="F150" s="3">
        <v>779</v>
      </c>
      <c r="G150" s="3">
        <v>50</v>
      </c>
    </row>
    <row r="151" spans="1:7" x14ac:dyDescent="0.3">
      <c r="A151" t="s">
        <v>75</v>
      </c>
      <c r="B151" t="s">
        <v>82</v>
      </c>
      <c r="C151" t="s">
        <v>111</v>
      </c>
      <c r="D151" s="3">
        <v>7</v>
      </c>
      <c r="E151" s="3">
        <v>178</v>
      </c>
      <c r="F151" s="3">
        <v>788</v>
      </c>
      <c r="G151" s="3">
        <v>50</v>
      </c>
    </row>
    <row r="152" spans="1:7" x14ac:dyDescent="0.3">
      <c r="A152" t="s">
        <v>75</v>
      </c>
      <c r="B152" t="s">
        <v>82</v>
      </c>
      <c r="C152" t="s">
        <v>117</v>
      </c>
      <c r="D152" s="3">
        <v>7</v>
      </c>
      <c r="E152" s="3">
        <v>178</v>
      </c>
      <c r="F152" s="3">
        <v>794</v>
      </c>
      <c r="G152" s="3">
        <v>50</v>
      </c>
    </row>
    <row r="153" spans="1:7" x14ac:dyDescent="0.3">
      <c r="A153" t="s">
        <v>171</v>
      </c>
      <c r="B153" t="s">
        <v>188</v>
      </c>
      <c r="C153" t="s">
        <v>175</v>
      </c>
      <c r="D153" s="3">
        <v>15</v>
      </c>
      <c r="E153" s="3">
        <v>107</v>
      </c>
      <c r="F153" s="3">
        <v>413</v>
      </c>
      <c r="G153" s="3">
        <v>50</v>
      </c>
    </row>
    <row r="154" spans="1:7" x14ac:dyDescent="0.3">
      <c r="A154" t="s">
        <v>239</v>
      </c>
      <c r="B154" t="s">
        <v>245</v>
      </c>
      <c r="C154" t="s">
        <v>201</v>
      </c>
      <c r="D154" s="3">
        <v>17</v>
      </c>
      <c r="E154" s="3">
        <v>185</v>
      </c>
      <c r="F154" s="3">
        <v>843</v>
      </c>
      <c r="G154" s="3">
        <v>50</v>
      </c>
    </row>
    <row r="155" spans="1:7" x14ac:dyDescent="0.3">
      <c r="A155" t="s">
        <v>239</v>
      </c>
      <c r="B155" t="s">
        <v>245</v>
      </c>
      <c r="C155" t="s">
        <v>279</v>
      </c>
      <c r="D155" s="3">
        <v>17</v>
      </c>
      <c r="E155" s="3">
        <v>185</v>
      </c>
      <c r="F155" s="3">
        <v>847</v>
      </c>
      <c r="G155" s="3">
        <v>50</v>
      </c>
    </row>
    <row r="156" spans="1:7" x14ac:dyDescent="0.3">
      <c r="A156" t="s">
        <v>239</v>
      </c>
      <c r="B156" t="s">
        <v>245</v>
      </c>
      <c r="C156" t="s">
        <v>208</v>
      </c>
      <c r="D156" s="3">
        <v>17</v>
      </c>
      <c r="E156" s="3">
        <v>185</v>
      </c>
      <c r="F156" s="3">
        <v>849</v>
      </c>
      <c r="G156" s="3">
        <v>50</v>
      </c>
    </row>
    <row r="157" spans="1:7" x14ac:dyDescent="0.3">
      <c r="A157" t="s">
        <v>239</v>
      </c>
      <c r="B157" t="s">
        <v>245</v>
      </c>
      <c r="C157" t="s">
        <v>289</v>
      </c>
      <c r="D157" s="3">
        <v>17</v>
      </c>
      <c r="E157" s="3">
        <v>185</v>
      </c>
      <c r="F157" s="3">
        <v>858</v>
      </c>
      <c r="G157" s="3">
        <v>50</v>
      </c>
    </row>
    <row r="158" spans="1:7" x14ac:dyDescent="0.3">
      <c r="A158" t="s">
        <v>239</v>
      </c>
      <c r="B158" t="s">
        <v>245</v>
      </c>
      <c r="C158" t="s">
        <v>293</v>
      </c>
      <c r="D158" s="3">
        <v>17</v>
      </c>
      <c r="E158" s="3">
        <v>185</v>
      </c>
      <c r="F158" s="3">
        <v>862</v>
      </c>
      <c r="G158" s="3">
        <v>50</v>
      </c>
    </row>
    <row r="159" spans="1:7" x14ac:dyDescent="0.3">
      <c r="A159" t="s">
        <v>239</v>
      </c>
      <c r="B159" t="s">
        <v>245</v>
      </c>
      <c r="C159" t="s">
        <v>294</v>
      </c>
      <c r="D159" s="3">
        <v>17</v>
      </c>
      <c r="E159" s="3">
        <v>185</v>
      </c>
      <c r="F159" s="3">
        <v>863</v>
      </c>
      <c r="G159" s="3">
        <v>50</v>
      </c>
    </row>
    <row r="160" spans="1:7" x14ac:dyDescent="0.3">
      <c r="A160" t="s">
        <v>239</v>
      </c>
      <c r="B160" t="s">
        <v>245</v>
      </c>
      <c r="C160" t="s">
        <v>297</v>
      </c>
      <c r="D160" s="3">
        <v>17</v>
      </c>
      <c r="E160" s="3">
        <v>185</v>
      </c>
      <c r="F160" s="3">
        <v>866</v>
      </c>
      <c r="G160" s="3">
        <v>50</v>
      </c>
    </row>
    <row r="161" spans="1:7" x14ac:dyDescent="0.3">
      <c r="A161" t="s">
        <v>239</v>
      </c>
      <c r="B161" t="s">
        <v>245</v>
      </c>
      <c r="C161" t="s">
        <v>301</v>
      </c>
      <c r="D161" s="3">
        <v>17</v>
      </c>
      <c r="E161" s="3">
        <v>185</v>
      </c>
      <c r="F161" s="3">
        <v>871</v>
      </c>
      <c r="G161" s="3">
        <v>50</v>
      </c>
    </row>
    <row r="162" spans="1:7" x14ac:dyDescent="0.3">
      <c r="A162" t="s">
        <v>321</v>
      </c>
      <c r="B162" t="s">
        <v>322</v>
      </c>
      <c r="C162" t="s">
        <v>324</v>
      </c>
      <c r="D162" s="3">
        <v>21</v>
      </c>
      <c r="E162" s="3">
        <v>173</v>
      </c>
      <c r="F162" s="3">
        <v>733</v>
      </c>
      <c r="G162" s="3">
        <v>50</v>
      </c>
    </row>
    <row r="163" spans="1:7" x14ac:dyDescent="0.3">
      <c r="A163" t="s">
        <v>321</v>
      </c>
      <c r="B163" t="s">
        <v>322</v>
      </c>
      <c r="C163" t="s">
        <v>329</v>
      </c>
      <c r="D163" s="3">
        <v>21</v>
      </c>
      <c r="E163" s="3">
        <v>173</v>
      </c>
      <c r="F163" s="3">
        <v>741</v>
      </c>
      <c r="G163" s="3">
        <v>50</v>
      </c>
    </row>
    <row r="164" spans="1:7" x14ac:dyDescent="0.3">
      <c r="A164" t="s">
        <v>331</v>
      </c>
      <c r="B164" t="s">
        <v>340</v>
      </c>
      <c r="C164" t="s">
        <v>341</v>
      </c>
      <c r="D164" s="3">
        <v>22</v>
      </c>
      <c r="E164" s="3">
        <v>101</v>
      </c>
      <c r="F164" s="3">
        <v>380</v>
      </c>
      <c r="G164" s="3">
        <v>50</v>
      </c>
    </row>
    <row r="165" spans="1:7" x14ac:dyDescent="0.3">
      <c r="A165" t="s">
        <v>363</v>
      </c>
      <c r="B165" t="s">
        <v>364</v>
      </c>
      <c r="C165" t="s">
        <v>365</v>
      </c>
      <c r="D165" s="3">
        <v>26</v>
      </c>
      <c r="E165" s="3">
        <v>10</v>
      </c>
      <c r="F165" s="3">
        <v>35</v>
      </c>
      <c r="G165" s="3">
        <v>50</v>
      </c>
    </row>
    <row r="166" spans="1:7" x14ac:dyDescent="0.3">
      <c r="A166" t="s">
        <v>363</v>
      </c>
      <c r="B166" t="s">
        <v>379</v>
      </c>
      <c r="C166" t="s">
        <v>386</v>
      </c>
      <c r="D166" s="3">
        <v>26</v>
      </c>
      <c r="E166" s="3">
        <v>123</v>
      </c>
      <c r="F166" s="3">
        <v>546</v>
      </c>
      <c r="G166" s="3">
        <v>50</v>
      </c>
    </row>
    <row r="167" spans="1:7" x14ac:dyDescent="0.3">
      <c r="A167" t="s">
        <v>363</v>
      </c>
      <c r="B167" t="s">
        <v>390</v>
      </c>
      <c r="C167" t="s">
        <v>398</v>
      </c>
      <c r="D167" s="3">
        <v>26</v>
      </c>
      <c r="E167" s="3">
        <v>126</v>
      </c>
      <c r="F167" s="3">
        <v>576</v>
      </c>
      <c r="G167" s="3">
        <v>50</v>
      </c>
    </row>
    <row r="168" spans="1:7" x14ac:dyDescent="0.3">
      <c r="A168" t="s">
        <v>363</v>
      </c>
      <c r="B168" t="s">
        <v>390</v>
      </c>
      <c r="C168" t="s">
        <v>399</v>
      </c>
      <c r="D168" s="3">
        <v>26</v>
      </c>
      <c r="E168" s="3">
        <v>126</v>
      </c>
      <c r="F168" s="3">
        <v>577</v>
      </c>
      <c r="G168" s="3">
        <v>50</v>
      </c>
    </row>
    <row r="169" spans="1:7" x14ac:dyDescent="0.3">
      <c r="A169" t="s">
        <v>363</v>
      </c>
      <c r="B169" t="s">
        <v>390</v>
      </c>
      <c r="C169" t="s">
        <v>403</v>
      </c>
      <c r="D169" s="3">
        <v>26</v>
      </c>
      <c r="E169" s="3">
        <v>126</v>
      </c>
      <c r="F169" s="3">
        <v>583</v>
      </c>
      <c r="G169" s="3">
        <v>50</v>
      </c>
    </row>
    <row r="170" spans="1:7" x14ac:dyDescent="0.3">
      <c r="A170" t="s">
        <v>416</v>
      </c>
      <c r="B170" t="s">
        <v>424</v>
      </c>
      <c r="C170" t="s">
        <v>398</v>
      </c>
      <c r="D170" s="3">
        <v>27</v>
      </c>
      <c r="E170" s="3">
        <v>50</v>
      </c>
      <c r="F170" s="3">
        <v>180</v>
      </c>
      <c r="G170" s="3">
        <v>50</v>
      </c>
    </row>
    <row r="171" spans="1:7" x14ac:dyDescent="0.3">
      <c r="A171" t="s">
        <v>416</v>
      </c>
      <c r="B171" t="s">
        <v>427</v>
      </c>
      <c r="C171" t="s">
        <v>437</v>
      </c>
      <c r="D171" s="3">
        <v>27</v>
      </c>
      <c r="E171" s="3">
        <v>73</v>
      </c>
      <c r="F171" s="3">
        <v>248</v>
      </c>
      <c r="G171" s="3">
        <v>50</v>
      </c>
    </row>
    <row r="172" spans="1:7" x14ac:dyDescent="0.3">
      <c r="A172" t="s">
        <v>416</v>
      </c>
      <c r="B172" t="s">
        <v>450</v>
      </c>
      <c r="C172" t="s">
        <v>451</v>
      </c>
      <c r="D172" s="3">
        <v>27</v>
      </c>
      <c r="E172" s="3">
        <v>105</v>
      </c>
      <c r="F172" s="3">
        <v>394</v>
      </c>
      <c r="G172" s="3">
        <v>50</v>
      </c>
    </row>
    <row r="173" spans="1:7" x14ac:dyDescent="0.3">
      <c r="A173" t="s">
        <v>456</v>
      </c>
      <c r="B173" t="s">
        <v>457</v>
      </c>
      <c r="C173" t="s">
        <v>459</v>
      </c>
      <c r="D173" s="3">
        <v>29</v>
      </c>
      <c r="E173" s="3">
        <v>2</v>
      </c>
      <c r="F173" s="3">
        <v>7</v>
      </c>
      <c r="G173" s="3">
        <v>50</v>
      </c>
    </row>
    <row r="174" spans="1:7" x14ac:dyDescent="0.3">
      <c r="A174" t="s">
        <v>456</v>
      </c>
      <c r="B174" t="s">
        <v>474</v>
      </c>
      <c r="C174" t="s">
        <v>475</v>
      </c>
      <c r="D174" s="3">
        <v>29</v>
      </c>
      <c r="E174" s="3">
        <v>31</v>
      </c>
      <c r="F174" s="3">
        <v>115</v>
      </c>
      <c r="G174" s="3">
        <v>50</v>
      </c>
    </row>
    <row r="175" spans="1:7" x14ac:dyDescent="0.3">
      <c r="A175" t="s">
        <v>456</v>
      </c>
      <c r="B175" t="s">
        <v>474</v>
      </c>
      <c r="C175" t="s">
        <v>478</v>
      </c>
      <c r="D175" s="3">
        <v>29</v>
      </c>
      <c r="E175" s="3">
        <v>31</v>
      </c>
      <c r="F175" s="3">
        <v>119</v>
      </c>
      <c r="G175" s="3">
        <v>50</v>
      </c>
    </row>
    <row r="176" spans="1:7" x14ac:dyDescent="0.3">
      <c r="A176" t="s">
        <v>456</v>
      </c>
      <c r="B176" t="s">
        <v>498</v>
      </c>
      <c r="C176" t="s">
        <v>60</v>
      </c>
      <c r="D176" s="3">
        <v>29</v>
      </c>
      <c r="E176" s="3">
        <v>90</v>
      </c>
      <c r="F176" s="3">
        <v>344</v>
      </c>
      <c r="G176" s="3">
        <v>50</v>
      </c>
    </row>
    <row r="177" spans="1:7" x14ac:dyDescent="0.3">
      <c r="A177" t="s">
        <v>456</v>
      </c>
      <c r="B177" t="s">
        <v>507</v>
      </c>
      <c r="C177" t="s">
        <v>515</v>
      </c>
      <c r="D177" s="3">
        <v>29</v>
      </c>
      <c r="E177" s="3">
        <v>106</v>
      </c>
      <c r="F177" s="3">
        <v>407</v>
      </c>
      <c r="G177" s="3">
        <v>50</v>
      </c>
    </row>
    <row r="178" spans="1:7" x14ac:dyDescent="0.3">
      <c r="A178" s="8" t="s">
        <v>536</v>
      </c>
      <c r="B178" s="8" t="s">
        <v>537</v>
      </c>
      <c r="C178" s="8" t="s">
        <v>539</v>
      </c>
      <c r="D178" s="4">
        <v>30</v>
      </c>
      <c r="E178" s="4">
        <v>1</v>
      </c>
      <c r="F178" s="4">
        <v>2</v>
      </c>
      <c r="G178" s="4">
        <v>50</v>
      </c>
    </row>
    <row r="179" spans="1:7" x14ac:dyDescent="0.3">
      <c r="A179" t="s">
        <v>536</v>
      </c>
      <c r="B179" t="s">
        <v>560</v>
      </c>
      <c r="C179" t="s">
        <v>557</v>
      </c>
      <c r="D179" s="3">
        <v>30</v>
      </c>
      <c r="E179" s="3">
        <v>117</v>
      </c>
      <c r="F179" s="3">
        <v>525</v>
      </c>
      <c r="G179" s="3">
        <v>50</v>
      </c>
    </row>
    <row r="180" spans="1:7" x14ac:dyDescent="0.3">
      <c r="A180" t="s">
        <v>536</v>
      </c>
      <c r="B180" t="s">
        <v>575</v>
      </c>
      <c r="C180" t="s">
        <v>576</v>
      </c>
      <c r="D180" s="3">
        <v>30</v>
      </c>
      <c r="E180" s="3">
        <v>144</v>
      </c>
      <c r="F180" s="3">
        <v>630</v>
      </c>
      <c r="G180" s="3">
        <v>50</v>
      </c>
    </row>
    <row r="181" spans="1:7" x14ac:dyDescent="0.3">
      <c r="A181" t="s">
        <v>593</v>
      </c>
      <c r="B181" t="s">
        <v>596</v>
      </c>
      <c r="C181" t="s">
        <v>179</v>
      </c>
      <c r="D181" s="3">
        <v>31</v>
      </c>
      <c r="E181" s="3">
        <v>9</v>
      </c>
      <c r="F181" s="3">
        <v>34</v>
      </c>
      <c r="G181" s="3">
        <v>50</v>
      </c>
    </row>
    <row r="182" spans="1:7" x14ac:dyDescent="0.3">
      <c r="A182" t="s">
        <v>593</v>
      </c>
      <c r="B182" t="s">
        <v>601</v>
      </c>
      <c r="C182" t="s">
        <v>612</v>
      </c>
      <c r="D182" s="3">
        <v>31</v>
      </c>
      <c r="E182" s="3">
        <v>54</v>
      </c>
      <c r="F182" s="3">
        <v>199</v>
      </c>
      <c r="G182" s="3">
        <v>50</v>
      </c>
    </row>
    <row r="183" spans="1:7" x14ac:dyDescent="0.3">
      <c r="A183" t="s">
        <v>593</v>
      </c>
      <c r="B183" t="s">
        <v>601</v>
      </c>
      <c r="C183" t="s">
        <v>614</v>
      </c>
      <c r="D183" s="3">
        <v>31</v>
      </c>
      <c r="E183" s="3">
        <v>54</v>
      </c>
      <c r="F183" s="3">
        <v>201</v>
      </c>
      <c r="G183" s="3">
        <v>50</v>
      </c>
    </row>
    <row r="184" spans="1:7" x14ac:dyDescent="0.3">
      <c r="A184" t="s">
        <v>593</v>
      </c>
      <c r="B184" t="s">
        <v>626</v>
      </c>
      <c r="C184" t="s">
        <v>632</v>
      </c>
      <c r="D184" s="3">
        <v>31</v>
      </c>
      <c r="E184" s="3">
        <v>109</v>
      </c>
      <c r="F184" s="3">
        <v>463</v>
      </c>
      <c r="G184" s="3">
        <v>50</v>
      </c>
    </row>
    <row r="185" spans="1:7" x14ac:dyDescent="0.3">
      <c r="A185" t="s">
        <v>593</v>
      </c>
      <c r="B185" t="s">
        <v>626</v>
      </c>
      <c r="C185" t="s">
        <v>634</v>
      </c>
      <c r="D185" s="3">
        <v>31</v>
      </c>
      <c r="E185" s="3">
        <v>109</v>
      </c>
      <c r="F185" s="3">
        <v>465</v>
      </c>
      <c r="G185" s="3">
        <v>50</v>
      </c>
    </row>
    <row r="186" spans="1:7" x14ac:dyDescent="0.3">
      <c r="A186" t="s">
        <v>593</v>
      </c>
      <c r="B186" t="s">
        <v>626</v>
      </c>
      <c r="C186" t="s">
        <v>637</v>
      </c>
      <c r="D186" s="3">
        <v>31</v>
      </c>
      <c r="E186" s="3">
        <v>109</v>
      </c>
      <c r="F186" s="3">
        <v>468</v>
      </c>
      <c r="G186" s="3">
        <v>50</v>
      </c>
    </row>
    <row r="187" spans="1:7" x14ac:dyDescent="0.3">
      <c r="A187" t="s">
        <v>593</v>
      </c>
      <c r="B187" t="s">
        <v>626</v>
      </c>
      <c r="C187" t="s">
        <v>642</v>
      </c>
      <c r="D187" s="3">
        <v>31</v>
      </c>
      <c r="E187" s="3">
        <v>109</v>
      </c>
      <c r="F187" s="3">
        <v>473</v>
      </c>
      <c r="G187" s="3">
        <v>50</v>
      </c>
    </row>
    <row r="188" spans="1:7" x14ac:dyDescent="0.3">
      <c r="A188" t="s">
        <v>593</v>
      </c>
      <c r="B188" t="s">
        <v>626</v>
      </c>
      <c r="C188" t="s">
        <v>653</v>
      </c>
      <c r="D188" s="3">
        <v>31</v>
      </c>
      <c r="E188" s="3">
        <v>109</v>
      </c>
      <c r="F188" s="3">
        <v>484</v>
      </c>
      <c r="G188" s="3">
        <v>50</v>
      </c>
    </row>
    <row r="189" spans="1:7" x14ac:dyDescent="0.3">
      <c r="A189" t="s">
        <v>593</v>
      </c>
      <c r="B189" t="s">
        <v>694</v>
      </c>
      <c r="C189" t="s">
        <v>696</v>
      </c>
      <c r="D189" s="3">
        <v>31</v>
      </c>
      <c r="E189" s="3">
        <v>157</v>
      </c>
      <c r="F189" s="3">
        <v>685</v>
      </c>
      <c r="G189" s="3">
        <v>50</v>
      </c>
    </row>
    <row r="190" spans="1:7" x14ac:dyDescent="0.3">
      <c r="A190" t="s">
        <v>725</v>
      </c>
      <c r="B190" t="s">
        <v>729</v>
      </c>
      <c r="C190" t="s">
        <v>60</v>
      </c>
      <c r="D190" s="3">
        <v>35</v>
      </c>
      <c r="E190" s="3">
        <v>39</v>
      </c>
      <c r="F190" s="3">
        <v>153</v>
      </c>
      <c r="G190" s="3">
        <v>50</v>
      </c>
    </row>
    <row r="191" spans="1:7" x14ac:dyDescent="0.3">
      <c r="A191" t="s">
        <v>745</v>
      </c>
      <c r="B191" t="s">
        <v>757</v>
      </c>
      <c r="C191" t="s">
        <v>762</v>
      </c>
      <c r="D191" s="3">
        <v>36</v>
      </c>
      <c r="E191" s="3">
        <v>79</v>
      </c>
      <c r="F191" s="3">
        <v>292</v>
      </c>
      <c r="G191" s="3">
        <v>50</v>
      </c>
    </row>
    <row r="192" spans="1:7" x14ac:dyDescent="0.3">
      <c r="A192" t="s">
        <v>745</v>
      </c>
      <c r="B192" t="s">
        <v>757</v>
      </c>
      <c r="C192" t="s">
        <v>764</v>
      </c>
      <c r="D192" s="3">
        <v>36</v>
      </c>
      <c r="E192" s="3">
        <v>79</v>
      </c>
      <c r="F192" s="3">
        <v>294</v>
      </c>
      <c r="G192" s="3">
        <v>50</v>
      </c>
    </row>
    <row r="193" spans="1:7" x14ac:dyDescent="0.3">
      <c r="A193" t="s">
        <v>745</v>
      </c>
      <c r="B193" t="s">
        <v>757</v>
      </c>
      <c r="C193" t="s">
        <v>769</v>
      </c>
      <c r="D193" s="3">
        <v>36</v>
      </c>
      <c r="E193" s="3">
        <v>79</v>
      </c>
      <c r="F193" s="3">
        <v>300</v>
      </c>
      <c r="G193" s="3">
        <v>50</v>
      </c>
    </row>
    <row r="194" spans="1:7" x14ac:dyDescent="0.3">
      <c r="A194" t="s">
        <v>745</v>
      </c>
      <c r="B194" t="s">
        <v>757</v>
      </c>
      <c r="C194" t="s">
        <v>775</v>
      </c>
      <c r="D194" s="3">
        <v>36</v>
      </c>
      <c r="E194" s="3">
        <v>79</v>
      </c>
      <c r="F194" s="3">
        <v>306</v>
      </c>
      <c r="G194" s="3">
        <v>50</v>
      </c>
    </row>
    <row r="195" spans="1:7" x14ac:dyDescent="0.3">
      <c r="A195" t="s">
        <v>745</v>
      </c>
      <c r="B195" t="s">
        <v>757</v>
      </c>
      <c r="C195" t="s">
        <v>780</v>
      </c>
      <c r="D195" s="3">
        <v>36</v>
      </c>
      <c r="E195" s="3">
        <v>79</v>
      </c>
      <c r="F195" s="3">
        <v>311</v>
      </c>
      <c r="G195" s="3">
        <v>50</v>
      </c>
    </row>
    <row r="196" spans="1:7" x14ac:dyDescent="0.3">
      <c r="A196" t="s">
        <v>790</v>
      </c>
      <c r="B196" t="s">
        <v>791</v>
      </c>
      <c r="C196" t="s">
        <v>792</v>
      </c>
      <c r="D196" s="3">
        <v>37</v>
      </c>
      <c r="E196" s="3">
        <v>194</v>
      </c>
      <c r="F196" s="3">
        <v>896</v>
      </c>
      <c r="G196" s="3">
        <v>50</v>
      </c>
    </row>
    <row r="197" spans="1:7" x14ac:dyDescent="0.3">
      <c r="A197" t="s">
        <v>790</v>
      </c>
      <c r="B197" t="s">
        <v>791</v>
      </c>
      <c r="C197" t="s">
        <v>803</v>
      </c>
      <c r="D197" s="3">
        <v>37</v>
      </c>
      <c r="E197" s="3">
        <v>194</v>
      </c>
      <c r="F197" s="3">
        <v>909</v>
      </c>
      <c r="G197" s="3">
        <v>50</v>
      </c>
    </row>
    <row r="198" spans="1:7" x14ac:dyDescent="0.3">
      <c r="A198" t="s">
        <v>790</v>
      </c>
      <c r="B198" t="s">
        <v>791</v>
      </c>
      <c r="C198" t="s">
        <v>488</v>
      </c>
      <c r="D198" s="3">
        <v>37</v>
      </c>
      <c r="E198" s="3">
        <v>194</v>
      </c>
      <c r="F198" s="3">
        <v>911</v>
      </c>
      <c r="G198" s="3">
        <v>50</v>
      </c>
    </row>
    <row r="199" spans="1:7" x14ac:dyDescent="0.3">
      <c r="A199" t="s">
        <v>790</v>
      </c>
      <c r="B199" t="s">
        <v>791</v>
      </c>
      <c r="C199" t="s">
        <v>805</v>
      </c>
      <c r="D199" s="3">
        <v>37</v>
      </c>
      <c r="E199" s="3">
        <v>194</v>
      </c>
      <c r="F199" s="3">
        <v>913</v>
      </c>
      <c r="G199" s="3">
        <v>50</v>
      </c>
    </row>
    <row r="200" spans="1:7" x14ac:dyDescent="0.3">
      <c r="A200" t="s">
        <v>808</v>
      </c>
      <c r="B200" t="s">
        <v>810</v>
      </c>
      <c r="C200" t="s">
        <v>818</v>
      </c>
      <c r="D200" s="3">
        <v>38</v>
      </c>
      <c r="E200" s="3">
        <v>76</v>
      </c>
      <c r="F200" s="3">
        <v>271</v>
      </c>
      <c r="G200" s="3">
        <v>50</v>
      </c>
    </row>
    <row r="201" spans="1:7" x14ac:dyDescent="0.3">
      <c r="A201" t="s">
        <v>808</v>
      </c>
      <c r="B201" t="s">
        <v>810</v>
      </c>
      <c r="C201" t="s">
        <v>819</v>
      </c>
      <c r="D201" s="3">
        <v>38</v>
      </c>
      <c r="E201" s="3">
        <v>76</v>
      </c>
      <c r="F201" s="3">
        <v>272</v>
      </c>
      <c r="G201" s="3">
        <v>50</v>
      </c>
    </row>
    <row r="202" spans="1:7" x14ac:dyDescent="0.3">
      <c r="A202" t="s">
        <v>808</v>
      </c>
      <c r="B202" t="s">
        <v>829</v>
      </c>
      <c r="C202" t="s">
        <v>830</v>
      </c>
      <c r="D202" s="3">
        <v>38</v>
      </c>
      <c r="E202" s="3">
        <v>138</v>
      </c>
      <c r="F202" s="3">
        <v>621</v>
      </c>
      <c r="G202" s="3">
        <v>50</v>
      </c>
    </row>
    <row r="203" spans="1:7" x14ac:dyDescent="0.3">
      <c r="A203" t="s">
        <v>832</v>
      </c>
      <c r="B203" t="s">
        <v>833</v>
      </c>
      <c r="C203" t="s">
        <v>835</v>
      </c>
      <c r="D203" s="3">
        <v>39</v>
      </c>
      <c r="E203" s="3">
        <v>124</v>
      </c>
      <c r="F203" s="3">
        <v>556</v>
      </c>
      <c r="G203" s="3">
        <v>50</v>
      </c>
    </row>
    <row r="204" spans="1:7" x14ac:dyDescent="0.3">
      <c r="A204" t="s">
        <v>832</v>
      </c>
      <c r="B204" t="s">
        <v>833</v>
      </c>
      <c r="C204" t="s">
        <v>204</v>
      </c>
      <c r="D204" s="3">
        <v>39</v>
      </c>
      <c r="E204" s="3">
        <v>124</v>
      </c>
      <c r="F204" s="3">
        <v>560</v>
      </c>
      <c r="G204" s="3">
        <v>50</v>
      </c>
    </row>
    <row r="205" spans="1:7" x14ac:dyDescent="0.3">
      <c r="A205" t="s">
        <v>832</v>
      </c>
      <c r="B205" t="s">
        <v>833</v>
      </c>
      <c r="C205" t="s">
        <v>60</v>
      </c>
      <c r="D205" s="3">
        <v>39</v>
      </c>
      <c r="E205" s="3">
        <v>124</v>
      </c>
      <c r="F205" s="3">
        <v>563</v>
      </c>
      <c r="G205" s="3">
        <v>50</v>
      </c>
    </row>
    <row r="206" spans="1:7" x14ac:dyDescent="0.3">
      <c r="A206" t="s">
        <v>832</v>
      </c>
      <c r="B206" t="s">
        <v>833</v>
      </c>
      <c r="C206" t="s">
        <v>839</v>
      </c>
      <c r="D206" s="3">
        <v>39</v>
      </c>
      <c r="E206" s="3">
        <v>124</v>
      </c>
      <c r="F206" s="3">
        <v>565</v>
      </c>
      <c r="G206" s="3">
        <v>50</v>
      </c>
    </row>
    <row r="207" spans="1:7" x14ac:dyDescent="0.3">
      <c r="A207" t="s">
        <v>832</v>
      </c>
      <c r="B207" t="s">
        <v>841</v>
      </c>
      <c r="C207" t="s">
        <v>842</v>
      </c>
      <c r="D207" s="3">
        <v>39</v>
      </c>
      <c r="E207" s="3">
        <v>143</v>
      </c>
      <c r="F207" s="3">
        <v>629</v>
      </c>
      <c r="G207" s="3">
        <v>50</v>
      </c>
    </row>
    <row r="208" spans="1:7" x14ac:dyDescent="0.3">
      <c r="A208" t="s">
        <v>861</v>
      </c>
      <c r="B208" t="s">
        <v>862</v>
      </c>
      <c r="C208" t="s">
        <v>863</v>
      </c>
      <c r="D208" s="3">
        <v>46</v>
      </c>
      <c r="E208" s="3">
        <v>170</v>
      </c>
      <c r="F208" s="3">
        <v>726</v>
      </c>
      <c r="G208" s="3">
        <v>50</v>
      </c>
    </row>
    <row r="209" spans="1:7" x14ac:dyDescent="0.3">
      <c r="A209" t="s">
        <v>861</v>
      </c>
      <c r="B209" t="s">
        <v>862</v>
      </c>
      <c r="C209" t="s">
        <v>60</v>
      </c>
      <c r="D209" s="3">
        <v>46</v>
      </c>
      <c r="E209" s="3">
        <v>170</v>
      </c>
      <c r="F209" s="3">
        <v>727</v>
      </c>
      <c r="G209" s="3">
        <v>50</v>
      </c>
    </row>
    <row r="210" spans="1:7" x14ac:dyDescent="0.3">
      <c r="A210" t="s">
        <v>869</v>
      </c>
      <c r="B210" t="s">
        <v>870</v>
      </c>
      <c r="C210" t="s">
        <v>126</v>
      </c>
      <c r="D210" s="3">
        <v>48</v>
      </c>
      <c r="E210" s="3">
        <v>129</v>
      </c>
      <c r="F210" s="3">
        <v>596</v>
      </c>
      <c r="G210" s="3">
        <v>50</v>
      </c>
    </row>
    <row r="211" spans="1:7" x14ac:dyDescent="0.3">
      <c r="A211" t="s">
        <v>873</v>
      </c>
      <c r="B211" t="s">
        <v>874</v>
      </c>
      <c r="C211" t="s">
        <v>230</v>
      </c>
      <c r="D211" s="3">
        <v>49</v>
      </c>
      <c r="E211" s="3">
        <v>181</v>
      </c>
      <c r="F211" s="3">
        <v>806</v>
      </c>
      <c r="G211" s="3">
        <v>50</v>
      </c>
    </row>
    <row r="212" spans="1:7" x14ac:dyDescent="0.3">
      <c r="A212" t="s">
        <v>875</v>
      </c>
      <c r="B212" t="s">
        <v>881</v>
      </c>
      <c r="C212" t="s">
        <v>882</v>
      </c>
      <c r="D212" s="3">
        <v>50</v>
      </c>
      <c r="E212" s="3">
        <v>71</v>
      </c>
      <c r="F212" s="3">
        <v>233</v>
      </c>
      <c r="G212" s="3">
        <v>50</v>
      </c>
    </row>
    <row r="213" spans="1:7" x14ac:dyDescent="0.3">
      <c r="A213" t="s">
        <v>875</v>
      </c>
      <c r="B213" t="s">
        <v>888</v>
      </c>
      <c r="C213" t="s">
        <v>891</v>
      </c>
      <c r="D213" s="3">
        <v>50</v>
      </c>
      <c r="E213" s="3">
        <v>113</v>
      </c>
      <c r="F213" s="3">
        <v>513</v>
      </c>
      <c r="G213" s="3">
        <v>50</v>
      </c>
    </row>
    <row r="214" spans="1:7" x14ac:dyDescent="0.3">
      <c r="A214" t="s">
        <v>875</v>
      </c>
      <c r="B214" t="s">
        <v>896</v>
      </c>
      <c r="C214" t="s">
        <v>912</v>
      </c>
      <c r="D214" s="3">
        <v>50</v>
      </c>
      <c r="E214" s="3">
        <v>152</v>
      </c>
      <c r="F214" s="3">
        <v>671</v>
      </c>
      <c r="G214" s="3">
        <v>50</v>
      </c>
    </row>
    <row r="215" spans="1:7" x14ac:dyDescent="0.3">
      <c r="A215" t="s">
        <v>928</v>
      </c>
      <c r="B215" t="s">
        <v>929</v>
      </c>
      <c r="C215" t="s">
        <v>930</v>
      </c>
      <c r="D215" s="3">
        <v>52</v>
      </c>
      <c r="E215" s="3">
        <v>93</v>
      </c>
      <c r="F215" s="3">
        <v>362</v>
      </c>
      <c r="G215" s="3">
        <v>50</v>
      </c>
    </row>
    <row r="216" spans="1:7" x14ac:dyDescent="0.3">
      <c r="A216" t="s">
        <v>931</v>
      </c>
      <c r="B216" t="s">
        <v>932</v>
      </c>
      <c r="C216" t="s">
        <v>353</v>
      </c>
      <c r="D216" s="3">
        <v>53</v>
      </c>
      <c r="E216" s="3">
        <v>160</v>
      </c>
      <c r="F216" s="3">
        <v>699</v>
      </c>
      <c r="G216" s="3">
        <v>50</v>
      </c>
    </row>
    <row r="217" spans="1:7" x14ac:dyDescent="0.3">
      <c r="A217" t="s">
        <v>942</v>
      </c>
      <c r="B217" t="s">
        <v>945</v>
      </c>
      <c r="C217" t="s">
        <v>66</v>
      </c>
      <c r="D217" s="3">
        <v>56</v>
      </c>
      <c r="E217" s="3">
        <v>84</v>
      </c>
      <c r="F217" s="3">
        <v>331</v>
      </c>
      <c r="G217" s="3">
        <v>50</v>
      </c>
    </row>
    <row r="218" spans="1:7" x14ac:dyDescent="0.3">
      <c r="A218" t="s">
        <v>942</v>
      </c>
      <c r="B218" t="s">
        <v>945</v>
      </c>
      <c r="C218" t="s">
        <v>948</v>
      </c>
      <c r="D218" s="3">
        <v>56</v>
      </c>
      <c r="E218" s="3">
        <v>84</v>
      </c>
      <c r="F218" s="3">
        <v>332</v>
      </c>
      <c r="G218" s="3">
        <v>50</v>
      </c>
    </row>
    <row r="219" spans="1:7" x14ac:dyDescent="0.3">
      <c r="A219" t="s">
        <v>957</v>
      </c>
      <c r="B219" t="s">
        <v>962</v>
      </c>
      <c r="C219" t="s">
        <v>963</v>
      </c>
      <c r="D219" s="3">
        <v>59</v>
      </c>
      <c r="E219" s="3">
        <v>195</v>
      </c>
      <c r="F219" s="3">
        <v>918</v>
      </c>
      <c r="G219" s="3">
        <v>50</v>
      </c>
    </row>
    <row r="220" spans="1:7" x14ac:dyDescent="0.3">
      <c r="A220" t="s">
        <v>23</v>
      </c>
      <c r="B220" t="s">
        <v>26</v>
      </c>
      <c r="C220" t="s">
        <v>27</v>
      </c>
      <c r="D220" s="3">
        <v>3</v>
      </c>
      <c r="E220" s="3">
        <v>64</v>
      </c>
      <c r="F220" s="3">
        <v>220</v>
      </c>
      <c r="G220" s="3">
        <v>60</v>
      </c>
    </row>
    <row r="221" spans="1:7" x14ac:dyDescent="0.3">
      <c r="A221" t="s">
        <v>28</v>
      </c>
      <c r="B221" t="s">
        <v>37</v>
      </c>
      <c r="C221" t="s">
        <v>39</v>
      </c>
      <c r="D221" s="3">
        <v>4</v>
      </c>
      <c r="E221" s="3">
        <v>15</v>
      </c>
      <c r="F221" s="3">
        <v>44</v>
      </c>
      <c r="G221" s="3">
        <v>60</v>
      </c>
    </row>
    <row r="222" spans="1:7" x14ac:dyDescent="0.3">
      <c r="A222" t="s">
        <v>28</v>
      </c>
      <c r="B222" t="s">
        <v>63</v>
      </c>
      <c r="C222" t="s">
        <v>66</v>
      </c>
      <c r="D222" s="3">
        <v>4</v>
      </c>
      <c r="E222" s="3">
        <v>65</v>
      </c>
      <c r="F222" s="3">
        <v>223</v>
      </c>
      <c r="G222" s="3">
        <v>60</v>
      </c>
    </row>
    <row r="223" spans="1:7" x14ac:dyDescent="0.3">
      <c r="A223" t="s">
        <v>75</v>
      </c>
      <c r="B223" t="s">
        <v>82</v>
      </c>
      <c r="C223" t="s">
        <v>85</v>
      </c>
      <c r="D223" s="3">
        <v>7</v>
      </c>
      <c r="E223" s="3">
        <v>178</v>
      </c>
      <c r="F223" s="3">
        <v>762</v>
      </c>
      <c r="G223" s="3">
        <v>60</v>
      </c>
    </row>
    <row r="224" spans="1:7" x14ac:dyDescent="0.3">
      <c r="A224" t="s">
        <v>75</v>
      </c>
      <c r="B224" t="s">
        <v>82</v>
      </c>
      <c r="C224" t="s">
        <v>91</v>
      </c>
      <c r="D224" s="3">
        <v>7</v>
      </c>
      <c r="E224" s="3">
        <v>178</v>
      </c>
      <c r="F224" s="3">
        <v>768</v>
      </c>
      <c r="G224" s="3">
        <v>60</v>
      </c>
    </row>
    <row r="225" spans="1:7" x14ac:dyDescent="0.3">
      <c r="A225" t="s">
        <v>75</v>
      </c>
      <c r="B225" t="s">
        <v>82</v>
      </c>
      <c r="C225" t="s">
        <v>100</v>
      </c>
      <c r="D225" s="3">
        <v>7</v>
      </c>
      <c r="E225" s="3">
        <v>178</v>
      </c>
      <c r="F225" s="3">
        <v>777</v>
      </c>
      <c r="G225" s="3">
        <v>60</v>
      </c>
    </row>
    <row r="226" spans="1:7" x14ac:dyDescent="0.3">
      <c r="A226" t="s">
        <v>75</v>
      </c>
      <c r="B226" t="s">
        <v>82</v>
      </c>
      <c r="C226" t="s">
        <v>109</v>
      </c>
      <c r="D226" s="3">
        <v>7</v>
      </c>
      <c r="E226" s="3">
        <v>178</v>
      </c>
      <c r="F226" s="3">
        <v>786</v>
      </c>
      <c r="G226" s="3">
        <v>60</v>
      </c>
    </row>
    <row r="227" spans="1:7" x14ac:dyDescent="0.3">
      <c r="A227" t="s">
        <v>75</v>
      </c>
      <c r="B227" t="s">
        <v>82</v>
      </c>
      <c r="C227" t="s">
        <v>110</v>
      </c>
      <c r="D227" s="3">
        <v>7</v>
      </c>
      <c r="E227" s="3">
        <v>178</v>
      </c>
      <c r="F227" s="3">
        <v>787</v>
      </c>
      <c r="G227" s="3">
        <v>60</v>
      </c>
    </row>
    <row r="228" spans="1:7" x14ac:dyDescent="0.3">
      <c r="A228" t="s">
        <v>75</v>
      </c>
      <c r="B228" t="s">
        <v>82</v>
      </c>
      <c r="C228" t="s">
        <v>116</v>
      </c>
      <c r="D228" s="3">
        <v>7</v>
      </c>
      <c r="E228" s="3">
        <v>178</v>
      </c>
      <c r="F228" s="3">
        <v>793</v>
      </c>
      <c r="G228" s="3">
        <v>60</v>
      </c>
    </row>
    <row r="229" spans="1:7" x14ac:dyDescent="0.3">
      <c r="A229" t="s">
        <v>158</v>
      </c>
      <c r="B229" t="s">
        <v>159</v>
      </c>
      <c r="C229" t="s">
        <v>137</v>
      </c>
      <c r="D229" s="3">
        <v>13</v>
      </c>
      <c r="E229" s="3">
        <v>38</v>
      </c>
      <c r="F229" s="3">
        <v>137</v>
      </c>
      <c r="G229" s="3">
        <v>60</v>
      </c>
    </row>
    <row r="230" spans="1:7" x14ac:dyDescent="0.3">
      <c r="A230" t="s">
        <v>171</v>
      </c>
      <c r="B230" t="s">
        <v>172</v>
      </c>
      <c r="C230" t="s">
        <v>181</v>
      </c>
      <c r="D230" s="3">
        <v>15</v>
      </c>
      <c r="E230" s="3">
        <v>91</v>
      </c>
      <c r="F230" s="3">
        <v>353</v>
      </c>
      <c r="G230" s="3">
        <v>60</v>
      </c>
    </row>
    <row r="231" spans="1:7" x14ac:dyDescent="0.3">
      <c r="A231" t="s">
        <v>171</v>
      </c>
      <c r="B231" t="s">
        <v>172</v>
      </c>
      <c r="C231" t="s">
        <v>185</v>
      </c>
      <c r="D231" s="3">
        <v>15</v>
      </c>
      <c r="E231" s="3">
        <v>91</v>
      </c>
      <c r="F231" s="3">
        <v>357</v>
      </c>
      <c r="G231" s="3">
        <v>60</v>
      </c>
    </row>
    <row r="232" spans="1:7" x14ac:dyDescent="0.3">
      <c r="A232" t="s">
        <v>171</v>
      </c>
      <c r="B232" t="s">
        <v>188</v>
      </c>
      <c r="C232" t="s">
        <v>195</v>
      </c>
      <c r="D232" s="3">
        <v>15</v>
      </c>
      <c r="E232" s="3">
        <v>107</v>
      </c>
      <c r="F232" s="3">
        <v>417</v>
      </c>
      <c r="G232" s="3">
        <v>60</v>
      </c>
    </row>
    <row r="233" spans="1:7" x14ac:dyDescent="0.3">
      <c r="A233" t="s">
        <v>171</v>
      </c>
      <c r="B233" t="s">
        <v>188</v>
      </c>
      <c r="C233" t="s">
        <v>203</v>
      </c>
      <c r="D233" s="3">
        <v>15</v>
      </c>
      <c r="E233" s="3">
        <v>107</v>
      </c>
      <c r="F233" s="3">
        <v>427</v>
      </c>
      <c r="G233" s="3">
        <v>60</v>
      </c>
    </row>
    <row r="234" spans="1:7" x14ac:dyDescent="0.3">
      <c r="A234" t="s">
        <v>171</v>
      </c>
      <c r="B234" t="s">
        <v>188</v>
      </c>
      <c r="C234" t="s">
        <v>205</v>
      </c>
      <c r="D234" s="3">
        <v>15</v>
      </c>
      <c r="E234" s="3">
        <v>107</v>
      </c>
      <c r="F234" s="3">
        <v>429</v>
      </c>
      <c r="G234" s="3">
        <v>60</v>
      </c>
    </row>
    <row r="235" spans="1:7" x14ac:dyDescent="0.3">
      <c r="A235" t="s">
        <v>171</v>
      </c>
      <c r="B235" t="s">
        <v>188</v>
      </c>
      <c r="C235" t="s">
        <v>209</v>
      </c>
      <c r="D235" s="3">
        <v>15</v>
      </c>
      <c r="E235" s="3">
        <v>107</v>
      </c>
      <c r="F235" s="3">
        <v>433</v>
      </c>
      <c r="G235" s="3">
        <v>60</v>
      </c>
    </row>
    <row r="236" spans="1:7" x14ac:dyDescent="0.3">
      <c r="A236" t="s">
        <v>171</v>
      </c>
      <c r="B236" t="s">
        <v>188</v>
      </c>
      <c r="C236" t="s">
        <v>219</v>
      </c>
      <c r="D236" s="3">
        <v>15</v>
      </c>
      <c r="E236" s="3">
        <v>107</v>
      </c>
      <c r="F236" s="3">
        <v>445</v>
      </c>
      <c r="G236" s="3">
        <v>60</v>
      </c>
    </row>
    <row r="237" spans="1:7" x14ac:dyDescent="0.3">
      <c r="A237" t="s">
        <v>171</v>
      </c>
      <c r="B237" t="s">
        <v>188</v>
      </c>
      <c r="C237" t="s">
        <v>220</v>
      </c>
      <c r="D237" s="3">
        <v>15</v>
      </c>
      <c r="E237" s="3">
        <v>107</v>
      </c>
      <c r="F237" s="3">
        <v>447</v>
      </c>
      <c r="G237" s="3">
        <v>60</v>
      </c>
    </row>
    <row r="238" spans="1:7" x14ac:dyDescent="0.3">
      <c r="A238" t="s">
        <v>239</v>
      </c>
      <c r="B238" t="s">
        <v>240</v>
      </c>
      <c r="C238" t="s">
        <v>241</v>
      </c>
      <c r="D238" s="3">
        <v>17</v>
      </c>
      <c r="E238" s="3">
        <v>25</v>
      </c>
      <c r="F238" s="3">
        <v>92</v>
      </c>
      <c r="G238" s="3">
        <v>60</v>
      </c>
    </row>
    <row r="239" spans="1:7" x14ac:dyDescent="0.3">
      <c r="A239" t="s">
        <v>239</v>
      </c>
      <c r="B239" t="s">
        <v>245</v>
      </c>
      <c r="C239" t="s">
        <v>256</v>
      </c>
      <c r="D239" s="3">
        <v>17</v>
      </c>
      <c r="E239" s="3">
        <v>185</v>
      </c>
      <c r="F239" s="3">
        <v>823</v>
      </c>
      <c r="G239" s="3">
        <v>60</v>
      </c>
    </row>
    <row r="240" spans="1:7" x14ac:dyDescent="0.3">
      <c r="A240" t="s">
        <v>239</v>
      </c>
      <c r="B240" t="s">
        <v>245</v>
      </c>
      <c r="C240" t="s">
        <v>266</v>
      </c>
      <c r="D240" s="3">
        <v>17</v>
      </c>
      <c r="E240" s="3">
        <v>185</v>
      </c>
      <c r="F240" s="3">
        <v>833</v>
      </c>
      <c r="G240" s="3">
        <v>60</v>
      </c>
    </row>
    <row r="241" spans="1:7" x14ac:dyDescent="0.3">
      <c r="A241" t="s">
        <v>239</v>
      </c>
      <c r="B241" t="s">
        <v>245</v>
      </c>
      <c r="C241" t="s">
        <v>269</v>
      </c>
      <c r="D241" s="3">
        <v>17</v>
      </c>
      <c r="E241" s="3">
        <v>185</v>
      </c>
      <c r="F241" s="3">
        <v>836</v>
      </c>
      <c r="G241" s="3">
        <v>60</v>
      </c>
    </row>
    <row r="242" spans="1:7" x14ac:dyDescent="0.3">
      <c r="A242" t="s">
        <v>239</v>
      </c>
      <c r="B242" t="s">
        <v>245</v>
      </c>
      <c r="C242" t="s">
        <v>272</v>
      </c>
      <c r="D242" s="3">
        <v>17</v>
      </c>
      <c r="E242" s="3">
        <v>185</v>
      </c>
      <c r="F242" s="3">
        <v>839</v>
      </c>
      <c r="G242" s="3">
        <v>60</v>
      </c>
    </row>
    <row r="243" spans="1:7" x14ac:dyDescent="0.3">
      <c r="A243" t="s">
        <v>317</v>
      </c>
      <c r="B243" t="s">
        <v>318</v>
      </c>
      <c r="C243" t="s">
        <v>60</v>
      </c>
      <c r="D243" s="3">
        <v>20</v>
      </c>
      <c r="E243" s="3">
        <v>60</v>
      </c>
      <c r="F243" s="3">
        <v>214</v>
      </c>
      <c r="G243" s="3">
        <v>60</v>
      </c>
    </row>
    <row r="244" spans="1:7" x14ac:dyDescent="0.3">
      <c r="A244" t="s">
        <v>321</v>
      </c>
      <c r="B244" t="s">
        <v>322</v>
      </c>
      <c r="C244" t="s">
        <v>323</v>
      </c>
      <c r="D244" s="3">
        <v>21</v>
      </c>
      <c r="E244" s="3">
        <v>173</v>
      </c>
      <c r="F244" s="3">
        <v>732</v>
      </c>
      <c r="G244" s="3">
        <v>60</v>
      </c>
    </row>
    <row r="245" spans="1:7" x14ac:dyDescent="0.3">
      <c r="A245" t="s">
        <v>321</v>
      </c>
      <c r="B245" t="s">
        <v>322</v>
      </c>
      <c r="C245" t="s">
        <v>326</v>
      </c>
      <c r="D245" s="3">
        <v>21</v>
      </c>
      <c r="E245" s="3">
        <v>173</v>
      </c>
      <c r="F245" s="3">
        <v>735</v>
      </c>
      <c r="G245" s="3">
        <v>60</v>
      </c>
    </row>
    <row r="246" spans="1:7" x14ac:dyDescent="0.3">
      <c r="A246" t="s">
        <v>347</v>
      </c>
      <c r="B246" t="s">
        <v>348</v>
      </c>
      <c r="C246" t="s">
        <v>349</v>
      </c>
      <c r="D246" s="3">
        <v>24</v>
      </c>
      <c r="E246" s="3">
        <v>68</v>
      </c>
      <c r="F246" s="3">
        <v>227</v>
      </c>
      <c r="G246" s="3">
        <v>60</v>
      </c>
    </row>
    <row r="247" spans="1:7" x14ac:dyDescent="0.3">
      <c r="A247" t="s">
        <v>363</v>
      </c>
      <c r="B247" t="s">
        <v>379</v>
      </c>
      <c r="C247" t="s">
        <v>382</v>
      </c>
      <c r="D247" s="3">
        <v>26</v>
      </c>
      <c r="E247" s="3">
        <v>123</v>
      </c>
      <c r="F247" s="3">
        <v>539</v>
      </c>
      <c r="G247" s="3">
        <v>60</v>
      </c>
    </row>
    <row r="248" spans="1:7" x14ac:dyDescent="0.3">
      <c r="A248" t="s">
        <v>363</v>
      </c>
      <c r="B248" t="s">
        <v>379</v>
      </c>
      <c r="C248" t="s">
        <v>326</v>
      </c>
      <c r="D248" s="3">
        <v>26</v>
      </c>
      <c r="E248" s="3">
        <v>123</v>
      </c>
      <c r="F248" s="3">
        <v>542</v>
      </c>
      <c r="G248" s="3">
        <v>60</v>
      </c>
    </row>
    <row r="249" spans="1:7" x14ac:dyDescent="0.3">
      <c r="A249" t="s">
        <v>363</v>
      </c>
      <c r="B249" t="s">
        <v>379</v>
      </c>
      <c r="C249" t="s">
        <v>387</v>
      </c>
      <c r="D249" s="3">
        <v>26</v>
      </c>
      <c r="E249" s="3">
        <v>123</v>
      </c>
      <c r="F249" s="3">
        <v>547</v>
      </c>
      <c r="G249" s="3">
        <v>60</v>
      </c>
    </row>
    <row r="250" spans="1:7" x14ac:dyDescent="0.3">
      <c r="A250" t="s">
        <v>363</v>
      </c>
      <c r="B250" t="s">
        <v>379</v>
      </c>
      <c r="C250" t="s">
        <v>303</v>
      </c>
      <c r="D250" s="3">
        <v>26</v>
      </c>
      <c r="E250" s="3">
        <v>123</v>
      </c>
      <c r="F250" s="3">
        <v>552</v>
      </c>
      <c r="G250" s="3">
        <v>60</v>
      </c>
    </row>
    <row r="251" spans="1:7" x14ac:dyDescent="0.3">
      <c r="A251" t="s">
        <v>416</v>
      </c>
      <c r="B251" t="s">
        <v>421</v>
      </c>
      <c r="C251" t="s">
        <v>423</v>
      </c>
      <c r="D251" s="3">
        <v>27</v>
      </c>
      <c r="E251" s="3">
        <v>49</v>
      </c>
      <c r="F251" s="3">
        <v>179</v>
      </c>
      <c r="G251" s="3">
        <v>60</v>
      </c>
    </row>
    <row r="252" spans="1:7" x14ac:dyDescent="0.3">
      <c r="A252" t="s">
        <v>416</v>
      </c>
      <c r="B252" t="s">
        <v>427</v>
      </c>
      <c r="C252" t="s">
        <v>428</v>
      </c>
      <c r="D252" s="3">
        <v>27</v>
      </c>
      <c r="E252" s="3">
        <v>73</v>
      </c>
      <c r="F252" s="3">
        <v>236</v>
      </c>
      <c r="G252" s="3">
        <v>60</v>
      </c>
    </row>
    <row r="253" spans="1:7" x14ac:dyDescent="0.3">
      <c r="A253" t="s">
        <v>416</v>
      </c>
      <c r="B253" t="s">
        <v>427</v>
      </c>
      <c r="C253" t="s">
        <v>430</v>
      </c>
      <c r="D253" s="3">
        <v>27</v>
      </c>
      <c r="E253" s="3">
        <v>73</v>
      </c>
      <c r="F253" s="3">
        <v>239</v>
      </c>
      <c r="G253" s="3">
        <v>60</v>
      </c>
    </row>
    <row r="254" spans="1:7" x14ac:dyDescent="0.3">
      <c r="A254" t="s">
        <v>416</v>
      </c>
      <c r="B254" t="s">
        <v>427</v>
      </c>
      <c r="C254" t="s">
        <v>431</v>
      </c>
      <c r="D254" s="3">
        <v>27</v>
      </c>
      <c r="E254" s="3">
        <v>73</v>
      </c>
      <c r="F254" s="3">
        <v>240</v>
      </c>
      <c r="G254" s="3">
        <v>60</v>
      </c>
    </row>
    <row r="255" spans="1:7" x14ac:dyDescent="0.3">
      <c r="A255" t="s">
        <v>416</v>
      </c>
      <c r="B255" t="s">
        <v>427</v>
      </c>
      <c r="C255" t="s">
        <v>112</v>
      </c>
      <c r="D255" s="3">
        <v>27</v>
      </c>
      <c r="E255" s="3">
        <v>73</v>
      </c>
      <c r="F255" s="3">
        <v>247</v>
      </c>
      <c r="G255" s="3">
        <v>60</v>
      </c>
    </row>
    <row r="256" spans="1:7" x14ac:dyDescent="0.3">
      <c r="A256" t="s">
        <v>456</v>
      </c>
      <c r="B256" t="s">
        <v>474</v>
      </c>
      <c r="C256" t="s">
        <v>234</v>
      </c>
      <c r="D256" s="3">
        <v>29</v>
      </c>
      <c r="E256" s="3">
        <v>31</v>
      </c>
      <c r="F256" s="3">
        <v>116</v>
      </c>
      <c r="G256" s="3">
        <v>60</v>
      </c>
    </row>
    <row r="257" spans="1:7" x14ac:dyDescent="0.3">
      <c r="A257" t="s">
        <v>456</v>
      </c>
      <c r="B257" t="s">
        <v>474</v>
      </c>
      <c r="C257" t="s">
        <v>477</v>
      </c>
      <c r="D257" s="3">
        <v>29</v>
      </c>
      <c r="E257" s="3">
        <v>31</v>
      </c>
      <c r="F257" s="3">
        <v>118</v>
      </c>
      <c r="G257" s="3">
        <v>60</v>
      </c>
    </row>
    <row r="258" spans="1:7" x14ac:dyDescent="0.3">
      <c r="A258" t="s">
        <v>456</v>
      </c>
      <c r="B258" t="s">
        <v>492</v>
      </c>
      <c r="C258" t="s">
        <v>60</v>
      </c>
      <c r="D258" s="3">
        <v>29</v>
      </c>
      <c r="E258" s="3">
        <v>58</v>
      </c>
      <c r="F258" s="3">
        <v>207</v>
      </c>
      <c r="G258" s="3">
        <v>60</v>
      </c>
    </row>
    <row r="259" spans="1:7" x14ac:dyDescent="0.3">
      <c r="A259" t="s">
        <v>456</v>
      </c>
      <c r="B259" t="s">
        <v>519</v>
      </c>
      <c r="C259" t="s">
        <v>60</v>
      </c>
      <c r="D259" s="3">
        <v>29</v>
      </c>
      <c r="E259" s="3">
        <v>119</v>
      </c>
      <c r="F259" s="3">
        <v>531</v>
      </c>
      <c r="G259" s="3">
        <v>60</v>
      </c>
    </row>
    <row r="260" spans="1:7" x14ac:dyDescent="0.3">
      <c r="A260" t="s">
        <v>456</v>
      </c>
      <c r="B260" t="s">
        <v>527</v>
      </c>
      <c r="C260" t="s">
        <v>531</v>
      </c>
      <c r="D260" s="3">
        <v>29</v>
      </c>
      <c r="E260" s="3">
        <v>168</v>
      </c>
      <c r="F260" s="3">
        <v>722</v>
      </c>
      <c r="G260" s="3">
        <v>60</v>
      </c>
    </row>
    <row r="261" spans="1:7" x14ac:dyDescent="0.3">
      <c r="A261" t="s">
        <v>456</v>
      </c>
      <c r="B261" t="s">
        <v>532</v>
      </c>
      <c r="C261" t="s">
        <v>60</v>
      </c>
      <c r="D261" s="3">
        <v>29</v>
      </c>
      <c r="E261" s="3">
        <v>179</v>
      </c>
      <c r="F261" s="3">
        <v>804</v>
      </c>
      <c r="G261" s="3">
        <v>60</v>
      </c>
    </row>
    <row r="262" spans="1:7" x14ac:dyDescent="0.3">
      <c r="A262" t="s">
        <v>536</v>
      </c>
      <c r="B262" t="s">
        <v>560</v>
      </c>
      <c r="C262" t="s">
        <v>60</v>
      </c>
      <c r="D262" s="3">
        <v>30</v>
      </c>
      <c r="E262" s="3">
        <v>117</v>
      </c>
      <c r="F262" s="3">
        <v>526</v>
      </c>
      <c r="G262" s="3">
        <v>60</v>
      </c>
    </row>
    <row r="263" spans="1:7" x14ac:dyDescent="0.3">
      <c r="A263" t="s">
        <v>536</v>
      </c>
      <c r="B263" t="s">
        <v>563</v>
      </c>
      <c r="C263" t="s">
        <v>567</v>
      </c>
      <c r="D263" s="3">
        <v>30</v>
      </c>
      <c r="E263" s="3">
        <v>131</v>
      </c>
      <c r="F263" s="3">
        <v>603</v>
      </c>
      <c r="G263" s="3">
        <v>60</v>
      </c>
    </row>
    <row r="264" spans="1:7" x14ac:dyDescent="0.3">
      <c r="A264" t="s">
        <v>536</v>
      </c>
      <c r="B264" t="s">
        <v>573</v>
      </c>
      <c r="C264" t="s">
        <v>546</v>
      </c>
      <c r="D264" s="3">
        <v>30</v>
      </c>
      <c r="E264" s="3">
        <v>142</v>
      </c>
      <c r="F264" s="3">
        <v>626</v>
      </c>
      <c r="G264" s="3">
        <v>60</v>
      </c>
    </row>
    <row r="265" spans="1:7" x14ac:dyDescent="0.3">
      <c r="A265" t="s">
        <v>593</v>
      </c>
      <c r="B265" t="s">
        <v>601</v>
      </c>
      <c r="C265" t="s">
        <v>603</v>
      </c>
      <c r="D265" s="3">
        <v>31</v>
      </c>
      <c r="E265" s="3">
        <v>54</v>
      </c>
      <c r="F265" s="3">
        <v>188</v>
      </c>
      <c r="G265" s="3">
        <v>60</v>
      </c>
    </row>
    <row r="266" spans="1:7" x14ac:dyDescent="0.3">
      <c r="A266" t="s">
        <v>593</v>
      </c>
      <c r="B266" t="s">
        <v>601</v>
      </c>
      <c r="C266" t="s">
        <v>604</v>
      </c>
      <c r="D266" s="3">
        <v>31</v>
      </c>
      <c r="E266" s="3">
        <v>54</v>
      </c>
      <c r="F266" s="3">
        <v>189</v>
      </c>
      <c r="G266" s="3">
        <v>60</v>
      </c>
    </row>
    <row r="267" spans="1:7" x14ac:dyDescent="0.3">
      <c r="A267" t="s">
        <v>593</v>
      </c>
      <c r="B267" t="s">
        <v>621</v>
      </c>
      <c r="C267" t="s">
        <v>622</v>
      </c>
      <c r="D267" s="3">
        <v>31</v>
      </c>
      <c r="E267" s="3">
        <v>98</v>
      </c>
      <c r="F267" s="3">
        <v>374</v>
      </c>
      <c r="G267" s="3">
        <v>60</v>
      </c>
    </row>
    <row r="268" spans="1:7" x14ac:dyDescent="0.3">
      <c r="A268" t="s">
        <v>593</v>
      </c>
      <c r="B268" t="s">
        <v>626</v>
      </c>
      <c r="C268" t="s">
        <v>640</v>
      </c>
      <c r="D268" s="3">
        <v>31</v>
      </c>
      <c r="E268" s="3">
        <v>109</v>
      </c>
      <c r="F268" s="3">
        <v>471</v>
      </c>
      <c r="G268" s="3">
        <v>60</v>
      </c>
    </row>
    <row r="269" spans="1:7" x14ac:dyDescent="0.3">
      <c r="A269" t="s">
        <v>593</v>
      </c>
      <c r="B269" t="s">
        <v>626</v>
      </c>
      <c r="C269" t="s">
        <v>650</v>
      </c>
      <c r="D269" s="3">
        <v>31</v>
      </c>
      <c r="E269" s="3">
        <v>109</v>
      </c>
      <c r="F269" s="3">
        <v>481</v>
      </c>
      <c r="G269" s="3">
        <v>60</v>
      </c>
    </row>
    <row r="270" spans="1:7" x14ac:dyDescent="0.3">
      <c r="A270" t="s">
        <v>593</v>
      </c>
      <c r="B270" t="s">
        <v>656</v>
      </c>
      <c r="C270" t="s">
        <v>658</v>
      </c>
      <c r="D270" s="3">
        <v>31</v>
      </c>
      <c r="E270" s="3">
        <v>112</v>
      </c>
      <c r="F270" s="3">
        <v>489</v>
      </c>
      <c r="G270" s="3">
        <v>60</v>
      </c>
    </row>
    <row r="271" spans="1:7" x14ac:dyDescent="0.3">
      <c r="A271" t="s">
        <v>593</v>
      </c>
      <c r="B271" t="s">
        <v>656</v>
      </c>
      <c r="C271" t="s">
        <v>661</v>
      </c>
      <c r="D271" s="3">
        <v>31</v>
      </c>
      <c r="E271" s="3">
        <v>112</v>
      </c>
      <c r="F271" s="3">
        <v>492</v>
      </c>
      <c r="G271" s="3">
        <v>60</v>
      </c>
    </row>
    <row r="272" spans="1:7" x14ac:dyDescent="0.3">
      <c r="A272" t="s">
        <v>593</v>
      </c>
      <c r="B272" t="s">
        <v>656</v>
      </c>
      <c r="C272" t="s">
        <v>234</v>
      </c>
      <c r="D272" s="3">
        <v>31</v>
      </c>
      <c r="E272" s="3">
        <v>112</v>
      </c>
      <c r="F272" s="3">
        <v>493</v>
      </c>
      <c r="G272" s="3">
        <v>60</v>
      </c>
    </row>
    <row r="273" spans="1:7" x14ac:dyDescent="0.3">
      <c r="A273" t="s">
        <v>593</v>
      </c>
      <c r="B273" t="s">
        <v>656</v>
      </c>
      <c r="C273" t="s">
        <v>662</v>
      </c>
      <c r="D273" s="3">
        <v>31</v>
      </c>
      <c r="E273" s="3">
        <v>112</v>
      </c>
      <c r="F273" s="3">
        <v>494</v>
      </c>
      <c r="G273" s="3">
        <v>60</v>
      </c>
    </row>
    <row r="274" spans="1:7" x14ac:dyDescent="0.3">
      <c r="A274" t="s">
        <v>593</v>
      </c>
      <c r="B274" t="s">
        <v>656</v>
      </c>
      <c r="C274" t="s">
        <v>669</v>
      </c>
      <c r="D274" s="3">
        <v>31</v>
      </c>
      <c r="E274" s="3">
        <v>112</v>
      </c>
      <c r="F274" s="3">
        <v>501</v>
      </c>
      <c r="G274" s="3">
        <v>60</v>
      </c>
    </row>
    <row r="275" spans="1:7" x14ac:dyDescent="0.3">
      <c r="A275" t="s">
        <v>593</v>
      </c>
      <c r="B275" t="s">
        <v>656</v>
      </c>
      <c r="C275" t="s">
        <v>673</v>
      </c>
      <c r="D275" s="3">
        <v>31</v>
      </c>
      <c r="E275" s="3">
        <v>112</v>
      </c>
      <c r="F275" s="3">
        <v>506</v>
      </c>
      <c r="G275" s="3">
        <v>60</v>
      </c>
    </row>
    <row r="276" spans="1:7" x14ac:dyDescent="0.3">
      <c r="A276" t="s">
        <v>593</v>
      </c>
      <c r="B276" t="s">
        <v>683</v>
      </c>
      <c r="C276" t="s">
        <v>686</v>
      </c>
      <c r="D276" s="3">
        <v>31</v>
      </c>
      <c r="E276" s="3">
        <v>136</v>
      </c>
      <c r="F276" s="3">
        <v>618</v>
      </c>
      <c r="G276" s="3">
        <v>60</v>
      </c>
    </row>
    <row r="277" spans="1:7" x14ac:dyDescent="0.3">
      <c r="A277" t="s">
        <v>593</v>
      </c>
      <c r="B277" t="s">
        <v>694</v>
      </c>
      <c r="C277" t="s">
        <v>700</v>
      </c>
      <c r="D277" s="3">
        <v>31</v>
      </c>
      <c r="E277" s="3">
        <v>157</v>
      </c>
      <c r="F277" s="3">
        <v>690</v>
      </c>
      <c r="G277" s="3">
        <v>60</v>
      </c>
    </row>
    <row r="278" spans="1:7" x14ac:dyDescent="0.3">
      <c r="A278" t="s">
        <v>593</v>
      </c>
      <c r="B278" t="s">
        <v>703</v>
      </c>
      <c r="C278" t="s">
        <v>60</v>
      </c>
      <c r="D278" s="3">
        <v>31</v>
      </c>
      <c r="E278" s="3">
        <v>188</v>
      </c>
      <c r="F278" s="3">
        <v>880</v>
      </c>
      <c r="G278" s="3">
        <v>60</v>
      </c>
    </row>
    <row r="279" spans="1:7" x14ac:dyDescent="0.3">
      <c r="A279" t="s">
        <v>712</v>
      </c>
      <c r="B279" t="s">
        <v>713</v>
      </c>
      <c r="C279" t="s">
        <v>715</v>
      </c>
      <c r="D279" s="3">
        <v>33</v>
      </c>
      <c r="E279" s="3">
        <v>28</v>
      </c>
      <c r="F279" s="3">
        <v>105</v>
      </c>
      <c r="G279" s="3">
        <v>60</v>
      </c>
    </row>
    <row r="280" spans="1:7" x14ac:dyDescent="0.3">
      <c r="A280" t="s">
        <v>725</v>
      </c>
      <c r="B280" t="s">
        <v>729</v>
      </c>
      <c r="C280" t="s">
        <v>731</v>
      </c>
      <c r="D280" s="3">
        <v>35</v>
      </c>
      <c r="E280" s="3">
        <v>39</v>
      </c>
      <c r="F280" s="3">
        <v>149</v>
      </c>
      <c r="G280" s="3">
        <v>60</v>
      </c>
    </row>
    <row r="281" spans="1:7" x14ac:dyDescent="0.3">
      <c r="A281" t="s">
        <v>725</v>
      </c>
      <c r="B281" t="s">
        <v>729</v>
      </c>
      <c r="C281" t="s">
        <v>734</v>
      </c>
      <c r="D281" s="3">
        <v>35</v>
      </c>
      <c r="E281" s="3">
        <v>39</v>
      </c>
      <c r="F281" s="3">
        <v>154</v>
      </c>
      <c r="G281" s="3">
        <v>60</v>
      </c>
    </row>
    <row r="282" spans="1:7" x14ac:dyDescent="0.3">
      <c r="A282" t="s">
        <v>725</v>
      </c>
      <c r="B282" t="s">
        <v>737</v>
      </c>
      <c r="C282" t="s">
        <v>739</v>
      </c>
      <c r="D282" s="3">
        <v>35</v>
      </c>
      <c r="E282" s="3">
        <v>103</v>
      </c>
      <c r="F282" s="3">
        <v>386</v>
      </c>
      <c r="G282" s="3">
        <v>60</v>
      </c>
    </row>
    <row r="283" spans="1:7" x14ac:dyDescent="0.3">
      <c r="A283" t="s">
        <v>745</v>
      </c>
      <c r="B283" t="s">
        <v>757</v>
      </c>
      <c r="C283" t="s">
        <v>766</v>
      </c>
      <c r="D283" s="3">
        <v>36</v>
      </c>
      <c r="E283" s="3">
        <v>79</v>
      </c>
      <c r="F283" s="3">
        <v>297</v>
      </c>
      <c r="G283" s="3">
        <v>60</v>
      </c>
    </row>
    <row r="284" spans="1:7" x14ac:dyDescent="0.3">
      <c r="A284" t="s">
        <v>745</v>
      </c>
      <c r="B284" t="s">
        <v>757</v>
      </c>
      <c r="C284" t="s">
        <v>781</v>
      </c>
      <c r="D284" s="3">
        <v>36</v>
      </c>
      <c r="E284" s="3">
        <v>79</v>
      </c>
      <c r="F284" s="3">
        <v>312</v>
      </c>
      <c r="G284" s="3">
        <v>60</v>
      </c>
    </row>
    <row r="285" spans="1:7" x14ac:dyDescent="0.3">
      <c r="A285" t="s">
        <v>790</v>
      </c>
      <c r="B285" t="s">
        <v>791</v>
      </c>
      <c r="C285" t="s">
        <v>793</v>
      </c>
      <c r="D285" s="3">
        <v>37</v>
      </c>
      <c r="E285" s="3">
        <v>194</v>
      </c>
      <c r="F285" s="3">
        <v>897</v>
      </c>
      <c r="G285" s="3">
        <v>60</v>
      </c>
    </row>
    <row r="286" spans="1:7" x14ac:dyDescent="0.3">
      <c r="A286" t="s">
        <v>808</v>
      </c>
      <c r="B286" t="s">
        <v>810</v>
      </c>
      <c r="C286" t="s">
        <v>811</v>
      </c>
      <c r="D286" s="3">
        <v>38</v>
      </c>
      <c r="E286" s="3">
        <v>76</v>
      </c>
      <c r="F286" s="3">
        <v>261</v>
      </c>
      <c r="G286" s="3">
        <v>60</v>
      </c>
    </row>
    <row r="287" spans="1:7" x14ac:dyDescent="0.3">
      <c r="A287" t="s">
        <v>808</v>
      </c>
      <c r="B287" t="s">
        <v>810</v>
      </c>
      <c r="C287" t="s">
        <v>826</v>
      </c>
      <c r="D287" s="3">
        <v>38</v>
      </c>
      <c r="E287" s="3">
        <v>76</v>
      </c>
      <c r="F287" s="3">
        <v>279</v>
      </c>
      <c r="G287" s="3">
        <v>60</v>
      </c>
    </row>
    <row r="288" spans="1:7" x14ac:dyDescent="0.3">
      <c r="A288" t="s">
        <v>848</v>
      </c>
      <c r="B288" t="s">
        <v>849</v>
      </c>
      <c r="C288" t="s">
        <v>850</v>
      </c>
      <c r="D288" s="3">
        <v>42</v>
      </c>
      <c r="E288" s="3">
        <v>140</v>
      </c>
      <c r="F288" s="3">
        <v>623</v>
      </c>
      <c r="G288" s="3">
        <v>60</v>
      </c>
    </row>
    <row r="289" spans="1:7" x14ac:dyDescent="0.3">
      <c r="A289" t="s">
        <v>848</v>
      </c>
      <c r="B289" t="s">
        <v>849</v>
      </c>
      <c r="C289" t="s">
        <v>543</v>
      </c>
      <c r="D289" s="3">
        <v>42</v>
      </c>
      <c r="E289" s="3">
        <v>140</v>
      </c>
      <c r="F289" s="3">
        <v>624</v>
      </c>
      <c r="G289" s="3">
        <v>60</v>
      </c>
    </row>
    <row r="290" spans="1:7" x14ac:dyDescent="0.3">
      <c r="A290" t="s">
        <v>858</v>
      </c>
      <c r="B290" t="s">
        <v>859</v>
      </c>
      <c r="C290" t="s">
        <v>860</v>
      </c>
      <c r="D290" s="3">
        <v>45</v>
      </c>
      <c r="E290" s="3">
        <v>154</v>
      </c>
      <c r="F290" s="3">
        <v>680</v>
      </c>
      <c r="G290" s="3">
        <v>60</v>
      </c>
    </row>
    <row r="291" spans="1:7" x14ac:dyDescent="0.3">
      <c r="A291" t="s">
        <v>864</v>
      </c>
      <c r="B291" t="s">
        <v>865</v>
      </c>
      <c r="C291" t="s">
        <v>866</v>
      </c>
      <c r="D291" s="3">
        <v>47</v>
      </c>
      <c r="E291" s="3">
        <v>19</v>
      </c>
      <c r="F291" s="3">
        <v>76</v>
      </c>
      <c r="G291" s="3">
        <v>60</v>
      </c>
    </row>
    <row r="292" spans="1:7" x14ac:dyDescent="0.3">
      <c r="A292" t="s">
        <v>875</v>
      </c>
      <c r="B292" t="s">
        <v>896</v>
      </c>
      <c r="C292" t="s">
        <v>786</v>
      </c>
      <c r="D292" s="3">
        <v>50</v>
      </c>
      <c r="E292" s="3">
        <v>152</v>
      </c>
      <c r="F292" s="3">
        <v>669</v>
      </c>
      <c r="G292" s="3">
        <v>60</v>
      </c>
    </row>
    <row r="293" spans="1:7" x14ac:dyDescent="0.3">
      <c r="A293" t="s">
        <v>875</v>
      </c>
      <c r="B293" t="s">
        <v>896</v>
      </c>
      <c r="C293" t="s">
        <v>913</v>
      </c>
      <c r="D293" s="3">
        <v>50</v>
      </c>
      <c r="E293" s="3">
        <v>152</v>
      </c>
      <c r="F293" s="3">
        <v>674</v>
      </c>
      <c r="G293" s="3">
        <v>60</v>
      </c>
    </row>
    <row r="294" spans="1:7" x14ac:dyDescent="0.3">
      <c r="A294" t="s">
        <v>875</v>
      </c>
      <c r="B294" t="s">
        <v>918</v>
      </c>
      <c r="C294" t="s">
        <v>807</v>
      </c>
      <c r="D294" s="3">
        <v>50</v>
      </c>
      <c r="E294" s="3">
        <v>164</v>
      </c>
      <c r="F294" s="3">
        <v>714</v>
      </c>
      <c r="G294" s="3">
        <v>60</v>
      </c>
    </row>
    <row r="295" spans="1:7" x14ac:dyDescent="0.3">
      <c r="A295" t="s">
        <v>931</v>
      </c>
      <c r="B295" t="s">
        <v>932</v>
      </c>
      <c r="C295" t="s">
        <v>429</v>
      </c>
      <c r="D295" s="3">
        <v>53</v>
      </c>
      <c r="E295" s="3">
        <v>160</v>
      </c>
      <c r="F295" s="3">
        <v>694</v>
      </c>
      <c r="G295" s="3">
        <v>60</v>
      </c>
    </row>
    <row r="296" spans="1:7" x14ac:dyDescent="0.3">
      <c r="A296" t="s">
        <v>957</v>
      </c>
      <c r="B296" t="s">
        <v>962</v>
      </c>
      <c r="C296" t="s">
        <v>196</v>
      </c>
      <c r="D296" s="3">
        <v>59</v>
      </c>
      <c r="E296" s="3">
        <v>195</v>
      </c>
      <c r="F296" s="3">
        <v>920</v>
      </c>
      <c r="G296" s="3">
        <v>60</v>
      </c>
    </row>
    <row r="297" spans="1:7" x14ac:dyDescent="0.3">
      <c r="A297" t="s">
        <v>28</v>
      </c>
      <c r="B297" t="s">
        <v>37</v>
      </c>
      <c r="C297" t="s">
        <v>55</v>
      </c>
      <c r="D297" s="3">
        <v>4</v>
      </c>
      <c r="E297" s="3">
        <v>15</v>
      </c>
      <c r="F297" s="3">
        <v>61</v>
      </c>
      <c r="G297" s="3">
        <v>70</v>
      </c>
    </row>
    <row r="298" spans="1:7" x14ac:dyDescent="0.3">
      <c r="A298" t="s">
        <v>75</v>
      </c>
      <c r="B298" t="s">
        <v>82</v>
      </c>
      <c r="C298" t="s">
        <v>83</v>
      </c>
      <c r="D298" s="3">
        <v>7</v>
      </c>
      <c r="E298" s="3">
        <v>178</v>
      </c>
      <c r="F298" s="3">
        <v>760</v>
      </c>
      <c r="G298" s="3">
        <v>70</v>
      </c>
    </row>
    <row r="299" spans="1:7" x14ac:dyDescent="0.3">
      <c r="A299" t="s">
        <v>75</v>
      </c>
      <c r="B299" t="s">
        <v>82</v>
      </c>
      <c r="C299" t="s">
        <v>88</v>
      </c>
      <c r="D299" s="3">
        <v>7</v>
      </c>
      <c r="E299" s="3">
        <v>178</v>
      </c>
      <c r="F299" s="3">
        <v>765</v>
      </c>
      <c r="G299" s="3">
        <v>70</v>
      </c>
    </row>
    <row r="300" spans="1:7" x14ac:dyDescent="0.3">
      <c r="A300" t="s">
        <v>75</v>
      </c>
      <c r="B300" t="s">
        <v>82</v>
      </c>
      <c r="C300" t="s">
        <v>104</v>
      </c>
      <c r="D300" s="3">
        <v>7</v>
      </c>
      <c r="E300" s="3">
        <v>178</v>
      </c>
      <c r="F300" s="3">
        <v>781</v>
      </c>
      <c r="G300" s="3">
        <v>70</v>
      </c>
    </row>
    <row r="301" spans="1:7" x14ac:dyDescent="0.3">
      <c r="A301" t="s">
        <v>75</v>
      </c>
      <c r="B301" t="s">
        <v>82</v>
      </c>
      <c r="C301" t="s">
        <v>112</v>
      </c>
      <c r="D301" s="3">
        <v>7</v>
      </c>
      <c r="E301" s="3">
        <v>178</v>
      </c>
      <c r="F301" s="3">
        <v>789</v>
      </c>
      <c r="G301" s="3">
        <v>70</v>
      </c>
    </row>
    <row r="302" spans="1:7" x14ac:dyDescent="0.3">
      <c r="A302" t="s">
        <v>75</v>
      </c>
      <c r="B302" t="s">
        <v>82</v>
      </c>
      <c r="C302" t="s">
        <v>115</v>
      </c>
      <c r="D302" s="3">
        <v>7</v>
      </c>
      <c r="E302" s="3">
        <v>178</v>
      </c>
      <c r="F302" s="3">
        <v>792</v>
      </c>
      <c r="G302" s="3">
        <v>70</v>
      </c>
    </row>
    <row r="303" spans="1:7" x14ac:dyDescent="0.3">
      <c r="A303" t="s">
        <v>75</v>
      </c>
      <c r="B303" t="s">
        <v>82</v>
      </c>
      <c r="C303" t="s">
        <v>120</v>
      </c>
      <c r="D303" s="3">
        <v>7</v>
      </c>
      <c r="E303" s="3">
        <v>178</v>
      </c>
      <c r="F303" s="3">
        <v>797</v>
      </c>
      <c r="G303" s="3">
        <v>70</v>
      </c>
    </row>
    <row r="304" spans="1:7" x14ac:dyDescent="0.3">
      <c r="A304" t="s">
        <v>158</v>
      </c>
      <c r="B304" t="s">
        <v>159</v>
      </c>
      <c r="C304" t="s">
        <v>165</v>
      </c>
      <c r="D304" s="3">
        <v>13</v>
      </c>
      <c r="E304" s="3">
        <v>38</v>
      </c>
      <c r="F304" s="3">
        <v>143</v>
      </c>
      <c r="G304" s="3">
        <v>70</v>
      </c>
    </row>
    <row r="305" spans="1:7" x14ac:dyDescent="0.3">
      <c r="A305" t="s">
        <v>171</v>
      </c>
      <c r="B305" t="s">
        <v>172</v>
      </c>
      <c r="C305" t="s">
        <v>175</v>
      </c>
      <c r="D305" s="3">
        <v>15</v>
      </c>
      <c r="E305" s="3">
        <v>91</v>
      </c>
      <c r="F305" s="3">
        <v>347</v>
      </c>
      <c r="G305" s="3">
        <v>70</v>
      </c>
    </row>
    <row r="306" spans="1:7" x14ac:dyDescent="0.3">
      <c r="A306" t="s">
        <v>171</v>
      </c>
      <c r="B306" t="s">
        <v>172</v>
      </c>
      <c r="C306" t="s">
        <v>186</v>
      </c>
      <c r="D306" s="3">
        <v>15</v>
      </c>
      <c r="E306" s="3">
        <v>91</v>
      </c>
      <c r="F306" s="3">
        <v>358</v>
      </c>
      <c r="G306" s="3">
        <v>70</v>
      </c>
    </row>
    <row r="307" spans="1:7" x14ac:dyDescent="0.3">
      <c r="A307" t="s">
        <v>171</v>
      </c>
      <c r="B307" t="s">
        <v>188</v>
      </c>
      <c r="C307" t="s">
        <v>196</v>
      </c>
      <c r="D307" s="3">
        <v>15</v>
      </c>
      <c r="E307" s="3">
        <v>107</v>
      </c>
      <c r="F307" s="3">
        <v>418</v>
      </c>
      <c r="G307" s="3">
        <v>70</v>
      </c>
    </row>
    <row r="308" spans="1:7" x14ac:dyDescent="0.3">
      <c r="A308" t="s">
        <v>171</v>
      </c>
      <c r="B308" t="s">
        <v>188</v>
      </c>
      <c r="C308" t="s">
        <v>197</v>
      </c>
      <c r="D308" s="3">
        <v>15</v>
      </c>
      <c r="E308" s="3">
        <v>107</v>
      </c>
      <c r="F308" s="3">
        <v>419</v>
      </c>
      <c r="G308" s="3">
        <v>70</v>
      </c>
    </row>
    <row r="309" spans="1:7" x14ac:dyDescent="0.3">
      <c r="A309" t="s">
        <v>171</v>
      </c>
      <c r="B309" t="s">
        <v>188</v>
      </c>
      <c r="C309" t="s">
        <v>207</v>
      </c>
      <c r="D309" s="3">
        <v>15</v>
      </c>
      <c r="E309" s="3">
        <v>107</v>
      </c>
      <c r="F309" s="3">
        <v>431</v>
      </c>
      <c r="G309" s="3">
        <v>70</v>
      </c>
    </row>
    <row r="310" spans="1:7" x14ac:dyDescent="0.3">
      <c r="A310" t="s">
        <v>171</v>
      </c>
      <c r="B310" t="s">
        <v>188</v>
      </c>
      <c r="C310" t="s">
        <v>212</v>
      </c>
      <c r="D310" s="3">
        <v>15</v>
      </c>
      <c r="E310" s="3">
        <v>107</v>
      </c>
      <c r="F310" s="3">
        <v>436</v>
      </c>
      <c r="G310" s="3">
        <v>70</v>
      </c>
    </row>
    <row r="311" spans="1:7" x14ac:dyDescent="0.3">
      <c r="A311" t="s">
        <v>222</v>
      </c>
      <c r="B311" t="s">
        <v>231</v>
      </c>
      <c r="C311" t="s">
        <v>233</v>
      </c>
      <c r="D311" s="3">
        <v>16</v>
      </c>
      <c r="E311" s="3">
        <v>163</v>
      </c>
      <c r="F311" s="3">
        <v>705</v>
      </c>
      <c r="G311" s="3">
        <v>70</v>
      </c>
    </row>
    <row r="312" spans="1:7" x14ac:dyDescent="0.3">
      <c r="A312" t="s">
        <v>239</v>
      </c>
      <c r="B312" t="s">
        <v>245</v>
      </c>
      <c r="C312" t="s">
        <v>84</v>
      </c>
      <c r="D312" s="3">
        <v>17</v>
      </c>
      <c r="E312" s="3">
        <v>185</v>
      </c>
      <c r="F312" s="3">
        <v>816</v>
      </c>
      <c r="G312" s="3">
        <v>70</v>
      </c>
    </row>
    <row r="313" spans="1:7" x14ac:dyDescent="0.3">
      <c r="A313" t="s">
        <v>317</v>
      </c>
      <c r="B313" t="s">
        <v>318</v>
      </c>
      <c r="C313" t="s">
        <v>319</v>
      </c>
      <c r="D313" s="3">
        <v>20</v>
      </c>
      <c r="E313" s="3">
        <v>60</v>
      </c>
      <c r="F313" s="3">
        <v>212</v>
      </c>
      <c r="G313" s="3">
        <v>70</v>
      </c>
    </row>
    <row r="314" spans="1:7" x14ac:dyDescent="0.3">
      <c r="A314" t="s">
        <v>331</v>
      </c>
      <c r="B314" t="s">
        <v>342</v>
      </c>
      <c r="C314" t="s">
        <v>343</v>
      </c>
      <c r="D314" s="3">
        <v>22</v>
      </c>
      <c r="E314" s="3">
        <v>187</v>
      </c>
      <c r="F314" s="3">
        <v>879</v>
      </c>
      <c r="G314" s="3">
        <v>70</v>
      </c>
    </row>
    <row r="315" spans="1:7" x14ac:dyDescent="0.3">
      <c r="A315" t="s">
        <v>363</v>
      </c>
      <c r="B315" t="s">
        <v>379</v>
      </c>
      <c r="C315" t="s">
        <v>27</v>
      </c>
      <c r="D315" s="3">
        <v>26</v>
      </c>
      <c r="E315" s="3">
        <v>123</v>
      </c>
      <c r="F315" s="3">
        <v>544</v>
      </c>
      <c r="G315" s="3">
        <v>70</v>
      </c>
    </row>
    <row r="316" spans="1:7" x14ac:dyDescent="0.3">
      <c r="A316" t="s">
        <v>363</v>
      </c>
      <c r="B316" t="s">
        <v>413</v>
      </c>
      <c r="C316" t="s">
        <v>414</v>
      </c>
      <c r="D316" s="3">
        <v>26</v>
      </c>
      <c r="E316" s="3">
        <v>149</v>
      </c>
      <c r="F316" s="3">
        <v>642</v>
      </c>
      <c r="G316" s="3">
        <v>70</v>
      </c>
    </row>
    <row r="317" spans="1:7" x14ac:dyDescent="0.3">
      <c r="A317" t="s">
        <v>416</v>
      </c>
      <c r="B317" t="s">
        <v>427</v>
      </c>
      <c r="C317" t="s">
        <v>367</v>
      </c>
      <c r="D317" s="3">
        <v>27</v>
      </c>
      <c r="E317" s="3">
        <v>73</v>
      </c>
      <c r="F317" s="3">
        <v>237</v>
      </c>
      <c r="G317" s="3">
        <v>70</v>
      </c>
    </row>
    <row r="318" spans="1:7" x14ac:dyDescent="0.3">
      <c r="A318" t="s">
        <v>416</v>
      </c>
      <c r="B318" t="s">
        <v>427</v>
      </c>
      <c r="C318" t="s">
        <v>444</v>
      </c>
      <c r="D318" s="3">
        <v>27</v>
      </c>
      <c r="E318" s="3">
        <v>73</v>
      </c>
      <c r="F318" s="3">
        <v>255</v>
      </c>
      <c r="G318" s="3">
        <v>70</v>
      </c>
    </row>
    <row r="319" spans="1:7" x14ac:dyDescent="0.3">
      <c r="A319" t="s">
        <v>456</v>
      </c>
      <c r="B319" t="s">
        <v>457</v>
      </c>
      <c r="C319" t="s">
        <v>461</v>
      </c>
      <c r="D319" s="3">
        <v>29</v>
      </c>
      <c r="E319" s="3">
        <v>2</v>
      </c>
      <c r="F319" s="3">
        <v>9</v>
      </c>
      <c r="G319" s="3">
        <v>70</v>
      </c>
    </row>
    <row r="320" spans="1:7" x14ac:dyDescent="0.3">
      <c r="A320" t="s">
        <v>456</v>
      </c>
      <c r="B320" t="s">
        <v>474</v>
      </c>
      <c r="C320" t="s">
        <v>480</v>
      </c>
      <c r="D320" s="3">
        <v>29</v>
      </c>
      <c r="E320" s="3">
        <v>31</v>
      </c>
      <c r="F320" s="3">
        <v>121</v>
      </c>
      <c r="G320" s="3">
        <v>70</v>
      </c>
    </row>
    <row r="321" spans="1:7" x14ac:dyDescent="0.3">
      <c r="A321" t="s">
        <v>456</v>
      </c>
      <c r="B321" t="s">
        <v>481</v>
      </c>
      <c r="C321" t="s">
        <v>482</v>
      </c>
      <c r="D321" s="3">
        <v>29</v>
      </c>
      <c r="E321" s="3">
        <v>37</v>
      </c>
      <c r="F321" s="3">
        <v>136</v>
      </c>
      <c r="G321" s="3">
        <v>70</v>
      </c>
    </row>
    <row r="322" spans="1:7" x14ac:dyDescent="0.3">
      <c r="A322" t="s">
        <v>456</v>
      </c>
      <c r="B322" t="s">
        <v>483</v>
      </c>
      <c r="C322" t="s">
        <v>486</v>
      </c>
      <c r="D322" s="3">
        <v>29</v>
      </c>
      <c r="E322" s="3">
        <v>47</v>
      </c>
      <c r="F322" s="3">
        <v>167</v>
      </c>
      <c r="G322" s="3">
        <v>70</v>
      </c>
    </row>
    <row r="323" spans="1:7" x14ac:dyDescent="0.3">
      <c r="A323" t="s">
        <v>456</v>
      </c>
      <c r="B323" t="s">
        <v>492</v>
      </c>
      <c r="C323" t="s">
        <v>494</v>
      </c>
      <c r="D323" s="3">
        <v>29</v>
      </c>
      <c r="E323" s="3">
        <v>58</v>
      </c>
      <c r="F323" s="3">
        <v>209</v>
      </c>
      <c r="G323" s="3">
        <v>70</v>
      </c>
    </row>
    <row r="324" spans="1:7" x14ac:dyDescent="0.3">
      <c r="A324" t="s">
        <v>456</v>
      </c>
      <c r="B324" t="s">
        <v>507</v>
      </c>
      <c r="C324" t="s">
        <v>508</v>
      </c>
      <c r="D324" s="3">
        <v>29</v>
      </c>
      <c r="E324" s="3">
        <v>106</v>
      </c>
      <c r="F324" s="3">
        <v>400</v>
      </c>
      <c r="G324" s="3">
        <v>70</v>
      </c>
    </row>
    <row r="325" spans="1:7" x14ac:dyDescent="0.3">
      <c r="A325" t="s">
        <v>456</v>
      </c>
      <c r="B325" t="s">
        <v>522</v>
      </c>
      <c r="C325" t="s">
        <v>523</v>
      </c>
      <c r="D325" s="3">
        <v>29</v>
      </c>
      <c r="E325" s="3">
        <v>134</v>
      </c>
      <c r="F325" s="3">
        <v>614</v>
      </c>
      <c r="G325" s="3">
        <v>70</v>
      </c>
    </row>
    <row r="326" spans="1:7" x14ac:dyDescent="0.3">
      <c r="A326" t="s">
        <v>536</v>
      </c>
      <c r="B326" t="s">
        <v>560</v>
      </c>
      <c r="C326" t="s">
        <v>561</v>
      </c>
      <c r="D326" s="3">
        <v>30</v>
      </c>
      <c r="E326" s="3">
        <v>117</v>
      </c>
      <c r="F326" s="3">
        <v>524</v>
      </c>
      <c r="G326" s="3">
        <v>70</v>
      </c>
    </row>
    <row r="327" spans="1:7" x14ac:dyDescent="0.3">
      <c r="A327" t="s">
        <v>536</v>
      </c>
      <c r="B327" t="s">
        <v>562</v>
      </c>
      <c r="C327" t="s">
        <v>546</v>
      </c>
      <c r="D327" s="3">
        <v>30</v>
      </c>
      <c r="E327" s="3">
        <v>125</v>
      </c>
      <c r="F327" s="3">
        <v>567</v>
      </c>
      <c r="G327" s="3">
        <v>70</v>
      </c>
    </row>
    <row r="328" spans="1:7" x14ac:dyDescent="0.3">
      <c r="A328" t="s">
        <v>593</v>
      </c>
      <c r="B328" t="s">
        <v>601</v>
      </c>
      <c r="C328" t="s">
        <v>606</v>
      </c>
      <c r="D328" s="3">
        <v>31</v>
      </c>
      <c r="E328" s="3">
        <v>54</v>
      </c>
      <c r="F328" s="3">
        <v>192</v>
      </c>
      <c r="G328" s="3">
        <v>70</v>
      </c>
    </row>
    <row r="329" spans="1:7" x14ac:dyDescent="0.3">
      <c r="A329" t="s">
        <v>593</v>
      </c>
      <c r="B329" t="s">
        <v>601</v>
      </c>
      <c r="C329" t="s">
        <v>613</v>
      </c>
      <c r="D329" s="3">
        <v>31</v>
      </c>
      <c r="E329" s="3">
        <v>54</v>
      </c>
      <c r="F329" s="3">
        <v>200</v>
      </c>
      <c r="G329" s="3">
        <v>70</v>
      </c>
    </row>
    <row r="330" spans="1:7" x14ac:dyDescent="0.3">
      <c r="A330" t="s">
        <v>593</v>
      </c>
      <c r="B330" t="s">
        <v>626</v>
      </c>
      <c r="C330" t="s">
        <v>628</v>
      </c>
      <c r="D330" s="3">
        <v>31</v>
      </c>
      <c r="E330" s="3">
        <v>109</v>
      </c>
      <c r="F330" s="3">
        <v>459</v>
      </c>
      <c r="G330" s="3">
        <v>70</v>
      </c>
    </row>
    <row r="331" spans="1:7" x14ac:dyDescent="0.3">
      <c r="A331" t="s">
        <v>593</v>
      </c>
      <c r="B331" t="s">
        <v>626</v>
      </c>
      <c r="C331" t="s">
        <v>639</v>
      </c>
      <c r="D331" s="3">
        <v>31</v>
      </c>
      <c r="E331" s="3">
        <v>109</v>
      </c>
      <c r="F331" s="3">
        <v>470</v>
      </c>
      <c r="G331" s="3">
        <v>70</v>
      </c>
    </row>
    <row r="332" spans="1:7" x14ac:dyDescent="0.3">
      <c r="A332" t="s">
        <v>593</v>
      </c>
      <c r="B332" t="s">
        <v>626</v>
      </c>
      <c r="C332" t="s">
        <v>645</v>
      </c>
      <c r="D332" s="3">
        <v>31</v>
      </c>
      <c r="E332" s="3">
        <v>109</v>
      </c>
      <c r="F332" s="3">
        <v>476</v>
      </c>
      <c r="G332" s="3">
        <v>70</v>
      </c>
    </row>
    <row r="333" spans="1:7" x14ac:dyDescent="0.3">
      <c r="A333" t="s">
        <v>725</v>
      </c>
      <c r="B333" t="s">
        <v>729</v>
      </c>
      <c r="C333" t="s">
        <v>733</v>
      </c>
      <c r="D333" s="3">
        <v>35</v>
      </c>
      <c r="E333" s="3">
        <v>39</v>
      </c>
      <c r="F333" s="3">
        <v>151</v>
      </c>
      <c r="G333" s="3">
        <v>70</v>
      </c>
    </row>
    <row r="334" spans="1:7" x14ac:dyDescent="0.3">
      <c r="A334" t="s">
        <v>745</v>
      </c>
      <c r="B334" t="s">
        <v>757</v>
      </c>
      <c r="C334" t="s">
        <v>779</v>
      </c>
      <c r="D334" s="3">
        <v>36</v>
      </c>
      <c r="E334" s="3">
        <v>79</v>
      </c>
      <c r="F334" s="3">
        <v>310</v>
      </c>
      <c r="G334" s="3">
        <v>70</v>
      </c>
    </row>
    <row r="335" spans="1:7" x14ac:dyDescent="0.3">
      <c r="A335" t="s">
        <v>745</v>
      </c>
      <c r="B335" t="s">
        <v>757</v>
      </c>
      <c r="C335" t="s">
        <v>782</v>
      </c>
      <c r="D335" s="3">
        <v>36</v>
      </c>
      <c r="E335" s="3">
        <v>79</v>
      </c>
      <c r="F335" s="3">
        <v>313</v>
      </c>
      <c r="G335" s="3">
        <v>70</v>
      </c>
    </row>
    <row r="336" spans="1:7" x14ac:dyDescent="0.3">
      <c r="A336" t="s">
        <v>745</v>
      </c>
      <c r="B336" t="s">
        <v>757</v>
      </c>
      <c r="C336" t="s">
        <v>786</v>
      </c>
      <c r="D336" s="3">
        <v>36</v>
      </c>
      <c r="E336" s="3">
        <v>79</v>
      </c>
      <c r="F336" s="3">
        <v>319</v>
      </c>
      <c r="G336" s="3">
        <v>70</v>
      </c>
    </row>
    <row r="337" spans="1:7" x14ac:dyDescent="0.3">
      <c r="A337" t="s">
        <v>745</v>
      </c>
      <c r="B337" t="s">
        <v>757</v>
      </c>
      <c r="C337" t="s">
        <v>787</v>
      </c>
      <c r="D337" s="3">
        <v>36</v>
      </c>
      <c r="E337" s="3">
        <v>79</v>
      </c>
      <c r="F337" s="3">
        <v>320</v>
      </c>
      <c r="G337" s="3">
        <v>70</v>
      </c>
    </row>
    <row r="338" spans="1:7" x14ac:dyDescent="0.3">
      <c r="A338" t="s">
        <v>745</v>
      </c>
      <c r="B338" t="s">
        <v>757</v>
      </c>
      <c r="C338" t="s">
        <v>789</v>
      </c>
      <c r="D338" s="3">
        <v>36</v>
      </c>
      <c r="E338" s="3">
        <v>79</v>
      </c>
      <c r="F338" s="3">
        <v>322</v>
      </c>
      <c r="G338" s="3">
        <v>70</v>
      </c>
    </row>
    <row r="339" spans="1:7" x14ac:dyDescent="0.3">
      <c r="A339" t="s">
        <v>790</v>
      </c>
      <c r="B339" t="s">
        <v>791</v>
      </c>
      <c r="C339" t="s">
        <v>804</v>
      </c>
      <c r="D339" s="3">
        <v>37</v>
      </c>
      <c r="E339" s="3">
        <v>194</v>
      </c>
      <c r="F339" s="3">
        <v>910</v>
      </c>
      <c r="G339" s="3">
        <v>70</v>
      </c>
    </row>
    <row r="340" spans="1:7" x14ac:dyDescent="0.3">
      <c r="A340" t="s">
        <v>869</v>
      </c>
      <c r="B340" t="s">
        <v>870</v>
      </c>
      <c r="C340" t="s">
        <v>871</v>
      </c>
      <c r="D340" s="3">
        <v>48</v>
      </c>
      <c r="E340" s="3">
        <v>129</v>
      </c>
      <c r="F340" s="3">
        <v>597</v>
      </c>
      <c r="G340" s="3">
        <v>70</v>
      </c>
    </row>
    <row r="341" spans="1:7" x14ac:dyDescent="0.3">
      <c r="A341" t="s">
        <v>875</v>
      </c>
      <c r="B341" t="s">
        <v>876</v>
      </c>
      <c r="C341" t="s">
        <v>877</v>
      </c>
      <c r="D341" s="3">
        <v>50</v>
      </c>
      <c r="E341" s="3">
        <v>26</v>
      </c>
      <c r="F341" s="3">
        <v>98</v>
      </c>
      <c r="G341" s="3">
        <v>70</v>
      </c>
    </row>
    <row r="342" spans="1:7" x14ac:dyDescent="0.3">
      <c r="A342" t="s">
        <v>875</v>
      </c>
      <c r="B342" t="s">
        <v>876</v>
      </c>
      <c r="C342" t="s">
        <v>60</v>
      </c>
      <c r="D342" s="3">
        <v>50</v>
      </c>
      <c r="E342" s="3">
        <v>26</v>
      </c>
      <c r="F342" s="3">
        <v>99</v>
      </c>
      <c r="G342" s="3">
        <v>70</v>
      </c>
    </row>
    <row r="343" spans="1:7" x14ac:dyDescent="0.3">
      <c r="A343" t="s">
        <v>875</v>
      </c>
      <c r="B343" t="s">
        <v>887</v>
      </c>
      <c r="C343" t="s">
        <v>400</v>
      </c>
      <c r="D343" s="3">
        <v>50</v>
      </c>
      <c r="E343" s="3">
        <v>104</v>
      </c>
      <c r="F343" s="3">
        <v>389</v>
      </c>
      <c r="G343" s="3">
        <v>70</v>
      </c>
    </row>
    <row r="344" spans="1:7" x14ac:dyDescent="0.3">
      <c r="A344" t="s">
        <v>875</v>
      </c>
      <c r="B344" t="s">
        <v>896</v>
      </c>
      <c r="C344" t="s">
        <v>897</v>
      </c>
      <c r="D344" s="3">
        <v>50</v>
      </c>
      <c r="E344" s="3">
        <v>152</v>
      </c>
      <c r="F344" s="3">
        <v>648</v>
      </c>
      <c r="G344" s="3">
        <v>70</v>
      </c>
    </row>
    <row r="345" spans="1:7" x14ac:dyDescent="0.3">
      <c r="A345" t="s">
        <v>875</v>
      </c>
      <c r="B345" t="s">
        <v>896</v>
      </c>
      <c r="C345" t="s">
        <v>907</v>
      </c>
      <c r="D345" s="3">
        <v>50</v>
      </c>
      <c r="E345" s="3">
        <v>152</v>
      </c>
      <c r="F345" s="3">
        <v>660</v>
      </c>
      <c r="G345" s="3">
        <v>70</v>
      </c>
    </row>
    <row r="346" spans="1:7" x14ac:dyDescent="0.3">
      <c r="A346" t="s">
        <v>875</v>
      </c>
      <c r="B346" t="s">
        <v>896</v>
      </c>
      <c r="C346" t="s">
        <v>290</v>
      </c>
      <c r="D346" s="3">
        <v>50</v>
      </c>
      <c r="E346" s="3">
        <v>152</v>
      </c>
      <c r="F346" s="3">
        <v>668</v>
      </c>
      <c r="G346" s="3">
        <v>70</v>
      </c>
    </row>
    <row r="347" spans="1:7" x14ac:dyDescent="0.3">
      <c r="A347" t="s">
        <v>875</v>
      </c>
      <c r="B347" t="s">
        <v>920</v>
      </c>
      <c r="C347" t="s">
        <v>568</v>
      </c>
      <c r="D347" s="3">
        <v>50</v>
      </c>
      <c r="E347" s="3">
        <v>177</v>
      </c>
      <c r="F347" s="3">
        <v>757</v>
      </c>
      <c r="G347" s="3">
        <v>70</v>
      </c>
    </row>
    <row r="348" spans="1:7" x14ac:dyDescent="0.3">
      <c r="A348" t="s">
        <v>924</v>
      </c>
      <c r="B348" t="s">
        <v>927</v>
      </c>
      <c r="C348" t="s">
        <v>367</v>
      </c>
      <c r="D348" s="3">
        <v>51</v>
      </c>
      <c r="E348" s="3">
        <v>172</v>
      </c>
      <c r="F348" s="3">
        <v>731</v>
      </c>
      <c r="G348" s="3">
        <v>70</v>
      </c>
    </row>
    <row r="349" spans="1:7" x14ac:dyDescent="0.3">
      <c r="A349" t="s">
        <v>931</v>
      </c>
      <c r="B349" t="s">
        <v>932</v>
      </c>
      <c r="C349" t="s">
        <v>933</v>
      </c>
      <c r="D349" s="3">
        <v>53</v>
      </c>
      <c r="E349" s="3">
        <v>160</v>
      </c>
      <c r="F349" s="3">
        <v>695</v>
      </c>
      <c r="G349" s="3">
        <v>70</v>
      </c>
    </row>
    <row r="350" spans="1:7" x14ac:dyDescent="0.3">
      <c r="A350" t="s">
        <v>957</v>
      </c>
      <c r="B350" t="s">
        <v>962</v>
      </c>
      <c r="C350" t="s">
        <v>964</v>
      </c>
      <c r="D350" s="3">
        <v>59</v>
      </c>
      <c r="E350" s="3">
        <v>195</v>
      </c>
      <c r="F350" s="3">
        <v>924</v>
      </c>
      <c r="G350" s="3">
        <v>70</v>
      </c>
    </row>
    <row r="351" spans="1:7" x14ac:dyDescent="0.3">
      <c r="A351" t="s">
        <v>28</v>
      </c>
      <c r="B351" t="s">
        <v>37</v>
      </c>
      <c r="C351" t="s">
        <v>53</v>
      </c>
      <c r="D351" s="3">
        <v>4</v>
      </c>
      <c r="E351" s="3">
        <v>15</v>
      </c>
      <c r="F351" s="3">
        <v>59</v>
      </c>
      <c r="G351" s="3">
        <v>80</v>
      </c>
    </row>
    <row r="352" spans="1:7" x14ac:dyDescent="0.3">
      <c r="A352" t="s">
        <v>28</v>
      </c>
      <c r="B352" t="s">
        <v>37</v>
      </c>
      <c r="C352" t="s">
        <v>59</v>
      </c>
      <c r="D352" s="3">
        <v>4</v>
      </c>
      <c r="E352" s="3">
        <v>15</v>
      </c>
      <c r="F352" s="3">
        <v>65</v>
      </c>
      <c r="G352" s="3">
        <v>80</v>
      </c>
    </row>
    <row r="353" spans="1:7" x14ac:dyDescent="0.3">
      <c r="A353" t="s">
        <v>75</v>
      </c>
      <c r="B353" t="s">
        <v>82</v>
      </c>
      <c r="C353" t="s">
        <v>96</v>
      </c>
      <c r="D353" s="3">
        <v>7</v>
      </c>
      <c r="E353" s="3">
        <v>178</v>
      </c>
      <c r="F353" s="3">
        <v>773</v>
      </c>
      <c r="G353" s="3">
        <v>80</v>
      </c>
    </row>
    <row r="354" spans="1:7" x14ac:dyDescent="0.3">
      <c r="A354" t="s">
        <v>158</v>
      </c>
      <c r="B354" t="s">
        <v>159</v>
      </c>
      <c r="C354" t="s">
        <v>162</v>
      </c>
      <c r="D354" s="3">
        <v>13</v>
      </c>
      <c r="E354" s="3">
        <v>38</v>
      </c>
      <c r="F354" s="3">
        <v>140</v>
      </c>
      <c r="G354" s="3">
        <v>80</v>
      </c>
    </row>
    <row r="355" spans="1:7" x14ac:dyDescent="0.3">
      <c r="A355" t="s">
        <v>171</v>
      </c>
      <c r="B355" t="s">
        <v>188</v>
      </c>
      <c r="C355" t="s">
        <v>191</v>
      </c>
      <c r="D355" s="3">
        <v>15</v>
      </c>
      <c r="E355" s="3">
        <v>107</v>
      </c>
      <c r="F355" s="3">
        <v>411</v>
      </c>
      <c r="G355" s="3">
        <v>80</v>
      </c>
    </row>
    <row r="356" spans="1:7" x14ac:dyDescent="0.3">
      <c r="A356" t="s">
        <v>171</v>
      </c>
      <c r="B356" t="s">
        <v>188</v>
      </c>
      <c r="C356" t="s">
        <v>192</v>
      </c>
      <c r="D356" s="3">
        <v>15</v>
      </c>
      <c r="E356" s="3">
        <v>107</v>
      </c>
      <c r="F356" s="3">
        <v>412</v>
      </c>
      <c r="G356" s="3">
        <v>80</v>
      </c>
    </row>
    <row r="357" spans="1:7" x14ac:dyDescent="0.3">
      <c r="A357" t="s">
        <v>171</v>
      </c>
      <c r="B357" t="s">
        <v>188</v>
      </c>
      <c r="C357" t="s">
        <v>213</v>
      </c>
      <c r="D357" s="3">
        <v>15</v>
      </c>
      <c r="E357" s="3">
        <v>107</v>
      </c>
      <c r="F357" s="3">
        <v>438</v>
      </c>
      <c r="G357" s="3">
        <v>80</v>
      </c>
    </row>
    <row r="358" spans="1:7" x14ac:dyDescent="0.3">
      <c r="A358" t="s">
        <v>222</v>
      </c>
      <c r="B358" t="s">
        <v>223</v>
      </c>
      <c r="C358" t="s">
        <v>226</v>
      </c>
      <c r="D358" s="3">
        <v>16</v>
      </c>
      <c r="E358" s="3">
        <v>32</v>
      </c>
      <c r="F358" s="3">
        <v>124</v>
      </c>
      <c r="G358" s="3">
        <v>80</v>
      </c>
    </row>
    <row r="359" spans="1:7" x14ac:dyDescent="0.3">
      <c r="A359" t="s">
        <v>239</v>
      </c>
      <c r="B359" t="s">
        <v>240</v>
      </c>
      <c r="C359" t="s">
        <v>243</v>
      </c>
      <c r="D359" s="3">
        <v>17</v>
      </c>
      <c r="E359" s="3">
        <v>25</v>
      </c>
      <c r="F359" s="3">
        <v>95</v>
      </c>
      <c r="G359" s="3">
        <v>80</v>
      </c>
    </row>
    <row r="360" spans="1:7" x14ac:dyDescent="0.3">
      <c r="A360" t="s">
        <v>239</v>
      </c>
      <c r="B360" t="s">
        <v>245</v>
      </c>
      <c r="C360" t="s">
        <v>252</v>
      </c>
      <c r="D360" s="3">
        <v>17</v>
      </c>
      <c r="E360" s="3">
        <v>185</v>
      </c>
      <c r="F360" s="3">
        <v>819</v>
      </c>
      <c r="G360" s="3">
        <v>80</v>
      </c>
    </row>
    <row r="361" spans="1:7" x14ac:dyDescent="0.3">
      <c r="A361" t="s">
        <v>239</v>
      </c>
      <c r="B361" t="s">
        <v>245</v>
      </c>
      <c r="C361" t="s">
        <v>285</v>
      </c>
      <c r="D361" s="3">
        <v>17</v>
      </c>
      <c r="E361" s="3">
        <v>185</v>
      </c>
      <c r="F361" s="3">
        <v>854</v>
      </c>
      <c r="G361" s="3">
        <v>80</v>
      </c>
    </row>
    <row r="362" spans="1:7" x14ac:dyDescent="0.3">
      <c r="A362" t="s">
        <v>363</v>
      </c>
      <c r="B362" t="s">
        <v>390</v>
      </c>
      <c r="C362" t="s">
        <v>396</v>
      </c>
      <c r="D362" s="3">
        <v>26</v>
      </c>
      <c r="E362" s="3">
        <v>126</v>
      </c>
      <c r="F362" s="3">
        <v>574</v>
      </c>
      <c r="G362" s="3">
        <v>80</v>
      </c>
    </row>
    <row r="363" spans="1:7" x14ac:dyDescent="0.3">
      <c r="A363" t="s">
        <v>363</v>
      </c>
      <c r="B363" t="s">
        <v>390</v>
      </c>
      <c r="C363" t="s">
        <v>401</v>
      </c>
      <c r="D363" s="3">
        <v>26</v>
      </c>
      <c r="E363" s="3">
        <v>126</v>
      </c>
      <c r="F363" s="3">
        <v>581</v>
      </c>
      <c r="G363" s="3">
        <v>80</v>
      </c>
    </row>
    <row r="364" spans="1:7" x14ac:dyDescent="0.3">
      <c r="A364" t="s">
        <v>363</v>
      </c>
      <c r="B364" t="s">
        <v>390</v>
      </c>
      <c r="C364" t="s">
        <v>405</v>
      </c>
      <c r="D364" s="3">
        <v>26</v>
      </c>
      <c r="E364" s="3">
        <v>126</v>
      </c>
      <c r="F364" s="3">
        <v>586</v>
      </c>
      <c r="G364" s="3">
        <v>80</v>
      </c>
    </row>
    <row r="365" spans="1:7" x14ac:dyDescent="0.3">
      <c r="A365" t="s">
        <v>363</v>
      </c>
      <c r="B365" t="s">
        <v>413</v>
      </c>
      <c r="C365" t="s">
        <v>415</v>
      </c>
      <c r="D365" s="3">
        <v>26</v>
      </c>
      <c r="E365" s="3">
        <v>149</v>
      </c>
      <c r="F365" s="3">
        <v>643</v>
      </c>
      <c r="G365" s="3">
        <v>80</v>
      </c>
    </row>
    <row r="366" spans="1:7" x14ac:dyDescent="0.3">
      <c r="A366" t="s">
        <v>416</v>
      </c>
      <c r="B366" t="s">
        <v>427</v>
      </c>
      <c r="C366" t="s">
        <v>429</v>
      </c>
      <c r="D366" s="3">
        <v>27</v>
      </c>
      <c r="E366" s="3">
        <v>73</v>
      </c>
      <c r="F366" s="3">
        <v>238</v>
      </c>
      <c r="G366" s="3">
        <v>80</v>
      </c>
    </row>
    <row r="367" spans="1:7" x14ac:dyDescent="0.3">
      <c r="A367" t="s">
        <v>416</v>
      </c>
      <c r="B367" t="s">
        <v>427</v>
      </c>
      <c r="C367" t="s">
        <v>442</v>
      </c>
      <c r="D367" s="3">
        <v>27</v>
      </c>
      <c r="E367" s="3">
        <v>73</v>
      </c>
      <c r="F367" s="3">
        <v>253</v>
      </c>
      <c r="G367" s="3">
        <v>80</v>
      </c>
    </row>
    <row r="368" spans="1:7" x14ac:dyDescent="0.3">
      <c r="A368" t="s">
        <v>456</v>
      </c>
      <c r="B368" t="s">
        <v>507</v>
      </c>
      <c r="C368" t="s">
        <v>512</v>
      </c>
      <c r="D368" s="3">
        <v>29</v>
      </c>
      <c r="E368" s="3">
        <v>106</v>
      </c>
      <c r="F368" s="3">
        <v>404</v>
      </c>
      <c r="G368" s="3">
        <v>80</v>
      </c>
    </row>
    <row r="369" spans="1:7" x14ac:dyDescent="0.3">
      <c r="A369" t="s">
        <v>456</v>
      </c>
      <c r="B369" t="s">
        <v>507</v>
      </c>
      <c r="C369" t="s">
        <v>513</v>
      </c>
      <c r="D369" s="3">
        <v>29</v>
      </c>
      <c r="E369" s="3">
        <v>106</v>
      </c>
      <c r="F369" s="3">
        <v>405</v>
      </c>
      <c r="G369" s="3">
        <v>80</v>
      </c>
    </row>
    <row r="370" spans="1:7" x14ac:dyDescent="0.3">
      <c r="A370" t="s">
        <v>456</v>
      </c>
      <c r="B370" t="s">
        <v>520</v>
      </c>
      <c r="C370" t="s">
        <v>287</v>
      </c>
      <c r="D370" s="3">
        <v>29</v>
      </c>
      <c r="E370" s="3">
        <v>133</v>
      </c>
      <c r="F370" s="3">
        <v>613</v>
      </c>
      <c r="G370" s="3">
        <v>80</v>
      </c>
    </row>
    <row r="371" spans="1:7" x14ac:dyDescent="0.3">
      <c r="A371" t="s">
        <v>536</v>
      </c>
      <c r="B371" t="s">
        <v>563</v>
      </c>
      <c r="C371" t="s">
        <v>566</v>
      </c>
      <c r="D371" s="3">
        <v>30</v>
      </c>
      <c r="E371" s="3">
        <v>131</v>
      </c>
      <c r="F371" s="3">
        <v>602</v>
      </c>
      <c r="G371" s="3">
        <v>80</v>
      </c>
    </row>
    <row r="372" spans="1:7" x14ac:dyDescent="0.3">
      <c r="A372" t="s">
        <v>536</v>
      </c>
      <c r="B372" t="s">
        <v>587</v>
      </c>
      <c r="C372" t="s">
        <v>60</v>
      </c>
      <c r="D372" s="3">
        <v>30</v>
      </c>
      <c r="E372" s="3">
        <v>174</v>
      </c>
      <c r="F372" s="3">
        <v>750</v>
      </c>
      <c r="G372" s="3">
        <v>80</v>
      </c>
    </row>
    <row r="373" spans="1:7" x14ac:dyDescent="0.3">
      <c r="A373" t="s">
        <v>593</v>
      </c>
      <c r="B373" t="s">
        <v>601</v>
      </c>
      <c r="C373" t="s">
        <v>609</v>
      </c>
      <c r="D373" s="3">
        <v>31</v>
      </c>
      <c r="E373" s="3">
        <v>54</v>
      </c>
      <c r="F373" s="3">
        <v>195</v>
      </c>
      <c r="G373" s="3">
        <v>80</v>
      </c>
    </row>
    <row r="374" spans="1:7" x14ac:dyDescent="0.3">
      <c r="A374" t="s">
        <v>593</v>
      </c>
      <c r="B374" t="s">
        <v>626</v>
      </c>
      <c r="C374" t="s">
        <v>631</v>
      </c>
      <c r="D374" s="3">
        <v>31</v>
      </c>
      <c r="E374" s="3">
        <v>109</v>
      </c>
      <c r="F374" s="3">
        <v>462</v>
      </c>
      <c r="G374" s="3">
        <v>80</v>
      </c>
    </row>
    <row r="375" spans="1:7" x14ac:dyDescent="0.3">
      <c r="A375" t="s">
        <v>593</v>
      </c>
      <c r="B375" t="s">
        <v>626</v>
      </c>
      <c r="C375" t="s">
        <v>646</v>
      </c>
      <c r="D375" s="3">
        <v>31</v>
      </c>
      <c r="E375" s="3">
        <v>109</v>
      </c>
      <c r="F375" s="3">
        <v>477</v>
      </c>
      <c r="G375" s="3">
        <v>80</v>
      </c>
    </row>
    <row r="376" spans="1:7" x14ac:dyDescent="0.3">
      <c r="A376" t="s">
        <v>593</v>
      </c>
      <c r="B376" t="s">
        <v>656</v>
      </c>
      <c r="C376" t="s">
        <v>657</v>
      </c>
      <c r="D376" s="3">
        <v>31</v>
      </c>
      <c r="E376" s="3">
        <v>112</v>
      </c>
      <c r="F376" s="3">
        <v>488</v>
      </c>
      <c r="G376" s="3">
        <v>80</v>
      </c>
    </row>
    <row r="377" spans="1:7" x14ac:dyDescent="0.3">
      <c r="A377" t="s">
        <v>709</v>
      </c>
      <c r="B377" t="s">
        <v>710</v>
      </c>
      <c r="C377" t="s">
        <v>711</v>
      </c>
      <c r="D377" s="3">
        <v>32</v>
      </c>
      <c r="E377" s="3">
        <v>180</v>
      </c>
      <c r="F377" s="3">
        <v>805</v>
      </c>
      <c r="G377" s="3">
        <v>80</v>
      </c>
    </row>
    <row r="378" spans="1:7" x14ac:dyDescent="0.3">
      <c r="A378" t="s">
        <v>725</v>
      </c>
      <c r="B378" t="s">
        <v>729</v>
      </c>
      <c r="C378" t="s">
        <v>732</v>
      </c>
      <c r="D378" s="3">
        <v>35</v>
      </c>
      <c r="E378" s="3">
        <v>39</v>
      </c>
      <c r="F378" s="3">
        <v>150</v>
      </c>
      <c r="G378" s="3">
        <v>80</v>
      </c>
    </row>
    <row r="379" spans="1:7" x14ac:dyDescent="0.3">
      <c r="A379" t="s">
        <v>745</v>
      </c>
      <c r="B379" t="s">
        <v>748</v>
      </c>
      <c r="C379" t="s">
        <v>749</v>
      </c>
      <c r="D379" s="3">
        <v>36</v>
      </c>
      <c r="E379" s="3">
        <v>24</v>
      </c>
      <c r="F379" s="3">
        <v>82</v>
      </c>
      <c r="G379" s="3">
        <v>80</v>
      </c>
    </row>
    <row r="380" spans="1:7" x14ac:dyDescent="0.3">
      <c r="A380" t="s">
        <v>745</v>
      </c>
      <c r="B380" t="s">
        <v>748</v>
      </c>
      <c r="C380" t="s">
        <v>750</v>
      </c>
      <c r="D380" s="3">
        <v>36</v>
      </c>
      <c r="E380" s="3">
        <v>24</v>
      </c>
      <c r="F380" s="3">
        <v>84</v>
      </c>
      <c r="G380" s="3">
        <v>80</v>
      </c>
    </row>
    <row r="381" spans="1:7" x14ac:dyDescent="0.3">
      <c r="A381" t="s">
        <v>745</v>
      </c>
      <c r="B381" t="s">
        <v>757</v>
      </c>
      <c r="C381" t="s">
        <v>559</v>
      </c>
      <c r="D381" s="3">
        <v>36</v>
      </c>
      <c r="E381" s="3">
        <v>79</v>
      </c>
      <c r="F381" s="3">
        <v>286</v>
      </c>
      <c r="G381" s="3">
        <v>80</v>
      </c>
    </row>
    <row r="382" spans="1:7" x14ac:dyDescent="0.3">
      <c r="A382" t="s">
        <v>745</v>
      </c>
      <c r="B382" t="s">
        <v>757</v>
      </c>
      <c r="C382" t="s">
        <v>763</v>
      </c>
      <c r="D382" s="3">
        <v>36</v>
      </c>
      <c r="E382" s="3">
        <v>79</v>
      </c>
      <c r="F382" s="3">
        <v>293</v>
      </c>
      <c r="G382" s="3">
        <v>80</v>
      </c>
    </row>
    <row r="383" spans="1:7" x14ac:dyDescent="0.3">
      <c r="A383" t="s">
        <v>745</v>
      </c>
      <c r="B383" t="s">
        <v>757</v>
      </c>
      <c r="C383" t="s">
        <v>213</v>
      </c>
      <c r="D383" s="3">
        <v>36</v>
      </c>
      <c r="E383" s="3">
        <v>79</v>
      </c>
      <c r="F383" s="3">
        <v>316</v>
      </c>
      <c r="G383" s="3">
        <v>80</v>
      </c>
    </row>
    <row r="384" spans="1:7" x14ac:dyDescent="0.3">
      <c r="A384" t="s">
        <v>790</v>
      </c>
      <c r="B384" t="s">
        <v>791</v>
      </c>
      <c r="C384" t="s">
        <v>807</v>
      </c>
      <c r="D384" s="3">
        <v>37</v>
      </c>
      <c r="E384" s="3">
        <v>194</v>
      </c>
      <c r="F384" s="3">
        <v>917</v>
      </c>
      <c r="G384" s="3">
        <v>80</v>
      </c>
    </row>
    <row r="385" spans="1:7" x14ac:dyDescent="0.3">
      <c r="A385" t="s">
        <v>808</v>
      </c>
      <c r="B385" t="s">
        <v>810</v>
      </c>
      <c r="C385" t="s">
        <v>821</v>
      </c>
      <c r="D385" s="3">
        <v>38</v>
      </c>
      <c r="E385" s="3">
        <v>76</v>
      </c>
      <c r="F385" s="3">
        <v>274</v>
      </c>
      <c r="G385" s="3">
        <v>80</v>
      </c>
    </row>
    <row r="386" spans="1:7" x14ac:dyDescent="0.3">
      <c r="A386" t="s">
        <v>832</v>
      </c>
      <c r="B386" t="s">
        <v>833</v>
      </c>
      <c r="C386" t="s">
        <v>247</v>
      </c>
      <c r="D386" s="3">
        <v>39</v>
      </c>
      <c r="E386" s="3">
        <v>124</v>
      </c>
      <c r="F386" s="3">
        <v>555</v>
      </c>
      <c r="G386" s="3">
        <v>80</v>
      </c>
    </row>
    <row r="387" spans="1:7" x14ac:dyDescent="0.3">
      <c r="A387" t="s">
        <v>875</v>
      </c>
      <c r="B387" t="s">
        <v>896</v>
      </c>
      <c r="C387" t="s">
        <v>414</v>
      </c>
      <c r="D387" s="3">
        <v>50</v>
      </c>
      <c r="E387" s="3">
        <v>152</v>
      </c>
      <c r="F387" s="3">
        <v>661</v>
      </c>
      <c r="G387" s="3">
        <v>80</v>
      </c>
    </row>
    <row r="388" spans="1:7" x14ac:dyDescent="0.3">
      <c r="A388" t="s">
        <v>875</v>
      </c>
      <c r="B388" t="s">
        <v>918</v>
      </c>
      <c r="C388" t="s">
        <v>60</v>
      </c>
      <c r="D388" s="3">
        <v>50</v>
      </c>
      <c r="E388" s="3">
        <v>164</v>
      </c>
      <c r="F388" s="3">
        <v>712</v>
      </c>
      <c r="G388" s="3">
        <v>80</v>
      </c>
    </row>
    <row r="389" spans="1:7" x14ac:dyDescent="0.3">
      <c r="A389" t="s">
        <v>875</v>
      </c>
      <c r="B389" t="s">
        <v>918</v>
      </c>
      <c r="C389" t="s">
        <v>919</v>
      </c>
      <c r="D389" s="3">
        <v>50</v>
      </c>
      <c r="E389" s="3">
        <v>164</v>
      </c>
      <c r="F389" s="3">
        <v>713</v>
      </c>
      <c r="G389" s="3">
        <v>80</v>
      </c>
    </row>
    <row r="390" spans="1:7" x14ac:dyDescent="0.3">
      <c r="A390" t="s">
        <v>875</v>
      </c>
      <c r="B390" t="s">
        <v>920</v>
      </c>
      <c r="C390" t="s">
        <v>34</v>
      </c>
      <c r="D390" s="3">
        <v>50</v>
      </c>
      <c r="E390" s="3">
        <v>177</v>
      </c>
      <c r="F390" s="3">
        <v>758</v>
      </c>
      <c r="G390" s="3">
        <v>80</v>
      </c>
    </row>
    <row r="391" spans="1:7" x14ac:dyDescent="0.3">
      <c r="A391" t="s">
        <v>950</v>
      </c>
      <c r="B391" t="s">
        <v>951</v>
      </c>
      <c r="C391" t="s">
        <v>952</v>
      </c>
      <c r="D391" s="3">
        <v>57</v>
      </c>
      <c r="E391" s="3">
        <v>95</v>
      </c>
      <c r="F391" s="3">
        <v>364</v>
      </c>
      <c r="G391" s="3">
        <v>80</v>
      </c>
    </row>
    <row r="392" spans="1:7" x14ac:dyDescent="0.3">
      <c r="A392" t="s">
        <v>28</v>
      </c>
      <c r="B392" t="s">
        <v>29</v>
      </c>
      <c r="C392" t="s">
        <v>35</v>
      </c>
      <c r="D392" s="3">
        <v>4</v>
      </c>
      <c r="E392" s="3">
        <v>5</v>
      </c>
      <c r="F392" s="3">
        <v>22</v>
      </c>
      <c r="G392" s="3">
        <v>90</v>
      </c>
    </row>
    <row r="393" spans="1:7" x14ac:dyDescent="0.3">
      <c r="A393" t="s">
        <v>28</v>
      </c>
      <c r="B393" t="s">
        <v>37</v>
      </c>
      <c r="C393" t="s">
        <v>40</v>
      </c>
      <c r="D393" s="3">
        <v>4</v>
      </c>
      <c r="E393" s="3">
        <v>15</v>
      </c>
      <c r="F393" s="3">
        <v>45</v>
      </c>
      <c r="G393" s="3">
        <v>90</v>
      </c>
    </row>
    <row r="394" spans="1:7" x14ac:dyDescent="0.3">
      <c r="A394" t="s">
        <v>75</v>
      </c>
      <c r="B394" t="s">
        <v>82</v>
      </c>
      <c r="C394" t="s">
        <v>114</v>
      </c>
      <c r="D394" s="3">
        <v>7</v>
      </c>
      <c r="E394" s="3">
        <v>178</v>
      </c>
      <c r="F394" s="3">
        <v>791</v>
      </c>
      <c r="G394" s="3">
        <v>90</v>
      </c>
    </row>
    <row r="395" spans="1:7" x14ac:dyDescent="0.3">
      <c r="A395" t="s">
        <v>158</v>
      </c>
      <c r="B395" t="s">
        <v>159</v>
      </c>
      <c r="C395" t="s">
        <v>60</v>
      </c>
      <c r="D395" s="3">
        <v>13</v>
      </c>
      <c r="E395" s="3">
        <v>38</v>
      </c>
      <c r="F395" s="3">
        <v>145</v>
      </c>
      <c r="G395" s="3">
        <v>90</v>
      </c>
    </row>
    <row r="396" spans="1:7" x14ac:dyDescent="0.3">
      <c r="A396" t="s">
        <v>171</v>
      </c>
      <c r="B396" t="s">
        <v>188</v>
      </c>
      <c r="C396" t="s">
        <v>194</v>
      </c>
      <c r="D396" s="3">
        <v>15</v>
      </c>
      <c r="E396" s="3">
        <v>107</v>
      </c>
      <c r="F396" s="3">
        <v>416</v>
      </c>
      <c r="G396" s="3">
        <v>90</v>
      </c>
    </row>
    <row r="397" spans="1:7" x14ac:dyDescent="0.3">
      <c r="A397" t="s">
        <v>239</v>
      </c>
      <c r="B397" t="s">
        <v>240</v>
      </c>
      <c r="C397" t="s">
        <v>244</v>
      </c>
      <c r="D397" s="3">
        <v>17</v>
      </c>
      <c r="E397" s="3">
        <v>25</v>
      </c>
      <c r="F397" s="3">
        <v>96</v>
      </c>
      <c r="G397" s="3">
        <v>90</v>
      </c>
    </row>
    <row r="398" spans="1:7" x14ac:dyDescent="0.3">
      <c r="A398" t="s">
        <v>239</v>
      </c>
      <c r="B398" t="s">
        <v>245</v>
      </c>
      <c r="C398" t="s">
        <v>249</v>
      </c>
      <c r="D398" s="3">
        <v>17</v>
      </c>
      <c r="E398" s="3">
        <v>185</v>
      </c>
      <c r="F398" s="3">
        <v>815</v>
      </c>
      <c r="G398" s="3">
        <v>90</v>
      </c>
    </row>
    <row r="399" spans="1:7" x14ac:dyDescent="0.3">
      <c r="A399" t="s">
        <v>239</v>
      </c>
      <c r="B399" t="s">
        <v>245</v>
      </c>
      <c r="C399" t="s">
        <v>265</v>
      </c>
      <c r="D399" s="3">
        <v>17</v>
      </c>
      <c r="E399" s="3">
        <v>185</v>
      </c>
      <c r="F399" s="3">
        <v>832</v>
      </c>
      <c r="G399" s="3">
        <v>90</v>
      </c>
    </row>
    <row r="400" spans="1:7" x14ac:dyDescent="0.3">
      <c r="A400" t="s">
        <v>331</v>
      </c>
      <c r="B400" t="s">
        <v>334</v>
      </c>
      <c r="C400" t="s">
        <v>60</v>
      </c>
      <c r="D400" s="3">
        <v>22</v>
      </c>
      <c r="E400" s="3">
        <v>43</v>
      </c>
      <c r="F400" s="3">
        <v>158</v>
      </c>
      <c r="G400" s="3">
        <v>90</v>
      </c>
    </row>
    <row r="401" spans="1:7" x14ac:dyDescent="0.3">
      <c r="A401" t="s">
        <v>363</v>
      </c>
      <c r="B401" t="s">
        <v>366</v>
      </c>
      <c r="C401" t="s">
        <v>372</v>
      </c>
      <c r="D401" s="3">
        <v>26</v>
      </c>
      <c r="E401" s="3">
        <v>108</v>
      </c>
      <c r="F401" s="3">
        <v>455</v>
      </c>
      <c r="G401" s="3">
        <v>90</v>
      </c>
    </row>
    <row r="402" spans="1:7" x14ac:dyDescent="0.3">
      <c r="A402" t="s">
        <v>416</v>
      </c>
      <c r="B402" t="s">
        <v>427</v>
      </c>
      <c r="C402" t="s">
        <v>434</v>
      </c>
      <c r="D402" s="3">
        <v>27</v>
      </c>
      <c r="E402" s="3">
        <v>73</v>
      </c>
      <c r="F402" s="3">
        <v>243</v>
      </c>
      <c r="G402" s="3">
        <v>90</v>
      </c>
    </row>
    <row r="403" spans="1:7" x14ac:dyDescent="0.3">
      <c r="A403" t="s">
        <v>416</v>
      </c>
      <c r="B403" t="s">
        <v>450</v>
      </c>
      <c r="C403" t="s">
        <v>380</v>
      </c>
      <c r="D403" s="3">
        <v>27</v>
      </c>
      <c r="E403" s="3">
        <v>105</v>
      </c>
      <c r="F403" s="3">
        <v>392</v>
      </c>
      <c r="G403" s="3">
        <v>90</v>
      </c>
    </row>
    <row r="404" spans="1:7" x14ac:dyDescent="0.3">
      <c r="A404" t="s">
        <v>456</v>
      </c>
      <c r="B404" t="s">
        <v>457</v>
      </c>
      <c r="C404" t="s">
        <v>466</v>
      </c>
      <c r="D404" s="3">
        <v>29</v>
      </c>
      <c r="E404" s="3">
        <v>2</v>
      </c>
      <c r="F404" s="3">
        <v>14</v>
      </c>
      <c r="G404" s="3">
        <v>90</v>
      </c>
    </row>
    <row r="405" spans="1:7" x14ac:dyDescent="0.3">
      <c r="A405" t="s">
        <v>456</v>
      </c>
      <c r="B405" t="s">
        <v>532</v>
      </c>
      <c r="C405" t="s">
        <v>533</v>
      </c>
      <c r="D405" s="3">
        <v>29</v>
      </c>
      <c r="E405" s="3">
        <v>179</v>
      </c>
      <c r="F405" s="3">
        <v>801</v>
      </c>
      <c r="G405" s="3">
        <v>90</v>
      </c>
    </row>
    <row r="406" spans="1:7" x14ac:dyDescent="0.3">
      <c r="A406" t="s">
        <v>536</v>
      </c>
      <c r="B406" t="s">
        <v>577</v>
      </c>
      <c r="C406" t="s">
        <v>580</v>
      </c>
      <c r="D406" s="3">
        <v>30</v>
      </c>
      <c r="E406" s="3">
        <v>145</v>
      </c>
      <c r="F406" s="3">
        <v>633</v>
      </c>
      <c r="G406" s="3">
        <v>90</v>
      </c>
    </row>
    <row r="407" spans="1:7" x14ac:dyDescent="0.3">
      <c r="A407" t="s">
        <v>536</v>
      </c>
      <c r="B407" t="s">
        <v>585</v>
      </c>
      <c r="C407" t="s">
        <v>586</v>
      </c>
      <c r="D407" s="3">
        <v>30</v>
      </c>
      <c r="E407" s="3">
        <v>169</v>
      </c>
      <c r="F407" s="3">
        <v>724</v>
      </c>
      <c r="G407" s="3">
        <v>90</v>
      </c>
    </row>
    <row r="408" spans="1:7" x14ac:dyDescent="0.3">
      <c r="A408" t="s">
        <v>593</v>
      </c>
      <c r="B408" t="s">
        <v>601</v>
      </c>
      <c r="C408" t="s">
        <v>602</v>
      </c>
      <c r="D408" s="3">
        <v>31</v>
      </c>
      <c r="E408" s="3">
        <v>54</v>
      </c>
      <c r="F408" s="3">
        <v>187</v>
      </c>
      <c r="G408" s="3">
        <v>90</v>
      </c>
    </row>
    <row r="409" spans="1:7" x14ac:dyDescent="0.3">
      <c r="A409" t="s">
        <v>593</v>
      </c>
      <c r="B409" t="s">
        <v>617</v>
      </c>
      <c r="C409" t="s">
        <v>246</v>
      </c>
      <c r="D409" s="3">
        <v>31</v>
      </c>
      <c r="E409" s="3">
        <v>61</v>
      </c>
      <c r="F409" s="3">
        <v>216</v>
      </c>
      <c r="G409" s="3">
        <v>90</v>
      </c>
    </row>
    <row r="410" spans="1:7" x14ac:dyDescent="0.3">
      <c r="A410" t="s">
        <v>593</v>
      </c>
      <c r="B410" t="s">
        <v>626</v>
      </c>
      <c r="C410" t="s">
        <v>638</v>
      </c>
      <c r="D410" s="3">
        <v>31</v>
      </c>
      <c r="E410" s="3">
        <v>109</v>
      </c>
      <c r="F410" s="3">
        <v>469</v>
      </c>
      <c r="G410" s="3">
        <v>90</v>
      </c>
    </row>
    <row r="411" spans="1:7" x14ac:dyDescent="0.3">
      <c r="A411" t="s">
        <v>593</v>
      </c>
      <c r="B411" t="s">
        <v>656</v>
      </c>
      <c r="C411" t="s">
        <v>665</v>
      </c>
      <c r="D411" s="3">
        <v>31</v>
      </c>
      <c r="E411" s="3">
        <v>112</v>
      </c>
      <c r="F411" s="3">
        <v>497</v>
      </c>
      <c r="G411" s="3">
        <v>90</v>
      </c>
    </row>
    <row r="412" spans="1:7" x14ac:dyDescent="0.3">
      <c r="A412" t="s">
        <v>745</v>
      </c>
      <c r="B412" t="s">
        <v>748</v>
      </c>
      <c r="C412" t="s">
        <v>752</v>
      </c>
      <c r="D412" s="3">
        <v>36</v>
      </c>
      <c r="E412" s="3">
        <v>24</v>
      </c>
      <c r="F412" s="3">
        <v>88</v>
      </c>
      <c r="G412" s="3">
        <v>90</v>
      </c>
    </row>
    <row r="413" spans="1:7" x14ac:dyDescent="0.3">
      <c r="A413" t="s">
        <v>745</v>
      </c>
      <c r="B413" t="s">
        <v>756</v>
      </c>
      <c r="C413" t="s">
        <v>184</v>
      </c>
      <c r="D413" s="3">
        <v>36</v>
      </c>
      <c r="E413" s="3">
        <v>45</v>
      </c>
      <c r="F413" s="3">
        <v>285</v>
      </c>
      <c r="G413" s="3">
        <v>90</v>
      </c>
    </row>
    <row r="414" spans="1:7" x14ac:dyDescent="0.3">
      <c r="A414" t="s">
        <v>745</v>
      </c>
      <c r="B414" t="s">
        <v>757</v>
      </c>
      <c r="C414" t="s">
        <v>778</v>
      </c>
      <c r="D414" s="3">
        <v>36</v>
      </c>
      <c r="E414" s="3">
        <v>79</v>
      </c>
      <c r="F414" s="3">
        <v>309</v>
      </c>
      <c r="G414" s="3">
        <v>90</v>
      </c>
    </row>
    <row r="415" spans="1:7" x14ac:dyDescent="0.3">
      <c r="A415" t="s">
        <v>790</v>
      </c>
      <c r="B415" t="s">
        <v>791</v>
      </c>
      <c r="C415" t="s">
        <v>797</v>
      </c>
      <c r="D415" s="3">
        <v>37</v>
      </c>
      <c r="E415" s="3">
        <v>194</v>
      </c>
      <c r="F415" s="3">
        <v>902</v>
      </c>
      <c r="G415" s="3">
        <v>90</v>
      </c>
    </row>
    <row r="416" spans="1:7" x14ac:dyDescent="0.3">
      <c r="A416" t="s">
        <v>790</v>
      </c>
      <c r="B416" t="s">
        <v>791</v>
      </c>
      <c r="C416" t="s">
        <v>798</v>
      </c>
      <c r="D416" s="3">
        <v>37</v>
      </c>
      <c r="E416" s="3">
        <v>194</v>
      </c>
      <c r="F416" s="3">
        <v>903</v>
      </c>
      <c r="G416" s="3">
        <v>90</v>
      </c>
    </row>
    <row r="417" spans="1:7" x14ac:dyDescent="0.3">
      <c r="A417" t="s">
        <v>790</v>
      </c>
      <c r="B417" t="s">
        <v>791</v>
      </c>
      <c r="C417" t="s">
        <v>800</v>
      </c>
      <c r="D417" s="3">
        <v>37</v>
      </c>
      <c r="E417" s="3">
        <v>194</v>
      </c>
      <c r="F417" s="3">
        <v>905</v>
      </c>
      <c r="G417" s="3">
        <v>90</v>
      </c>
    </row>
    <row r="418" spans="1:7" x14ac:dyDescent="0.3">
      <c r="A418" t="s">
        <v>875</v>
      </c>
      <c r="B418" t="s">
        <v>893</v>
      </c>
      <c r="C418" t="s">
        <v>235</v>
      </c>
      <c r="D418" s="3">
        <v>50</v>
      </c>
      <c r="E418" s="3">
        <v>116</v>
      </c>
      <c r="F418" s="3">
        <v>521</v>
      </c>
      <c r="G418" s="3">
        <v>90</v>
      </c>
    </row>
    <row r="419" spans="1:7" x14ac:dyDescent="0.3">
      <c r="A419" t="s">
        <v>875</v>
      </c>
      <c r="B419" t="s">
        <v>918</v>
      </c>
      <c r="C419" t="s">
        <v>353</v>
      </c>
      <c r="D419" s="3">
        <v>50</v>
      </c>
      <c r="E419" s="3">
        <v>164</v>
      </c>
      <c r="F419" s="3">
        <v>710</v>
      </c>
      <c r="G419" s="3">
        <v>90</v>
      </c>
    </row>
    <row r="420" spans="1:7" x14ac:dyDescent="0.3">
      <c r="A420" t="s">
        <v>931</v>
      </c>
      <c r="B420" t="s">
        <v>932</v>
      </c>
      <c r="C420" t="s">
        <v>246</v>
      </c>
      <c r="D420" s="3">
        <v>53</v>
      </c>
      <c r="E420" s="3">
        <v>160</v>
      </c>
      <c r="F420" s="3">
        <v>693</v>
      </c>
      <c r="G420" s="3">
        <v>90</v>
      </c>
    </row>
    <row r="421" spans="1:7" x14ac:dyDescent="0.3">
      <c r="A421" t="s">
        <v>23</v>
      </c>
      <c r="B421" t="s">
        <v>24</v>
      </c>
      <c r="C421" t="s">
        <v>25</v>
      </c>
      <c r="D421" s="3">
        <v>3</v>
      </c>
      <c r="E421" s="3">
        <v>56</v>
      </c>
      <c r="F421" s="3">
        <v>205</v>
      </c>
      <c r="G421" s="3">
        <v>100</v>
      </c>
    </row>
    <row r="422" spans="1:7" x14ac:dyDescent="0.3">
      <c r="A422" t="s">
        <v>171</v>
      </c>
      <c r="B422" t="s">
        <v>188</v>
      </c>
      <c r="C422" t="s">
        <v>176</v>
      </c>
      <c r="D422" s="3">
        <v>15</v>
      </c>
      <c r="E422" s="3">
        <v>107</v>
      </c>
      <c r="F422" s="3">
        <v>414</v>
      </c>
      <c r="G422" s="3">
        <v>100</v>
      </c>
    </row>
    <row r="423" spans="1:7" x14ac:dyDescent="0.3">
      <c r="A423" t="s">
        <v>171</v>
      </c>
      <c r="B423" t="s">
        <v>188</v>
      </c>
      <c r="C423" t="s">
        <v>182</v>
      </c>
      <c r="D423" s="3">
        <v>15</v>
      </c>
      <c r="E423" s="3">
        <v>107</v>
      </c>
      <c r="F423" s="3">
        <v>421</v>
      </c>
      <c r="G423" s="3">
        <v>100</v>
      </c>
    </row>
    <row r="424" spans="1:7" x14ac:dyDescent="0.3">
      <c r="A424" t="s">
        <v>239</v>
      </c>
      <c r="B424" t="s">
        <v>245</v>
      </c>
      <c r="C424" t="s">
        <v>247</v>
      </c>
      <c r="D424" s="3">
        <v>17</v>
      </c>
      <c r="E424" s="3">
        <v>185</v>
      </c>
      <c r="F424" s="3">
        <v>813</v>
      </c>
      <c r="G424" s="3">
        <v>100</v>
      </c>
    </row>
    <row r="425" spans="1:7" x14ac:dyDescent="0.3">
      <c r="A425" t="s">
        <v>239</v>
      </c>
      <c r="B425" t="s">
        <v>245</v>
      </c>
      <c r="C425" t="s">
        <v>271</v>
      </c>
      <c r="D425" s="3">
        <v>17</v>
      </c>
      <c r="E425" s="3">
        <v>185</v>
      </c>
      <c r="F425" s="3">
        <v>838</v>
      </c>
      <c r="G425" s="3">
        <v>100</v>
      </c>
    </row>
    <row r="426" spans="1:7" x14ac:dyDescent="0.3">
      <c r="A426" t="s">
        <v>239</v>
      </c>
      <c r="B426" t="s">
        <v>245</v>
      </c>
      <c r="C426" t="s">
        <v>275</v>
      </c>
      <c r="D426" s="3">
        <v>17</v>
      </c>
      <c r="E426" s="3">
        <v>185</v>
      </c>
      <c r="F426" s="3">
        <v>842</v>
      </c>
      <c r="G426" s="3">
        <v>100</v>
      </c>
    </row>
    <row r="427" spans="1:7" x14ac:dyDescent="0.3">
      <c r="A427" t="s">
        <v>239</v>
      </c>
      <c r="B427" t="s">
        <v>245</v>
      </c>
      <c r="C427" t="s">
        <v>284</v>
      </c>
      <c r="D427" s="3">
        <v>17</v>
      </c>
      <c r="E427" s="3">
        <v>185</v>
      </c>
      <c r="F427" s="3">
        <v>853</v>
      </c>
      <c r="G427" s="3">
        <v>100</v>
      </c>
    </row>
    <row r="428" spans="1:7" x14ac:dyDescent="0.3">
      <c r="A428" t="s">
        <v>239</v>
      </c>
      <c r="B428" t="s">
        <v>245</v>
      </c>
      <c r="C428" t="s">
        <v>291</v>
      </c>
      <c r="D428" s="3">
        <v>17</v>
      </c>
      <c r="E428" s="3">
        <v>185</v>
      </c>
      <c r="F428" s="3">
        <v>860</v>
      </c>
      <c r="G428" s="3">
        <v>100</v>
      </c>
    </row>
    <row r="429" spans="1:7" x14ac:dyDescent="0.3">
      <c r="A429" t="s">
        <v>239</v>
      </c>
      <c r="B429" t="s">
        <v>245</v>
      </c>
      <c r="C429" t="s">
        <v>299</v>
      </c>
      <c r="D429" s="3">
        <v>17</v>
      </c>
      <c r="E429" s="3">
        <v>185</v>
      </c>
      <c r="F429" s="3">
        <v>868</v>
      </c>
      <c r="G429" s="3">
        <v>100</v>
      </c>
    </row>
    <row r="430" spans="1:7" x14ac:dyDescent="0.3">
      <c r="A430" t="s">
        <v>331</v>
      </c>
      <c r="B430" t="s">
        <v>334</v>
      </c>
      <c r="C430" t="s">
        <v>335</v>
      </c>
      <c r="D430" s="3">
        <v>22</v>
      </c>
      <c r="E430" s="3">
        <v>43</v>
      </c>
      <c r="F430" s="3">
        <v>159</v>
      </c>
      <c r="G430" s="3">
        <v>100</v>
      </c>
    </row>
    <row r="431" spans="1:7" x14ac:dyDescent="0.3">
      <c r="A431" t="s">
        <v>347</v>
      </c>
      <c r="B431" t="s">
        <v>350</v>
      </c>
      <c r="C431" t="s">
        <v>353</v>
      </c>
      <c r="D431" s="3">
        <v>24</v>
      </c>
      <c r="E431" s="3">
        <v>191</v>
      </c>
      <c r="F431" s="3">
        <v>888</v>
      </c>
      <c r="G431" s="3">
        <v>100</v>
      </c>
    </row>
    <row r="432" spans="1:7" x14ac:dyDescent="0.3">
      <c r="A432" t="s">
        <v>363</v>
      </c>
      <c r="B432" t="s">
        <v>366</v>
      </c>
      <c r="C432" t="s">
        <v>368</v>
      </c>
      <c r="D432" s="3">
        <v>26</v>
      </c>
      <c r="E432" s="3">
        <v>108</v>
      </c>
      <c r="F432" s="3">
        <v>450</v>
      </c>
      <c r="G432" s="3">
        <v>100</v>
      </c>
    </row>
    <row r="433" spans="1:7" x14ac:dyDescent="0.3">
      <c r="A433" t="s">
        <v>363</v>
      </c>
      <c r="B433" t="s">
        <v>379</v>
      </c>
      <c r="C433" t="s">
        <v>388</v>
      </c>
      <c r="D433" s="3">
        <v>26</v>
      </c>
      <c r="E433" s="3">
        <v>123</v>
      </c>
      <c r="F433" s="3">
        <v>548</v>
      </c>
      <c r="G433" s="3">
        <v>100</v>
      </c>
    </row>
    <row r="434" spans="1:7" x14ac:dyDescent="0.3">
      <c r="A434" t="s">
        <v>363</v>
      </c>
      <c r="B434" t="s">
        <v>379</v>
      </c>
      <c r="C434" t="s">
        <v>329</v>
      </c>
      <c r="D434" s="3">
        <v>26</v>
      </c>
      <c r="E434" s="3">
        <v>123</v>
      </c>
      <c r="F434" s="3">
        <v>549</v>
      </c>
      <c r="G434" s="3">
        <v>100</v>
      </c>
    </row>
    <row r="435" spans="1:7" x14ac:dyDescent="0.3">
      <c r="A435" t="s">
        <v>416</v>
      </c>
      <c r="B435" t="s">
        <v>427</v>
      </c>
      <c r="C435" t="s">
        <v>441</v>
      </c>
      <c r="D435" s="3">
        <v>27</v>
      </c>
      <c r="E435" s="3">
        <v>73</v>
      </c>
      <c r="F435" s="3">
        <v>252</v>
      </c>
      <c r="G435" s="3">
        <v>100</v>
      </c>
    </row>
    <row r="436" spans="1:7" x14ac:dyDescent="0.3">
      <c r="A436" t="s">
        <v>456</v>
      </c>
      <c r="B436" t="s">
        <v>457</v>
      </c>
      <c r="C436" t="s">
        <v>465</v>
      </c>
      <c r="D436" s="3">
        <v>29</v>
      </c>
      <c r="E436" s="3">
        <v>2</v>
      </c>
      <c r="F436" s="3">
        <v>13</v>
      </c>
      <c r="G436" s="3">
        <v>100</v>
      </c>
    </row>
    <row r="437" spans="1:7" x14ac:dyDescent="0.3">
      <c r="A437" t="s">
        <v>456</v>
      </c>
      <c r="B437" t="s">
        <v>483</v>
      </c>
      <c r="C437" t="s">
        <v>487</v>
      </c>
      <c r="D437" s="3">
        <v>29</v>
      </c>
      <c r="E437" s="3">
        <v>47</v>
      </c>
      <c r="F437" s="3">
        <v>168</v>
      </c>
      <c r="G437" s="3">
        <v>100</v>
      </c>
    </row>
    <row r="438" spans="1:7" x14ac:dyDescent="0.3">
      <c r="A438" t="s">
        <v>456</v>
      </c>
      <c r="B438" t="s">
        <v>500</v>
      </c>
      <c r="C438" t="s">
        <v>506</v>
      </c>
      <c r="D438" s="3">
        <v>29</v>
      </c>
      <c r="E438" s="3">
        <v>97</v>
      </c>
      <c r="F438" s="3">
        <v>373</v>
      </c>
      <c r="G438" s="3">
        <v>100</v>
      </c>
    </row>
    <row r="439" spans="1:7" x14ac:dyDescent="0.3">
      <c r="A439" t="s">
        <v>536</v>
      </c>
      <c r="B439" t="s">
        <v>553</v>
      </c>
      <c r="C439" t="s">
        <v>554</v>
      </c>
      <c r="D439" s="3">
        <v>30</v>
      </c>
      <c r="E439" s="3">
        <v>69</v>
      </c>
      <c r="F439" s="3">
        <v>228</v>
      </c>
      <c r="G439" s="3">
        <v>100</v>
      </c>
    </row>
    <row r="440" spans="1:7" x14ac:dyDescent="0.3">
      <c r="A440" t="s">
        <v>536</v>
      </c>
      <c r="B440" t="s">
        <v>563</v>
      </c>
      <c r="C440" t="s">
        <v>307</v>
      </c>
      <c r="D440" s="3">
        <v>30</v>
      </c>
      <c r="E440" s="3">
        <v>131</v>
      </c>
      <c r="F440" s="3">
        <v>610</v>
      </c>
      <c r="G440" s="3">
        <v>100</v>
      </c>
    </row>
    <row r="441" spans="1:7" x14ac:dyDescent="0.3">
      <c r="A441" t="s">
        <v>536</v>
      </c>
      <c r="B441" t="s">
        <v>587</v>
      </c>
      <c r="C441" t="s">
        <v>591</v>
      </c>
      <c r="D441" s="3">
        <v>30</v>
      </c>
      <c r="E441" s="3">
        <v>174</v>
      </c>
      <c r="F441" s="3">
        <v>748</v>
      </c>
      <c r="G441" s="3">
        <v>100</v>
      </c>
    </row>
    <row r="442" spans="1:7" x14ac:dyDescent="0.3">
      <c r="A442" t="s">
        <v>593</v>
      </c>
      <c r="B442" t="s">
        <v>601</v>
      </c>
      <c r="C442" t="s">
        <v>610</v>
      </c>
      <c r="D442" s="3">
        <v>31</v>
      </c>
      <c r="E442" s="3">
        <v>54</v>
      </c>
      <c r="F442" s="3">
        <v>196</v>
      </c>
      <c r="G442" s="3">
        <v>100</v>
      </c>
    </row>
    <row r="443" spans="1:7" x14ac:dyDescent="0.3">
      <c r="A443" t="s">
        <v>593</v>
      </c>
      <c r="B443" t="s">
        <v>626</v>
      </c>
      <c r="C443" t="s">
        <v>630</v>
      </c>
      <c r="D443" s="3">
        <v>31</v>
      </c>
      <c r="E443" s="3">
        <v>109</v>
      </c>
      <c r="F443" s="3">
        <v>461</v>
      </c>
      <c r="G443" s="3">
        <v>100</v>
      </c>
    </row>
    <row r="444" spans="1:7" x14ac:dyDescent="0.3">
      <c r="A444" t="s">
        <v>593</v>
      </c>
      <c r="B444" t="s">
        <v>626</v>
      </c>
      <c r="C444" t="s">
        <v>654</v>
      </c>
      <c r="D444" s="3">
        <v>31</v>
      </c>
      <c r="E444" s="3">
        <v>109</v>
      </c>
      <c r="F444" s="3">
        <v>485</v>
      </c>
      <c r="G444" s="3">
        <v>100</v>
      </c>
    </row>
    <row r="445" spans="1:7" x14ac:dyDescent="0.3">
      <c r="A445" t="s">
        <v>745</v>
      </c>
      <c r="B445" t="s">
        <v>757</v>
      </c>
      <c r="C445" t="s">
        <v>776</v>
      </c>
      <c r="D445" s="3">
        <v>36</v>
      </c>
      <c r="E445" s="3">
        <v>79</v>
      </c>
      <c r="F445" s="3">
        <v>307</v>
      </c>
      <c r="G445" s="3">
        <v>100</v>
      </c>
    </row>
    <row r="446" spans="1:7" x14ac:dyDescent="0.3">
      <c r="A446" t="s">
        <v>808</v>
      </c>
      <c r="B446" t="s">
        <v>810</v>
      </c>
      <c r="C446" t="s">
        <v>812</v>
      </c>
      <c r="D446" s="3">
        <v>38</v>
      </c>
      <c r="E446" s="3">
        <v>76</v>
      </c>
      <c r="F446" s="3">
        <v>263</v>
      </c>
      <c r="G446" s="3">
        <v>100</v>
      </c>
    </row>
    <row r="447" spans="1:7" x14ac:dyDescent="0.3">
      <c r="A447" t="s">
        <v>808</v>
      </c>
      <c r="B447" t="s">
        <v>810</v>
      </c>
      <c r="C447" t="s">
        <v>816</v>
      </c>
      <c r="D447" s="3">
        <v>38</v>
      </c>
      <c r="E447" s="3">
        <v>76</v>
      </c>
      <c r="F447" s="3">
        <v>268</v>
      </c>
      <c r="G447" s="3">
        <v>100</v>
      </c>
    </row>
    <row r="448" spans="1:7" x14ac:dyDescent="0.3">
      <c r="A448" t="s">
        <v>808</v>
      </c>
      <c r="B448" t="s">
        <v>810</v>
      </c>
      <c r="C448" t="s">
        <v>822</v>
      </c>
      <c r="D448" s="3">
        <v>38</v>
      </c>
      <c r="E448" s="3">
        <v>76</v>
      </c>
      <c r="F448" s="3">
        <v>275</v>
      </c>
      <c r="G448" s="3">
        <v>100</v>
      </c>
    </row>
    <row r="449" spans="1:7" x14ac:dyDescent="0.3">
      <c r="A449" t="s">
        <v>861</v>
      </c>
      <c r="B449" t="s">
        <v>862</v>
      </c>
      <c r="C449" t="s">
        <v>747</v>
      </c>
      <c r="D449" s="3">
        <v>46</v>
      </c>
      <c r="E449" s="3">
        <v>170</v>
      </c>
      <c r="F449" s="3">
        <v>728</v>
      </c>
      <c r="G449" s="3">
        <v>100</v>
      </c>
    </row>
    <row r="450" spans="1:7" x14ac:dyDescent="0.3">
      <c r="A450" t="s">
        <v>875</v>
      </c>
      <c r="B450" t="s">
        <v>879</v>
      </c>
      <c r="C450" t="s">
        <v>880</v>
      </c>
      <c r="D450" s="3">
        <v>50</v>
      </c>
      <c r="E450" s="3">
        <v>67</v>
      </c>
      <c r="F450" s="3">
        <v>226</v>
      </c>
      <c r="G450" s="3">
        <v>100</v>
      </c>
    </row>
    <row r="451" spans="1:7" x14ac:dyDescent="0.3">
      <c r="A451" t="s">
        <v>875</v>
      </c>
      <c r="B451" t="s">
        <v>888</v>
      </c>
      <c r="C451" t="s">
        <v>685</v>
      </c>
      <c r="D451" s="3">
        <v>50</v>
      </c>
      <c r="E451" s="3">
        <v>113</v>
      </c>
      <c r="F451" s="3">
        <v>511</v>
      </c>
      <c r="G451" s="3">
        <v>100</v>
      </c>
    </row>
    <row r="452" spans="1:7" x14ac:dyDescent="0.3">
      <c r="A452" t="s">
        <v>875</v>
      </c>
      <c r="B452" t="s">
        <v>896</v>
      </c>
      <c r="C452" t="s">
        <v>901</v>
      </c>
      <c r="D452" s="3">
        <v>50</v>
      </c>
      <c r="E452" s="3">
        <v>152</v>
      </c>
      <c r="F452" s="3">
        <v>652</v>
      </c>
      <c r="G452" s="3">
        <v>100</v>
      </c>
    </row>
    <row r="453" spans="1:7" x14ac:dyDescent="0.3">
      <c r="A453" t="s">
        <v>875</v>
      </c>
      <c r="B453" t="s">
        <v>922</v>
      </c>
      <c r="C453" t="s">
        <v>923</v>
      </c>
      <c r="D453" s="3">
        <v>50</v>
      </c>
      <c r="E453" s="3">
        <v>190</v>
      </c>
      <c r="F453" s="3">
        <v>882</v>
      </c>
      <c r="G453" s="3">
        <v>100</v>
      </c>
    </row>
    <row r="454" spans="1:7" x14ac:dyDescent="0.3">
      <c r="A454" t="s">
        <v>875</v>
      </c>
      <c r="B454" t="s">
        <v>922</v>
      </c>
      <c r="C454" t="s">
        <v>290</v>
      </c>
      <c r="D454" s="3">
        <v>50</v>
      </c>
      <c r="E454" s="3">
        <v>190</v>
      </c>
      <c r="F454" s="3">
        <v>884</v>
      </c>
      <c r="G454" s="3">
        <v>100</v>
      </c>
    </row>
    <row r="455" spans="1:7" x14ac:dyDescent="0.3">
      <c r="A455" t="s">
        <v>966</v>
      </c>
      <c r="B455" t="s">
        <v>967</v>
      </c>
      <c r="C455" t="s">
        <v>968</v>
      </c>
      <c r="D455" s="3">
        <v>60</v>
      </c>
      <c r="E455" s="3">
        <v>87</v>
      </c>
      <c r="F455" s="3">
        <v>336</v>
      </c>
      <c r="G455" s="3">
        <v>100</v>
      </c>
    </row>
    <row r="456" spans="1:7" x14ac:dyDescent="0.3">
      <c r="A456" t="s">
        <v>75</v>
      </c>
      <c r="B456" t="s">
        <v>82</v>
      </c>
      <c r="C456" t="s">
        <v>97</v>
      </c>
      <c r="D456" s="3">
        <v>7</v>
      </c>
      <c r="E456" s="3">
        <v>178</v>
      </c>
      <c r="F456" s="3">
        <v>774</v>
      </c>
      <c r="G456" s="3">
        <v>110</v>
      </c>
    </row>
    <row r="457" spans="1:7" x14ac:dyDescent="0.3">
      <c r="A457" t="s">
        <v>171</v>
      </c>
      <c r="B457" t="s">
        <v>172</v>
      </c>
      <c r="C457" t="s">
        <v>177</v>
      </c>
      <c r="D457" s="3">
        <v>15</v>
      </c>
      <c r="E457" s="3">
        <v>91</v>
      </c>
      <c r="F457" s="3">
        <v>349</v>
      </c>
      <c r="G457" s="3">
        <v>110</v>
      </c>
    </row>
    <row r="458" spans="1:7" x14ac:dyDescent="0.3">
      <c r="A458" t="s">
        <v>171</v>
      </c>
      <c r="B458" t="s">
        <v>188</v>
      </c>
      <c r="C458" t="s">
        <v>199</v>
      </c>
      <c r="D458" s="3">
        <v>15</v>
      </c>
      <c r="E458" s="3">
        <v>107</v>
      </c>
      <c r="F458" s="3">
        <v>422</v>
      </c>
      <c r="G458" s="3">
        <v>110</v>
      </c>
    </row>
    <row r="459" spans="1:7" x14ac:dyDescent="0.3">
      <c r="A459" t="s">
        <v>222</v>
      </c>
      <c r="B459" t="s">
        <v>231</v>
      </c>
      <c r="C459" t="s">
        <v>236</v>
      </c>
      <c r="D459" s="3">
        <v>16</v>
      </c>
      <c r="E459" s="3">
        <v>163</v>
      </c>
      <c r="F459" s="3">
        <v>708</v>
      </c>
      <c r="G459" s="3">
        <v>110</v>
      </c>
    </row>
    <row r="460" spans="1:7" x14ac:dyDescent="0.3">
      <c r="A460" t="s">
        <v>239</v>
      </c>
      <c r="B460" t="s">
        <v>245</v>
      </c>
      <c r="C460" t="s">
        <v>290</v>
      </c>
      <c r="D460" s="3">
        <v>17</v>
      </c>
      <c r="E460" s="3">
        <v>185</v>
      </c>
      <c r="F460" s="3">
        <v>859</v>
      </c>
      <c r="G460" s="3">
        <v>110</v>
      </c>
    </row>
    <row r="461" spans="1:7" x14ac:dyDescent="0.3">
      <c r="A461" t="s">
        <v>321</v>
      </c>
      <c r="B461" t="s">
        <v>322</v>
      </c>
      <c r="C461" t="s">
        <v>21</v>
      </c>
      <c r="D461" s="3">
        <v>21</v>
      </c>
      <c r="E461" s="3">
        <v>173</v>
      </c>
      <c r="F461" s="3">
        <v>736</v>
      </c>
      <c r="G461" s="3">
        <v>110</v>
      </c>
    </row>
    <row r="462" spans="1:7" x14ac:dyDescent="0.3">
      <c r="A462" t="s">
        <v>363</v>
      </c>
      <c r="B462" t="s">
        <v>374</v>
      </c>
      <c r="C462" t="s">
        <v>375</v>
      </c>
      <c r="D462" s="3">
        <v>26</v>
      </c>
      <c r="E462" s="3">
        <v>115</v>
      </c>
      <c r="F462" s="3">
        <v>516</v>
      </c>
      <c r="G462" s="3">
        <v>110</v>
      </c>
    </row>
    <row r="463" spans="1:7" x14ac:dyDescent="0.3">
      <c r="A463" t="s">
        <v>416</v>
      </c>
      <c r="B463" t="s">
        <v>421</v>
      </c>
      <c r="C463" t="s">
        <v>422</v>
      </c>
      <c r="D463" s="3">
        <v>27</v>
      </c>
      <c r="E463" s="3">
        <v>49</v>
      </c>
      <c r="F463" s="3">
        <v>178</v>
      </c>
      <c r="G463" s="3">
        <v>110</v>
      </c>
    </row>
    <row r="464" spans="1:7" x14ac:dyDescent="0.3">
      <c r="A464" t="s">
        <v>416</v>
      </c>
      <c r="B464" t="s">
        <v>427</v>
      </c>
      <c r="C464" t="s">
        <v>445</v>
      </c>
      <c r="D464" s="3">
        <v>27</v>
      </c>
      <c r="E464" s="3">
        <v>73</v>
      </c>
      <c r="F464" s="3">
        <v>256</v>
      </c>
      <c r="G464" s="3">
        <v>110</v>
      </c>
    </row>
    <row r="465" spans="1:7" x14ac:dyDescent="0.3">
      <c r="A465" t="s">
        <v>416</v>
      </c>
      <c r="B465" t="s">
        <v>450</v>
      </c>
      <c r="C465" t="s">
        <v>452</v>
      </c>
      <c r="D465" s="3">
        <v>27</v>
      </c>
      <c r="E465" s="3">
        <v>105</v>
      </c>
      <c r="F465" s="3">
        <v>395</v>
      </c>
      <c r="G465" s="3">
        <v>110</v>
      </c>
    </row>
    <row r="466" spans="1:7" x14ac:dyDescent="0.3">
      <c r="A466" t="s">
        <v>456</v>
      </c>
      <c r="B466" t="s">
        <v>467</v>
      </c>
      <c r="C466" t="s">
        <v>469</v>
      </c>
      <c r="D466" s="3">
        <v>29</v>
      </c>
      <c r="E466" s="3">
        <v>11</v>
      </c>
      <c r="F466" s="3">
        <v>37</v>
      </c>
      <c r="G466" s="3">
        <v>110</v>
      </c>
    </row>
    <row r="467" spans="1:7" x14ac:dyDescent="0.3">
      <c r="A467" t="s">
        <v>456</v>
      </c>
      <c r="B467" t="s">
        <v>500</v>
      </c>
      <c r="C467" t="s">
        <v>505</v>
      </c>
      <c r="D467" s="3">
        <v>29</v>
      </c>
      <c r="E467" s="3">
        <v>97</v>
      </c>
      <c r="F467" s="3">
        <v>371</v>
      </c>
      <c r="G467" s="3">
        <v>110</v>
      </c>
    </row>
    <row r="468" spans="1:7" x14ac:dyDescent="0.3">
      <c r="A468" t="s">
        <v>456</v>
      </c>
      <c r="B468" t="s">
        <v>507</v>
      </c>
      <c r="C468" t="s">
        <v>510</v>
      </c>
      <c r="D468" s="3">
        <v>29</v>
      </c>
      <c r="E468" s="3">
        <v>106</v>
      </c>
      <c r="F468" s="3">
        <v>402</v>
      </c>
      <c r="G468" s="3">
        <v>110</v>
      </c>
    </row>
    <row r="469" spans="1:7" x14ac:dyDescent="0.3">
      <c r="A469" t="s">
        <v>536</v>
      </c>
      <c r="B469" t="s">
        <v>551</v>
      </c>
      <c r="C469" t="s">
        <v>552</v>
      </c>
      <c r="D469" s="3">
        <v>30</v>
      </c>
      <c r="E469" s="3">
        <v>59</v>
      </c>
      <c r="F469" s="3">
        <v>210</v>
      </c>
      <c r="G469" s="3">
        <v>110</v>
      </c>
    </row>
    <row r="470" spans="1:7" x14ac:dyDescent="0.3">
      <c r="A470" t="s">
        <v>536</v>
      </c>
      <c r="B470" t="s">
        <v>573</v>
      </c>
      <c r="C470" t="s">
        <v>117</v>
      </c>
      <c r="D470" s="3">
        <v>30</v>
      </c>
      <c r="E470" s="3">
        <v>142</v>
      </c>
      <c r="F470" s="3">
        <v>627</v>
      </c>
      <c r="G470" s="3">
        <v>110</v>
      </c>
    </row>
    <row r="471" spans="1:7" x14ac:dyDescent="0.3">
      <c r="A471" t="s">
        <v>593</v>
      </c>
      <c r="B471" t="s">
        <v>656</v>
      </c>
      <c r="C471" t="s">
        <v>667</v>
      </c>
      <c r="D471" s="3">
        <v>31</v>
      </c>
      <c r="E471" s="3">
        <v>112</v>
      </c>
      <c r="F471" s="3">
        <v>499</v>
      </c>
      <c r="G471" s="3">
        <v>110</v>
      </c>
    </row>
    <row r="472" spans="1:7" x14ac:dyDescent="0.3">
      <c r="A472" t="s">
        <v>593</v>
      </c>
      <c r="B472" t="s">
        <v>656</v>
      </c>
      <c r="C472" t="s">
        <v>668</v>
      </c>
      <c r="D472" s="3">
        <v>31</v>
      </c>
      <c r="E472" s="3">
        <v>112</v>
      </c>
      <c r="F472" s="3">
        <v>500</v>
      </c>
      <c r="G472" s="3">
        <v>110</v>
      </c>
    </row>
    <row r="473" spans="1:7" x14ac:dyDescent="0.3">
      <c r="A473" t="s">
        <v>593</v>
      </c>
      <c r="B473" t="s">
        <v>694</v>
      </c>
      <c r="C473" t="s">
        <v>697</v>
      </c>
      <c r="D473" s="3">
        <v>31</v>
      </c>
      <c r="E473" s="3">
        <v>157</v>
      </c>
      <c r="F473" s="3">
        <v>687</v>
      </c>
      <c r="G473" s="3">
        <v>110</v>
      </c>
    </row>
    <row r="474" spans="1:7" x14ac:dyDescent="0.3">
      <c r="A474" t="s">
        <v>593</v>
      </c>
      <c r="B474" t="s">
        <v>704</v>
      </c>
      <c r="C474" t="s">
        <v>705</v>
      </c>
      <c r="D474" s="3">
        <v>31</v>
      </c>
      <c r="E474" s="3">
        <v>192</v>
      </c>
      <c r="F474" s="3">
        <v>890</v>
      </c>
      <c r="G474" s="3">
        <v>110</v>
      </c>
    </row>
    <row r="475" spans="1:7" x14ac:dyDescent="0.3">
      <c r="A475" t="s">
        <v>712</v>
      </c>
      <c r="B475" t="s">
        <v>713</v>
      </c>
      <c r="C475" t="s">
        <v>716</v>
      </c>
      <c r="D475" s="3">
        <v>33</v>
      </c>
      <c r="E475" s="3">
        <v>28</v>
      </c>
      <c r="F475" s="3">
        <v>106</v>
      </c>
      <c r="G475" s="3">
        <v>110</v>
      </c>
    </row>
    <row r="476" spans="1:7" x14ac:dyDescent="0.3">
      <c r="A476" t="s">
        <v>712</v>
      </c>
      <c r="B476" t="s">
        <v>713</v>
      </c>
      <c r="C476" t="s">
        <v>718</v>
      </c>
      <c r="D476" s="3">
        <v>33</v>
      </c>
      <c r="E476" s="3">
        <v>28</v>
      </c>
      <c r="F476" s="3">
        <v>108</v>
      </c>
      <c r="G476" s="3">
        <v>110</v>
      </c>
    </row>
    <row r="477" spans="1:7" x14ac:dyDescent="0.3">
      <c r="A477" t="s">
        <v>725</v>
      </c>
      <c r="B477" t="s">
        <v>741</v>
      </c>
      <c r="C477" t="s">
        <v>742</v>
      </c>
      <c r="D477" s="3">
        <v>35</v>
      </c>
      <c r="E477" s="3">
        <v>175</v>
      </c>
      <c r="F477" s="3">
        <v>751</v>
      </c>
      <c r="G477" s="3">
        <v>110</v>
      </c>
    </row>
    <row r="478" spans="1:7" x14ac:dyDescent="0.3">
      <c r="A478" t="s">
        <v>745</v>
      </c>
      <c r="B478" t="s">
        <v>757</v>
      </c>
      <c r="C478" t="s">
        <v>771</v>
      </c>
      <c r="D478" s="3">
        <v>36</v>
      </c>
      <c r="E478" s="3">
        <v>79</v>
      </c>
      <c r="F478" s="3">
        <v>302</v>
      </c>
      <c r="G478" s="3">
        <v>110</v>
      </c>
    </row>
    <row r="479" spans="1:7" x14ac:dyDescent="0.3">
      <c r="A479" t="s">
        <v>832</v>
      </c>
      <c r="B479" t="s">
        <v>833</v>
      </c>
      <c r="C479" t="s">
        <v>196</v>
      </c>
      <c r="D479" s="3">
        <v>39</v>
      </c>
      <c r="E479" s="3">
        <v>124</v>
      </c>
      <c r="F479" s="3">
        <v>558</v>
      </c>
      <c r="G479" s="3">
        <v>110</v>
      </c>
    </row>
    <row r="480" spans="1:7" x14ac:dyDescent="0.3">
      <c r="A480" t="s">
        <v>939</v>
      </c>
      <c r="B480" t="s">
        <v>940</v>
      </c>
      <c r="C480" t="s">
        <v>941</v>
      </c>
      <c r="D480" s="3">
        <v>55</v>
      </c>
      <c r="E480" s="3">
        <v>186</v>
      </c>
      <c r="F480" s="3">
        <v>878</v>
      </c>
      <c r="G480" s="3">
        <v>110</v>
      </c>
    </row>
    <row r="481" spans="1:7" x14ac:dyDescent="0.3">
      <c r="A481" t="s">
        <v>28</v>
      </c>
      <c r="B481" t="s">
        <v>37</v>
      </c>
      <c r="C481" t="s">
        <v>46</v>
      </c>
      <c r="D481" s="3">
        <v>4</v>
      </c>
      <c r="E481" s="3">
        <v>15</v>
      </c>
      <c r="F481" s="3">
        <v>51</v>
      </c>
      <c r="G481" s="3">
        <v>120</v>
      </c>
    </row>
    <row r="482" spans="1:7" x14ac:dyDescent="0.3">
      <c r="A482" t="s">
        <v>28</v>
      </c>
      <c r="B482" t="s">
        <v>63</v>
      </c>
      <c r="C482" t="s">
        <v>65</v>
      </c>
      <c r="D482" s="3">
        <v>4</v>
      </c>
      <c r="E482" s="3">
        <v>65</v>
      </c>
      <c r="F482" s="3">
        <v>222</v>
      </c>
      <c r="G482" s="3">
        <v>120</v>
      </c>
    </row>
    <row r="483" spans="1:7" x14ac:dyDescent="0.3">
      <c r="A483" t="s">
        <v>75</v>
      </c>
      <c r="B483" t="s">
        <v>82</v>
      </c>
      <c r="C483" t="s">
        <v>89</v>
      </c>
      <c r="D483" s="3">
        <v>7</v>
      </c>
      <c r="E483" s="3">
        <v>178</v>
      </c>
      <c r="F483" s="3">
        <v>766</v>
      </c>
      <c r="G483" s="3">
        <v>120</v>
      </c>
    </row>
    <row r="484" spans="1:7" x14ac:dyDescent="0.3">
      <c r="A484" t="s">
        <v>75</v>
      </c>
      <c r="B484" t="s">
        <v>82</v>
      </c>
      <c r="C484" t="s">
        <v>90</v>
      </c>
      <c r="D484" s="3">
        <v>7</v>
      </c>
      <c r="E484" s="3">
        <v>178</v>
      </c>
      <c r="F484" s="3">
        <v>767</v>
      </c>
      <c r="G484" s="3">
        <v>120</v>
      </c>
    </row>
    <row r="485" spans="1:7" x14ac:dyDescent="0.3">
      <c r="A485" t="s">
        <v>75</v>
      </c>
      <c r="B485" t="s">
        <v>82</v>
      </c>
      <c r="C485" t="s">
        <v>94</v>
      </c>
      <c r="D485" s="3">
        <v>7</v>
      </c>
      <c r="E485" s="3">
        <v>178</v>
      </c>
      <c r="F485" s="3">
        <v>771</v>
      </c>
      <c r="G485" s="3">
        <v>120</v>
      </c>
    </row>
    <row r="486" spans="1:7" x14ac:dyDescent="0.3">
      <c r="A486" s="9" t="s">
        <v>127</v>
      </c>
      <c r="B486" s="9" t="s">
        <v>132</v>
      </c>
      <c r="C486" s="9" t="s">
        <v>133</v>
      </c>
      <c r="D486" s="3">
        <v>9</v>
      </c>
      <c r="E486" s="3">
        <v>155</v>
      </c>
      <c r="F486" s="3">
        <v>681</v>
      </c>
      <c r="G486" s="3">
        <v>120</v>
      </c>
    </row>
    <row r="487" spans="1:7" x14ac:dyDescent="0.3">
      <c r="A487" s="9" t="s">
        <v>171</v>
      </c>
      <c r="B487" s="9" t="s">
        <v>172</v>
      </c>
      <c r="C487" s="9" t="s">
        <v>176</v>
      </c>
      <c r="D487" s="3">
        <v>15</v>
      </c>
      <c r="E487" s="3">
        <v>91</v>
      </c>
      <c r="F487" s="3">
        <v>348</v>
      </c>
      <c r="G487" s="3">
        <v>120</v>
      </c>
    </row>
    <row r="488" spans="1:7" x14ac:dyDescent="0.3">
      <c r="A488" t="s">
        <v>239</v>
      </c>
      <c r="B488" t="s">
        <v>245</v>
      </c>
      <c r="C488" t="s">
        <v>251</v>
      </c>
      <c r="D488" s="3">
        <v>17</v>
      </c>
      <c r="E488" s="3">
        <v>185</v>
      </c>
      <c r="F488" s="3">
        <v>818</v>
      </c>
      <c r="G488" s="3">
        <v>120</v>
      </c>
    </row>
    <row r="489" spans="1:7" x14ac:dyDescent="0.3">
      <c r="A489" t="s">
        <v>239</v>
      </c>
      <c r="B489" t="s">
        <v>245</v>
      </c>
      <c r="C489" t="s">
        <v>261</v>
      </c>
      <c r="D489" s="3">
        <v>17</v>
      </c>
      <c r="E489" s="3">
        <v>185</v>
      </c>
      <c r="F489" s="3">
        <v>828</v>
      </c>
      <c r="G489" s="3">
        <v>120</v>
      </c>
    </row>
    <row r="490" spans="1:7" x14ac:dyDescent="0.3">
      <c r="A490" t="s">
        <v>239</v>
      </c>
      <c r="B490" t="s">
        <v>245</v>
      </c>
      <c r="C490" t="s">
        <v>292</v>
      </c>
      <c r="D490" s="3">
        <v>17</v>
      </c>
      <c r="E490" s="3">
        <v>185</v>
      </c>
      <c r="F490" s="3">
        <v>861</v>
      </c>
      <c r="G490" s="3">
        <v>120</v>
      </c>
    </row>
    <row r="491" spans="1:7" x14ac:dyDescent="0.3">
      <c r="A491" t="s">
        <v>308</v>
      </c>
      <c r="B491" t="s">
        <v>313</v>
      </c>
      <c r="C491" t="s">
        <v>314</v>
      </c>
      <c r="D491" s="3">
        <v>18</v>
      </c>
      <c r="E491" s="3">
        <v>139</v>
      </c>
      <c r="F491" s="3">
        <v>622</v>
      </c>
      <c r="G491" s="3">
        <v>120</v>
      </c>
    </row>
    <row r="492" spans="1:7" x14ac:dyDescent="0.3">
      <c r="A492" t="s">
        <v>321</v>
      </c>
      <c r="B492" t="s">
        <v>322</v>
      </c>
      <c r="C492" t="s">
        <v>327</v>
      </c>
      <c r="D492" s="3">
        <v>21</v>
      </c>
      <c r="E492" s="3">
        <v>173</v>
      </c>
      <c r="F492" s="3">
        <v>739</v>
      </c>
      <c r="G492" s="3">
        <v>120</v>
      </c>
    </row>
    <row r="493" spans="1:7" x14ac:dyDescent="0.3">
      <c r="A493" t="s">
        <v>354</v>
      </c>
      <c r="B493" t="s">
        <v>360</v>
      </c>
      <c r="C493" t="s">
        <v>362</v>
      </c>
      <c r="D493" s="3">
        <v>25</v>
      </c>
      <c r="E493" s="3">
        <v>128</v>
      </c>
      <c r="F493" s="3">
        <v>595</v>
      </c>
      <c r="G493" s="3">
        <v>120</v>
      </c>
    </row>
    <row r="494" spans="1:7" x14ac:dyDescent="0.3">
      <c r="A494" t="s">
        <v>363</v>
      </c>
      <c r="B494" t="s">
        <v>379</v>
      </c>
      <c r="C494" t="s">
        <v>383</v>
      </c>
      <c r="D494" s="3">
        <v>26</v>
      </c>
      <c r="E494" s="3">
        <v>123</v>
      </c>
      <c r="F494" s="3">
        <v>540</v>
      </c>
      <c r="G494" s="3">
        <v>120</v>
      </c>
    </row>
    <row r="495" spans="1:7" x14ac:dyDescent="0.3">
      <c r="A495" t="s">
        <v>363</v>
      </c>
      <c r="B495" t="s">
        <v>379</v>
      </c>
      <c r="C495" t="s">
        <v>385</v>
      </c>
      <c r="D495" s="3">
        <v>26</v>
      </c>
      <c r="E495" s="3">
        <v>123</v>
      </c>
      <c r="F495" s="3">
        <v>543</v>
      </c>
      <c r="G495" s="3">
        <v>120</v>
      </c>
    </row>
    <row r="496" spans="1:7" x14ac:dyDescent="0.3">
      <c r="A496" t="s">
        <v>363</v>
      </c>
      <c r="B496" t="s">
        <v>390</v>
      </c>
      <c r="C496" t="s">
        <v>392</v>
      </c>
      <c r="D496" s="3">
        <v>26</v>
      </c>
      <c r="E496" s="3">
        <v>126</v>
      </c>
      <c r="F496" s="3">
        <v>569</v>
      </c>
      <c r="G496" s="3">
        <v>120</v>
      </c>
    </row>
    <row r="497" spans="1:7" x14ac:dyDescent="0.3">
      <c r="A497" t="s">
        <v>363</v>
      </c>
      <c r="B497" t="s">
        <v>390</v>
      </c>
      <c r="C497" t="s">
        <v>395</v>
      </c>
      <c r="D497" s="3">
        <v>26</v>
      </c>
      <c r="E497" s="3">
        <v>126</v>
      </c>
      <c r="F497" s="3">
        <v>573</v>
      </c>
      <c r="G497" s="3">
        <v>120</v>
      </c>
    </row>
    <row r="498" spans="1:7" x14ac:dyDescent="0.3">
      <c r="A498" t="s">
        <v>416</v>
      </c>
      <c r="B498" t="s">
        <v>424</v>
      </c>
      <c r="C498" t="s">
        <v>426</v>
      </c>
      <c r="D498" s="3">
        <v>27</v>
      </c>
      <c r="E498" s="3">
        <v>50</v>
      </c>
      <c r="F498" s="3">
        <v>183</v>
      </c>
      <c r="G498" s="3">
        <v>120</v>
      </c>
    </row>
    <row r="499" spans="1:7" x14ac:dyDescent="0.3">
      <c r="A499" t="s">
        <v>456</v>
      </c>
      <c r="B499" t="s">
        <v>457</v>
      </c>
      <c r="C499" t="s">
        <v>460</v>
      </c>
      <c r="D499" s="3">
        <v>29</v>
      </c>
      <c r="E499" s="3">
        <v>2</v>
      </c>
      <c r="F499" s="3">
        <v>8</v>
      </c>
      <c r="G499" s="3">
        <v>120</v>
      </c>
    </row>
    <row r="500" spans="1:7" x14ac:dyDescent="0.3">
      <c r="A500" t="s">
        <v>456</v>
      </c>
      <c r="B500" t="s">
        <v>500</v>
      </c>
      <c r="C500" t="s">
        <v>210</v>
      </c>
      <c r="D500" s="3">
        <v>29</v>
      </c>
      <c r="E500" s="3">
        <v>97</v>
      </c>
      <c r="F500" s="3">
        <v>369</v>
      </c>
      <c r="G500" s="3">
        <v>120</v>
      </c>
    </row>
    <row r="501" spans="1:7" x14ac:dyDescent="0.3">
      <c r="A501" t="s">
        <v>536</v>
      </c>
      <c r="B501" t="s">
        <v>549</v>
      </c>
      <c r="C501" t="s">
        <v>550</v>
      </c>
      <c r="D501" s="3">
        <v>30</v>
      </c>
      <c r="E501" s="3">
        <v>46</v>
      </c>
      <c r="F501" s="3">
        <v>164</v>
      </c>
      <c r="G501" s="3">
        <v>120</v>
      </c>
    </row>
    <row r="502" spans="1:7" x14ac:dyDescent="0.3">
      <c r="A502" t="s">
        <v>536</v>
      </c>
      <c r="B502" t="s">
        <v>577</v>
      </c>
      <c r="C502" t="s">
        <v>579</v>
      </c>
      <c r="D502" s="3">
        <v>30</v>
      </c>
      <c r="E502" s="3">
        <v>145</v>
      </c>
      <c r="F502" s="3">
        <v>632</v>
      </c>
      <c r="G502" s="3">
        <v>120</v>
      </c>
    </row>
    <row r="503" spans="1:7" x14ac:dyDescent="0.3">
      <c r="A503" t="s">
        <v>593</v>
      </c>
      <c r="B503" t="s">
        <v>626</v>
      </c>
      <c r="C503" t="s">
        <v>635</v>
      </c>
      <c r="D503" s="3">
        <v>31</v>
      </c>
      <c r="E503" s="3">
        <v>109</v>
      </c>
      <c r="F503" s="3">
        <v>466</v>
      </c>
      <c r="G503" s="3">
        <v>120</v>
      </c>
    </row>
    <row r="504" spans="1:7" x14ac:dyDescent="0.3">
      <c r="A504" t="s">
        <v>593</v>
      </c>
      <c r="B504" t="s">
        <v>656</v>
      </c>
      <c r="C504" t="s">
        <v>60</v>
      </c>
      <c r="D504" s="3">
        <v>31</v>
      </c>
      <c r="E504" s="3">
        <v>112</v>
      </c>
      <c r="F504" s="3">
        <v>505</v>
      </c>
      <c r="G504" s="3">
        <v>120</v>
      </c>
    </row>
    <row r="505" spans="1:7" x14ac:dyDescent="0.3">
      <c r="A505" t="s">
        <v>593</v>
      </c>
      <c r="B505" t="s">
        <v>693</v>
      </c>
      <c r="C505" t="s">
        <v>214</v>
      </c>
      <c r="D505" s="3">
        <v>31</v>
      </c>
      <c r="E505" s="3">
        <v>151</v>
      </c>
      <c r="F505" s="3">
        <v>647</v>
      </c>
      <c r="G505" s="3">
        <v>120</v>
      </c>
    </row>
    <row r="506" spans="1:7" x14ac:dyDescent="0.3">
      <c r="A506" t="s">
        <v>712</v>
      </c>
      <c r="B506" t="s">
        <v>713</v>
      </c>
      <c r="C506" t="s">
        <v>721</v>
      </c>
      <c r="D506" s="3">
        <v>33</v>
      </c>
      <c r="E506" s="3">
        <v>28</v>
      </c>
      <c r="F506" s="3">
        <v>112</v>
      </c>
      <c r="G506" s="3">
        <v>120</v>
      </c>
    </row>
    <row r="507" spans="1:7" x14ac:dyDescent="0.3">
      <c r="A507" t="s">
        <v>722</v>
      </c>
      <c r="B507" t="s">
        <v>723</v>
      </c>
      <c r="C507" t="s">
        <v>724</v>
      </c>
      <c r="D507" s="3">
        <v>34</v>
      </c>
      <c r="E507" s="3">
        <v>120</v>
      </c>
      <c r="F507" s="3">
        <v>532</v>
      </c>
      <c r="G507" s="3">
        <v>120</v>
      </c>
    </row>
    <row r="508" spans="1:7" x14ac:dyDescent="0.3">
      <c r="A508" t="s">
        <v>745</v>
      </c>
      <c r="B508" t="s">
        <v>748</v>
      </c>
      <c r="C508" t="s">
        <v>751</v>
      </c>
      <c r="D508" s="3">
        <v>36</v>
      </c>
      <c r="E508" s="3">
        <v>24</v>
      </c>
      <c r="F508" s="3">
        <v>87</v>
      </c>
      <c r="G508" s="3">
        <v>120</v>
      </c>
    </row>
    <row r="509" spans="1:7" x14ac:dyDescent="0.3">
      <c r="A509" t="s">
        <v>875</v>
      </c>
      <c r="B509" t="s">
        <v>896</v>
      </c>
      <c r="C509" t="s">
        <v>906</v>
      </c>
      <c r="D509" s="3">
        <v>50</v>
      </c>
      <c r="E509" s="3">
        <v>152</v>
      </c>
      <c r="F509" s="3">
        <v>659</v>
      </c>
      <c r="G509" s="3">
        <v>120</v>
      </c>
    </row>
    <row r="510" spans="1:7" x14ac:dyDescent="0.3">
      <c r="A510" t="s">
        <v>875</v>
      </c>
      <c r="B510" t="s">
        <v>896</v>
      </c>
      <c r="C510" t="s">
        <v>911</v>
      </c>
      <c r="D510" s="3">
        <v>50</v>
      </c>
      <c r="E510" s="3">
        <v>152</v>
      </c>
      <c r="F510" s="3">
        <v>667</v>
      </c>
      <c r="G510" s="3">
        <v>120</v>
      </c>
    </row>
    <row r="511" spans="1:7" x14ac:dyDescent="0.3">
      <c r="A511" t="s">
        <v>931</v>
      </c>
      <c r="B511" t="s">
        <v>932</v>
      </c>
      <c r="C511" t="s">
        <v>935</v>
      </c>
      <c r="D511" s="3">
        <v>53</v>
      </c>
      <c r="E511" s="3">
        <v>160</v>
      </c>
      <c r="F511" s="3">
        <v>698</v>
      </c>
      <c r="G511" s="3">
        <v>120</v>
      </c>
    </row>
    <row r="512" spans="1:7" x14ac:dyDescent="0.3">
      <c r="A512" t="s">
        <v>75</v>
      </c>
      <c r="B512" t="s">
        <v>82</v>
      </c>
      <c r="C512" t="s">
        <v>106</v>
      </c>
      <c r="D512" s="3">
        <v>7</v>
      </c>
      <c r="E512" s="3">
        <v>178</v>
      </c>
      <c r="F512" s="3">
        <v>783</v>
      </c>
      <c r="G512" s="3">
        <v>130</v>
      </c>
    </row>
    <row r="513" spans="1:7" x14ac:dyDescent="0.3">
      <c r="A513" t="s">
        <v>171</v>
      </c>
      <c r="B513" t="s">
        <v>172</v>
      </c>
      <c r="C513" t="s">
        <v>182</v>
      </c>
      <c r="D513" s="3">
        <v>15</v>
      </c>
      <c r="E513" s="3">
        <v>91</v>
      </c>
      <c r="F513" s="3">
        <v>354</v>
      </c>
      <c r="G513" s="3">
        <v>130</v>
      </c>
    </row>
    <row r="514" spans="1:7" x14ac:dyDescent="0.3">
      <c r="A514" t="s">
        <v>171</v>
      </c>
      <c r="B514" t="s">
        <v>188</v>
      </c>
      <c r="C514" t="s">
        <v>206</v>
      </c>
      <c r="D514" s="3">
        <v>15</v>
      </c>
      <c r="E514" s="3">
        <v>107</v>
      </c>
      <c r="F514" s="3">
        <v>430</v>
      </c>
      <c r="G514" s="3">
        <v>130</v>
      </c>
    </row>
    <row r="515" spans="1:7" x14ac:dyDescent="0.3">
      <c r="A515" t="s">
        <v>171</v>
      </c>
      <c r="B515" t="s">
        <v>188</v>
      </c>
      <c r="C515" t="s">
        <v>208</v>
      </c>
      <c r="D515" s="3">
        <v>15</v>
      </c>
      <c r="E515" s="3">
        <v>107</v>
      </c>
      <c r="F515" s="3">
        <v>432</v>
      </c>
      <c r="G515" s="3">
        <v>130</v>
      </c>
    </row>
    <row r="516" spans="1:7" x14ac:dyDescent="0.3">
      <c r="A516" t="s">
        <v>239</v>
      </c>
      <c r="B516" t="s">
        <v>245</v>
      </c>
      <c r="C516" t="s">
        <v>232</v>
      </c>
      <c r="D516" s="3">
        <v>17</v>
      </c>
      <c r="E516" s="3">
        <v>185</v>
      </c>
      <c r="F516" s="3">
        <v>811</v>
      </c>
      <c r="G516" s="3">
        <v>130</v>
      </c>
    </row>
    <row r="517" spans="1:7" x14ac:dyDescent="0.3">
      <c r="A517" t="s">
        <v>239</v>
      </c>
      <c r="B517" t="s">
        <v>245</v>
      </c>
      <c r="C517" t="s">
        <v>255</v>
      </c>
      <c r="D517" s="3">
        <v>17</v>
      </c>
      <c r="E517" s="3">
        <v>185</v>
      </c>
      <c r="F517" s="3">
        <v>822</v>
      </c>
      <c r="G517" s="3">
        <v>130</v>
      </c>
    </row>
    <row r="518" spans="1:7" x14ac:dyDescent="0.3">
      <c r="A518" t="s">
        <v>317</v>
      </c>
      <c r="B518" t="s">
        <v>318</v>
      </c>
      <c r="C518" t="s">
        <v>320</v>
      </c>
      <c r="D518" s="3">
        <v>20</v>
      </c>
      <c r="E518" s="3">
        <v>60</v>
      </c>
      <c r="F518" s="3">
        <v>213</v>
      </c>
      <c r="G518" s="3">
        <v>130</v>
      </c>
    </row>
    <row r="519" spans="1:7" x14ac:dyDescent="0.3">
      <c r="A519" t="s">
        <v>354</v>
      </c>
      <c r="B519" t="s">
        <v>355</v>
      </c>
      <c r="C519" t="s">
        <v>357</v>
      </c>
      <c r="D519" s="3">
        <v>25</v>
      </c>
      <c r="E519" s="3">
        <v>102</v>
      </c>
      <c r="F519" s="3">
        <v>382</v>
      </c>
      <c r="G519" s="3">
        <v>130</v>
      </c>
    </row>
    <row r="520" spans="1:7" x14ac:dyDescent="0.3">
      <c r="A520" t="s">
        <v>363</v>
      </c>
      <c r="B520" t="s">
        <v>390</v>
      </c>
      <c r="C520" t="s">
        <v>236</v>
      </c>
      <c r="D520" s="3">
        <v>26</v>
      </c>
      <c r="E520" s="3">
        <v>126</v>
      </c>
      <c r="F520" s="3">
        <v>580</v>
      </c>
      <c r="G520" s="3">
        <v>130</v>
      </c>
    </row>
    <row r="521" spans="1:7" x14ac:dyDescent="0.3">
      <c r="A521" t="s">
        <v>363</v>
      </c>
      <c r="B521" t="s">
        <v>390</v>
      </c>
      <c r="C521" t="s">
        <v>114</v>
      </c>
      <c r="D521" s="3">
        <v>26</v>
      </c>
      <c r="E521" s="3">
        <v>126</v>
      </c>
      <c r="F521" s="3">
        <v>585</v>
      </c>
      <c r="G521" s="3">
        <v>130</v>
      </c>
    </row>
    <row r="522" spans="1:7" x14ac:dyDescent="0.3">
      <c r="A522" t="s">
        <v>416</v>
      </c>
      <c r="B522" t="s">
        <v>421</v>
      </c>
      <c r="C522" t="s">
        <v>21</v>
      </c>
      <c r="D522" s="3">
        <v>27</v>
      </c>
      <c r="E522" s="3">
        <v>49</v>
      </c>
      <c r="F522" s="3">
        <v>177</v>
      </c>
      <c r="G522" s="3">
        <v>130</v>
      </c>
    </row>
    <row r="523" spans="1:7" x14ac:dyDescent="0.3">
      <c r="A523" t="s">
        <v>416</v>
      </c>
      <c r="B523" t="s">
        <v>427</v>
      </c>
      <c r="C523" t="s">
        <v>435</v>
      </c>
      <c r="D523" s="3">
        <v>27</v>
      </c>
      <c r="E523" s="3">
        <v>73</v>
      </c>
      <c r="F523" s="3">
        <v>244</v>
      </c>
      <c r="G523" s="3">
        <v>130</v>
      </c>
    </row>
    <row r="524" spans="1:7" x14ac:dyDescent="0.3">
      <c r="A524" t="s">
        <v>456</v>
      </c>
      <c r="B524" t="s">
        <v>457</v>
      </c>
      <c r="C524" t="s">
        <v>462</v>
      </c>
      <c r="D524" s="3">
        <v>29</v>
      </c>
      <c r="E524" s="3">
        <v>2</v>
      </c>
      <c r="F524" s="3">
        <v>10</v>
      </c>
      <c r="G524" s="3">
        <v>130</v>
      </c>
    </row>
    <row r="525" spans="1:7" x14ac:dyDescent="0.3">
      <c r="A525" t="s">
        <v>456</v>
      </c>
      <c r="B525" t="s">
        <v>470</v>
      </c>
      <c r="C525" t="s">
        <v>471</v>
      </c>
      <c r="D525" s="3">
        <v>29</v>
      </c>
      <c r="E525" s="3">
        <v>13</v>
      </c>
      <c r="F525" s="3">
        <v>40</v>
      </c>
      <c r="G525" s="3">
        <v>130</v>
      </c>
    </row>
    <row r="526" spans="1:7" x14ac:dyDescent="0.3">
      <c r="A526" t="s">
        <v>456</v>
      </c>
      <c r="B526" t="s">
        <v>483</v>
      </c>
      <c r="C526" t="s">
        <v>329</v>
      </c>
      <c r="D526" s="3">
        <v>29</v>
      </c>
      <c r="E526" s="3">
        <v>47</v>
      </c>
      <c r="F526" s="3">
        <v>170</v>
      </c>
      <c r="G526" s="3">
        <v>130</v>
      </c>
    </row>
    <row r="527" spans="1:7" x14ac:dyDescent="0.3">
      <c r="A527" t="s">
        <v>536</v>
      </c>
      <c r="B527" t="s">
        <v>563</v>
      </c>
      <c r="C527" t="s">
        <v>565</v>
      </c>
      <c r="D527" s="3">
        <v>30</v>
      </c>
      <c r="E527" s="3">
        <v>131</v>
      </c>
      <c r="F527" s="3">
        <v>601</v>
      </c>
      <c r="G527" s="3">
        <v>130</v>
      </c>
    </row>
    <row r="528" spans="1:7" x14ac:dyDescent="0.3">
      <c r="A528" t="s">
        <v>536</v>
      </c>
      <c r="B528" t="s">
        <v>573</v>
      </c>
      <c r="C528" t="s">
        <v>574</v>
      </c>
      <c r="D528" s="3">
        <v>30</v>
      </c>
      <c r="E528" s="3">
        <v>142</v>
      </c>
      <c r="F528" s="3">
        <v>628</v>
      </c>
      <c r="G528" s="3">
        <v>130</v>
      </c>
    </row>
    <row r="529" spans="1:7" x14ac:dyDescent="0.3">
      <c r="A529" t="s">
        <v>593</v>
      </c>
      <c r="B529" t="s">
        <v>656</v>
      </c>
      <c r="C529" t="s">
        <v>671</v>
      </c>
      <c r="D529" s="3">
        <v>31</v>
      </c>
      <c r="E529" s="3">
        <v>112</v>
      </c>
      <c r="F529" s="3">
        <v>503</v>
      </c>
      <c r="G529" s="3">
        <v>130</v>
      </c>
    </row>
    <row r="530" spans="1:7" x14ac:dyDescent="0.3">
      <c r="A530" t="s">
        <v>593</v>
      </c>
      <c r="B530" t="s">
        <v>688</v>
      </c>
      <c r="C530" t="s">
        <v>690</v>
      </c>
      <c r="D530" s="3">
        <v>31</v>
      </c>
      <c r="E530" s="3">
        <v>148</v>
      </c>
      <c r="F530" s="3">
        <v>638</v>
      </c>
      <c r="G530" s="3">
        <v>130</v>
      </c>
    </row>
    <row r="531" spans="1:7" x14ac:dyDescent="0.3">
      <c r="A531" t="s">
        <v>725</v>
      </c>
      <c r="B531" t="s">
        <v>728</v>
      </c>
      <c r="C531" t="s">
        <v>326</v>
      </c>
      <c r="D531" s="3">
        <v>35</v>
      </c>
      <c r="E531" s="3">
        <v>34</v>
      </c>
      <c r="F531" s="3">
        <v>126</v>
      </c>
      <c r="G531" s="3">
        <v>130</v>
      </c>
    </row>
    <row r="532" spans="1:7" x14ac:dyDescent="0.3">
      <c r="A532" t="s">
        <v>843</v>
      </c>
      <c r="B532" t="s">
        <v>844</v>
      </c>
      <c r="C532" t="s">
        <v>505</v>
      </c>
      <c r="D532" s="3">
        <v>40</v>
      </c>
      <c r="E532" s="3">
        <v>118</v>
      </c>
      <c r="F532" s="3">
        <v>528</v>
      </c>
      <c r="G532" s="3">
        <v>130</v>
      </c>
    </row>
    <row r="533" spans="1:7" x14ac:dyDescent="0.3">
      <c r="A533" t="s">
        <v>875</v>
      </c>
      <c r="B533" t="s">
        <v>893</v>
      </c>
      <c r="C533" t="s">
        <v>176</v>
      </c>
      <c r="D533" s="3">
        <v>50</v>
      </c>
      <c r="E533" s="3">
        <v>116</v>
      </c>
      <c r="F533" s="3">
        <v>520</v>
      </c>
      <c r="G533" s="3">
        <v>130</v>
      </c>
    </row>
    <row r="534" spans="1:7" x14ac:dyDescent="0.3">
      <c r="A534" t="s">
        <v>950</v>
      </c>
      <c r="B534" t="s">
        <v>953</v>
      </c>
      <c r="C534" t="s">
        <v>836</v>
      </c>
      <c r="D534" s="3">
        <v>57</v>
      </c>
      <c r="E534" s="3">
        <v>111</v>
      </c>
      <c r="F534" s="3">
        <v>487</v>
      </c>
      <c r="G534" s="3">
        <v>130</v>
      </c>
    </row>
    <row r="535" spans="1:7" x14ac:dyDescent="0.3">
      <c r="A535" t="s">
        <v>75</v>
      </c>
      <c r="B535" t="s">
        <v>82</v>
      </c>
      <c r="C535" t="s">
        <v>107</v>
      </c>
      <c r="D535" s="3">
        <v>7</v>
      </c>
      <c r="E535" s="3">
        <v>178</v>
      </c>
      <c r="F535" s="3">
        <v>784</v>
      </c>
      <c r="G535" s="3">
        <v>140</v>
      </c>
    </row>
    <row r="536" spans="1:7" x14ac:dyDescent="0.3">
      <c r="A536" t="s">
        <v>158</v>
      </c>
      <c r="B536" t="s">
        <v>159</v>
      </c>
      <c r="C536" t="s">
        <v>167</v>
      </c>
      <c r="D536" s="3">
        <v>13</v>
      </c>
      <c r="E536" s="3">
        <v>38</v>
      </c>
      <c r="F536" s="3">
        <v>146</v>
      </c>
      <c r="G536" s="3">
        <v>140</v>
      </c>
    </row>
    <row r="537" spans="1:7" x14ac:dyDescent="0.3">
      <c r="A537" t="s">
        <v>222</v>
      </c>
      <c r="B537" t="s">
        <v>231</v>
      </c>
      <c r="C537" t="s">
        <v>235</v>
      </c>
      <c r="D537" s="3">
        <v>16</v>
      </c>
      <c r="E537" s="3">
        <v>163</v>
      </c>
      <c r="F537" s="3">
        <v>707</v>
      </c>
      <c r="G537" s="3">
        <v>140</v>
      </c>
    </row>
    <row r="538" spans="1:7" x14ac:dyDescent="0.3">
      <c r="A538" t="s">
        <v>239</v>
      </c>
      <c r="B538" t="s">
        <v>245</v>
      </c>
      <c r="C538" t="s">
        <v>304</v>
      </c>
      <c r="D538" s="3">
        <v>17</v>
      </c>
      <c r="E538" s="3">
        <v>185</v>
      </c>
      <c r="F538" s="3">
        <v>874</v>
      </c>
      <c r="G538" s="3">
        <v>140</v>
      </c>
    </row>
    <row r="539" spans="1:7" x14ac:dyDescent="0.3">
      <c r="A539" t="s">
        <v>239</v>
      </c>
      <c r="B539" t="s">
        <v>245</v>
      </c>
      <c r="C539" t="s">
        <v>307</v>
      </c>
      <c r="D539" s="3">
        <v>17</v>
      </c>
      <c r="E539" s="3">
        <v>185</v>
      </c>
      <c r="F539" s="3">
        <v>877</v>
      </c>
      <c r="G539" s="3">
        <v>140</v>
      </c>
    </row>
    <row r="540" spans="1:7" x14ac:dyDescent="0.3">
      <c r="A540" t="s">
        <v>321</v>
      </c>
      <c r="B540" t="s">
        <v>322</v>
      </c>
      <c r="C540" t="s">
        <v>330</v>
      </c>
      <c r="D540" s="3">
        <v>21</v>
      </c>
      <c r="E540" s="3">
        <v>173</v>
      </c>
      <c r="F540" s="3">
        <v>743</v>
      </c>
      <c r="G540" s="3">
        <v>140</v>
      </c>
    </row>
    <row r="541" spans="1:7" x14ac:dyDescent="0.3">
      <c r="A541" t="s">
        <v>354</v>
      </c>
      <c r="B541" t="s">
        <v>360</v>
      </c>
      <c r="C541" t="s">
        <v>361</v>
      </c>
      <c r="D541" s="3">
        <v>25</v>
      </c>
      <c r="E541" s="3">
        <v>128</v>
      </c>
      <c r="F541" s="3">
        <v>594</v>
      </c>
      <c r="G541" s="3">
        <v>140</v>
      </c>
    </row>
    <row r="542" spans="1:7" x14ac:dyDescent="0.3">
      <c r="A542" t="s">
        <v>363</v>
      </c>
      <c r="B542" t="s">
        <v>366</v>
      </c>
      <c r="C542" t="s">
        <v>367</v>
      </c>
      <c r="D542" s="3">
        <v>26</v>
      </c>
      <c r="E542" s="3">
        <v>108</v>
      </c>
      <c r="F542" s="3">
        <v>449</v>
      </c>
      <c r="G542" s="3">
        <v>140</v>
      </c>
    </row>
    <row r="543" spans="1:7" x14ac:dyDescent="0.3">
      <c r="A543" t="s">
        <v>363</v>
      </c>
      <c r="B543" t="s">
        <v>390</v>
      </c>
      <c r="C543" t="s">
        <v>391</v>
      </c>
      <c r="D543" s="3">
        <v>26</v>
      </c>
      <c r="E543" s="3">
        <v>126</v>
      </c>
      <c r="F543" s="3">
        <v>568</v>
      </c>
      <c r="G543" s="3">
        <v>140</v>
      </c>
    </row>
    <row r="544" spans="1:7" x14ac:dyDescent="0.3">
      <c r="A544" t="s">
        <v>416</v>
      </c>
      <c r="B544" t="s">
        <v>427</v>
      </c>
      <c r="C544" t="s">
        <v>438</v>
      </c>
      <c r="D544" s="3">
        <v>27</v>
      </c>
      <c r="E544" s="3">
        <v>73</v>
      </c>
      <c r="F544" s="3">
        <v>249</v>
      </c>
      <c r="G544" s="3">
        <v>140</v>
      </c>
    </row>
    <row r="545" spans="1:7" x14ac:dyDescent="0.3">
      <c r="A545" t="s">
        <v>456</v>
      </c>
      <c r="B545" t="s">
        <v>519</v>
      </c>
      <c r="C545" t="s">
        <v>213</v>
      </c>
      <c r="D545" s="3">
        <v>29</v>
      </c>
      <c r="E545" s="3">
        <v>119</v>
      </c>
      <c r="F545" s="3">
        <v>530</v>
      </c>
      <c r="G545" s="3">
        <v>140</v>
      </c>
    </row>
    <row r="546" spans="1:7" x14ac:dyDescent="0.3">
      <c r="A546" t="s">
        <v>536</v>
      </c>
      <c r="B546" t="s">
        <v>563</v>
      </c>
      <c r="C546" t="s">
        <v>568</v>
      </c>
      <c r="D546" s="3">
        <v>30</v>
      </c>
      <c r="E546" s="3">
        <v>131</v>
      </c>
      <c r="F546" s="3">
        <v>606</v>
      </c>
      <c r="G546" s="3">
        <v>140</v>
      </c>
    </row>
    <row r="547" spans="1:7" x14ac:dyDescent="0.3">
      <c r="A547" t="s">
        <v>536</v>
      </c>
      <c r="B547" t="s">
        <v>563</v>
      </c>
      <c r="C547" t="s">
        <v>18</v>
      </c>
      <c r="D547" s="3">
        <v>30</v>
      </c>
      <c r="E547" s="3">
        <v>131</v>
      </c>
      <c r="F547" s="3">
        <v>609</v>
      </c>
      <c r="G547" s="3">
        <v>140</v>
      </c>
    </row>
    <row r="548" spans="1:7" x14ac:dyDescent="0.3">
      <c r="A548" t="s">
        <v>593</v>
      </c>
      <c r="B548" t="s">
        <v>601</v>
      </c>
      <c r="C548" t="s">
        <v>608</v>
      </c>
      <c r="D548" s="3">
        <v>31</v>
      </c>
      <c r="E548" s="3">
        <v>54</v>
      </c>
      <c r="F548" s="3">
        <v>194</v>
      </c>
      <c r="G548" s="3">
        <v>140</v>
      </c>
    </row>
    <row r="549" spans="1:7" x14ac:dyDescent="0.3">
      <c r="A549" t="s">
        <v>593</v>
      </c>
      <c r="B549" t="s">
        <v>626</v>
      </c>
      <c r="C549" t="s">
        <v>633</v>
      </c>
      <c r="D549" s="3">
        <v>31</v>
      </c>
      <c r="E549" s="3">
        <v>109</v>
      </c>
      <c r="F549" s="3">
        <v>464</v>
      </c>
      <c r="G549" s="3">
        <v>140</v>
      </c>
    </row>
    <row r="550" spans="1:7" x14ac:dyDescent="0.3">
      <c r="A550" t="s">
        <v>593</v>
      </c>
      <c r="B550" t="s">
        <v>656</v>
      </c>
      <c r="C550" t="s">
        <v>670</v>
      </c>
      <c r="D550" s="3">
        <v>31</v>
      </c>
      <c r="E550" s="3">
        <v>112</v>
      </c>
      <c r="F550" s="3">
        <v>502</v>
      </c>
      <c r="G550" s="3">
        <v>140</v>
      </c>
    </row>
    <row r="551" spans="1:7" x14ac:dyDescent="0.3">
      <c r="A551" t="s">
        <v>593</v>
      </c>
      <c r="B551" t="s">
        <v>656</v>
      </c>
      <c r="C551" t="s">
        <v>674</v>
      </c>
      <c r="D551" s="3">
        <v>31</v>
      </c>
      <c r="E551" s="3">
        <v>112</v>
      </c>
      <c r="F551" s="3">
        <v>508</v>
      </c>
      <c r="G551" s="3">
        <v>140</v>
      </c>
    </row>
    <row r="552" spans="1:7" x14ac:dyDescent="0.3">
      <c r="A552" t="s">
        <v>593</v>
      </c>
      <c r="B552" t="s">
        <v>704</v>
      </c>
      <c r="C552" t="s">
        <v>706</v>
      </c>
      <c r="D552" s="3">
        <v>31</v>
      </c>
      <c r="E552" s="3">
        <v>192</v>
      </c>
      <c r="F552" s="3">
        <v>891</v>
      </c>
      <c r="G552" s="3">
        <v>140</v>
      </c>
    </row>
    <row r="553" spans="1:7" x14ac:dyDescent="0.3">
      <c r="A553" t="s">
        <v>864</v>
      </c>
      <c r="B553" t="s">
        <v>867</v>
      </c>
      <c r="C553" t="s">
        <v>468</v>
      </c>
      <c r="D553" s="3">
        <v>47</v>
      </c>
      <c r="E553" s="3">
        <v>74</v>
      </c>
      <c r="F553" s="3">
        <v>259</v>
      </c>
      <c r="G553" s="3">
        <v>140</v>
      </c>
    </row>
    <row r="554" spans="1:7" x14ac:dyDescent="0.3">
      <c r="A554" t="s">
        <v>875</v>
      </c>
      <c r="B554" t="s">
        <v>884</v>
      </c>
      <c r="C554" t="s">
        <v>60</v>
      </c>
      <c r="D554" s="3">
        <v>50</v>
      </c>
      <c r="E554" s="3">
        <v>81</v>
      </c>
      <c r="F554" s="3">
        <v>326</v>
      </c>
      <c r="G554" s="3">
        <v>140</v>
      </c>
    </row>
    <row r="555" spans="1:7" x14ac:dyDescent="0.3">
      <c r="A555" t="s">
        <v>875</v>
      </c>
      <c r="B555" t="s">
        <v>893</v>
      </c>
      <c r="C555" t="s">
        <v>895</v>
      </c>
      <c r="D555" s="3">
        <v>50</v>
      </c>
      <c r="E555" s="3">
        <v>116</v>
      </c>
      <c r="F555" s="3">
        <v>523</v>
      </c>
      <c r="G555" s="3">
        <v>140</v>
      </c>
    </row>
    <row r="556" spans="1:7" x14ac:dyDescent="0.3">
      <c r="A556" t="s">
        <v>875</v>
      </c>
      <c r="B556" t="s">
        <v>896</v>
      </c>
      <c r="C556" t="s">
        <v>917</v>
      </c>
      <c r="D556" s="3">
        <v>50</v>
      </c>
      <c r="E556" s="3">
        <v>152</v>
      </c>
      <c r="F556" s="3">
        <v>678</v>
      </c>
      <c r="G556" s="3">
        <v>140</v>
      </c>
    </row>
    <row r="557" spans="1:7" x14ac:dyDescent="0.3">
      <c r="A557" t="s">
        <v>28</v>
      </c>
      <c r="B557" t="s">
        <v>37</v>
      </c>
      <c r="C557" t="s">
        <v>58</v>
      </c>
      <c r="D557" s="3">
        <v>4</v>
      </c>
      <c r="E557" s="3">
        <v>15</v>
      </c>
      <c r="F557" s="3">
        <v>64</v>
      </c>
      <c r="G557" s="3">
        <v>150</v>
      </c>
    </row>
    <row r="558" spans="1:7" x14ac:dyDescent="0.3">
      <c r="A558" t="s">
        <v>75</v>
      </c>
      <c r="B558" t="s">
        <v>82</v>
      </c>
      <c r="C558" t="s">
        <v>123</v>
      </c>
      <c r="D558" s="3">
        <v>7</v>
      </c>
      <c r="E558" s="3">
        <v>178</v>
      </c>
      <c r="F558" s="3">
        <v>800</v>
      </c>
      <c r="G558" s="3">
        <v>150</v>
      </c>
    </row>
    <row r="559" spans="1:7" x14ac:dyDescent="0.3">
      <c r="A559" t="s">
        <v>134</v>
      </c>
      <c r="B559" t="s">
        <v>135</v>
      </c>
      <c r="C559" t="s">
        <v>137</v>
      </c>
      <c r="D559" s="3">
        <v>10</v>
      </c>
      <c r="E559" s="3">
        <v>48</v>
      </c>
      <c r="F559" s="3">
        <v>172</v>
      </c>
      <c r="G559" s="3">
        <v>150</v>
      </c>
    </row>
    <row r="560" spans="1:7" x14ac:dyDescent="0.3">
      <c r="A560" t="s">
        <v>171</v>
      </c>
      <c r="B560" t="s">
        <v>188</v>
      </c>
      <c r="C560" t="s">
        <v>114</v>
      </c>
      <c r="D560" s="3">
        <v>15</v>
      </c>
      <c r="E560" s="3">
        <v>107</v>
      </c>
      <c r="F560" s="3">
        <v>437</v>
      </c>
      <c r="G560" s="3">
        <v>150</v>
      </c>
    </row>
    <row r="561" spans="1:7" x14ac:dyDescent="0.3">
      <c r="A561" t="s">
        <v>239</v>
      </c>
      <c r="B561" t="s">
        <v>245</v>
      </c>
      <c r="C561" t="s">
        <v>262</v>
      </c>
      <c r="D561" s="3">
        <v>17</v>
      </c>
      <c r="E561" s="3">
        <v>185</v>
      </c>
      <c r="F561" s="3">
        <v>829</v>
      </c>
      <c r="G561" s="3">
        <v>150</v>
      </c>
    </row>
    <row r="562" spans="1:7" x14ac:dyDescent="0.3">
      <c r="A562" t="s">
        <v>239</v>
      </c>
      <c r="B562" t="s">
        <v>245</v>
      </c>
      <c r="C562" t="s">
        <v>264</v>
      </c>
      <c r="D562" s="3">
        <v>17</v>
      </c>
      <c r="E562" s="3">
        <v>185</v>
      </c>
      <c r="F562" s="3">
        <v>831</v>
      </c>
      <c r="G562" s="3">
        <v>150</v>
      </c>
    </row>
    <row r="563" spans="1:7" x14ac:dyDescent="0.3">
      <c r="A563" t="s">
        <v>239</v>
      </c>
      <c r="B563" t="s">
        <v>245</v>
      </c>
      <c r="C563" t="s">
        <v>278</v>
      </c>
      <c r="D563" s="3">
        <v>17</v>
      </c>
      <c r="E563" s="3">
        <v>185</v>
      </c>
      <c r="F563" s="3">
        <v>846</v>
      </c>
      <c r="G563" s="3">
        <v>150</v>
      </c>
    </row>
    <row r="564" spans="1:7" x14ac:dyDescent="0.3">
      <c r="A564" t="s">
        <v>347</v>
      </c>
      <c r="B564" t="s">
        <v>350</v>
      </c>
      <c r="C564" t="s">
        <v>352</v>
      </c>
      <c r="D564" s="3">
        <v>24</v>
      </c>
      <c r="E564" s="3">
        <v>191</v>
      </c>
      <c r="F564" s="3">
        <v>886</v>
      </c>
      <c r="G564" s="3">
        <v>150</v>
      </c>
    </row>
    <row r="565" spans="1:7" x14ac:dyDescent="0.3">
      <c r="A565" t="s">
        <v>363</v>
      </c>
      <c r="B565" t="s">
        <v>379</v>
      </c>
      <c r="C565" t="s">
        <v>217</v>
      </c>
      <c r="D565" s="3">
        <v>26</v>
      </c>
      <c r="E565" s="3">
        <v>123</v>
      </c>
      <c r="F565" s="3">
        <v>550</v>
      </c>
      <c r="G565" s="3">
        <v>150</v>
      </c>
    </row>
    <row r="566" spans="1:7" x14ac:dyDescent="0.3">
      <c r="A566" t="s">
        <v>416</v>
      </c>
      <c r="B566" t="s">
        <v>450</v>
      </c>
      <c r="C566" t="s">
        <v>213</v>
      </c>
      <c r="D566" s="3">
        <v>27</v>
      </c>
      <c r="E566" s="3">
        <v>105</v>
      </c>
      <c r="F566" s="3">
        <v>397</v>
      </c>
      <c r="G566" s="3">
        <v>150</v>
      </c>
    </row>
    <row r="567" spans="1:7" x14ac:dyDescent="0.3">
      <c r="A567" t="s">
        <v>536</v>
      </c>
      <c r="B567" t="s">
        <v>587</v>
      </c>
      <c r="C567" t="s">
        <v>590</v>
      </c>
      <c r="D567" s="3">
        <v>30</v>
      </c>
      <c r="E567" s="3">
        <v>174</v>
      </c>
      <c r="F567" s="3">
        <v>746</v>
      </c>
      <c r="G567" s="3">
        <v>150</v>
      </c>
    </row>
    <row r="568" spans="1:7" x14ac:dyDescent="0.3">
      <c r="A568" t="s">
        <v>593</v>
      </c>
      <c r="B568" t="s">
        <v>601</v>
      </c>
      <c r="C568" t="s">
        <v>615</v>
      </c>
      <c r="D568" s="3">
        <v>31</v>
      </c>
      <c r="E568" s="3">
        <v>54</v>
      </c>
      <c r="F568" s="3">
        <v>202</v>
      </c>
      <c r="G568" s="3">
        <v>150</v>
      </c>
    </row>
    <row r="569" spans="1:7" x14ac:dyDescent="0.3">
      <c r="A569" t="s">
        <v>593</v>
      </c>
      <c r="B569" t="s">
        <v>621</v>
      </c>
      <c r="C569" t="s">
        <v>625</v>
      </c>
      <c r="D569" s="3">
        <v>31</v>
      </c>
      <c r="E569" s="3">
        <v>98</v>
      </c>
      <c r="F569" s="3">
        <v>377</v>
      </c>
      <c r="G569" s="3">
        <v>150</v>
      </c>
    </row>
    <row r="570" spans="1:7" x14ac:dyDescent="0.3">
      <c r="A570" t="s">
        <v>593</v>
      </c>
      <c r="B570" t="s">
        <v>656</v>
      </c>
      <c r="C570" t="s">
        <v>672</v>
      </c>
      <c r="D570" s="3">
        <v>31</v>
      </c>
      <c r="E570" s="3">
        <v>112</v>
      </c>
      <c r="F570" s="3">
        <v>504</v>
      </c>
      <c r="G570" s="3">
        <v>150</v>
      </c>
    </row>
    <row r="571" spans="1:7" x14ac:dyDescent="0.3">
      <c r="A571" t="s">
        <v>593</v>
      </c>
      <c r="B571" t="s">
        <v>683</v>
      </c>
      <c r="C571" t="s">
        <v>687</v>
      </c>
      <c r="D571" s="3">
        <v>31</v>
      </c>
      <c r="E571" s="3">
        <v>136</v>
      </c>
      <c r="F571" s="3">
        <v>619</v>
      </c>
      <c r="G571" s="3">
        <v>150</v>
      </c>
    </row>
    <row r="572" spans="1:7" x14ac:dyDescent="0.3">
      <c r="A572" t="s">
        <v>712</v>
      </c>
      <c r="B572" t="s">
        <v>713</v>
      </c>
      <c r="C572" t="s">
        <v>720</v>
      </c>
      <c r="D572" s="3">
        <v>33</v>
      </c>
      <c r="E572" s="3">
        <v>28</v>
      </c>
      <c r="F572" s="3">
        <v>110</v>
      </c>
      <c r="G572" s="3">
        <v>150</v>
      </c>
    </row>
    <row r="573" spans="1:7" x14ac:dyDescent="0.3">
      <c r="A573" t="s">
        <v>725</v>
      </c>
      <c r="B573" t="s">
        <v>728</v>
      </c>
      <c r="C573" t="s">
        <v>290</v>
      </c>
      <c r="D573" s="3">
        <v>35</v>
      </c>
      <c r="E573" s="3">
        <v>34</v>
      </c>
      <c r="F573" s="3">
        <v>128</v>
      </c>
      <c r="G573" s="3">
        <v>150</v>
      </c>
    </row>
    <row r="574" spans="1:7" x14ac:dyDescent="0.3">
      <c r="A574" t="s">
        <v>808</v>
      </c>
      <c r="B574" t="s">
        <v>810</v>
      </c>
      <c r="C574" t="s">
        <v>99</v>
      </c>
      <c r="D574" s="3">
        <v>38</v>
      </c>
      <c r="E574" s="3">
        <v>76</v>
      </c>
      <c r="F574" s="3">
        <v>269</v>
      </c>
      <c r="G574" s="3">
        <v>150</v>
      </c>
    </row>
    <row r="575" spans="1:7" x14ac:dyDescent="0.3">
      <c r="A575" t="s">
        <v>875</v>
      </c>
      <c r="B575" t="s">
        <v>896</v>
      </c>
      <c r="C575" t="s">
        <v>891</v>
      </c>
      <c r="D575" s="3">
        <v>50</v>
      </c>
      <c r="E575" s="3">
        <v>152</v>
      </c>
      <c r="F575" s="3">
        <v>672</v>
      </c>
      <c r="G575" s="3">
        <v>150</v>
      </c>
    </row>
    <row r="576" spans="1:7" x14ac:dyDescent="0.3">
      <c r="A576" t="s">
        <v>875</v>
      </c>
      <c r="B576" t="s">
        <v>896</v>
      </c>
      <c r="C576" t="s">
        <v>914</v>
      </c>
      <c r="D576" s="3">
        <v>50</v>
      </c>
      <c r="E576" s="3">
        <v>152</v>
      </c>
      <c r="F576" s="3">
        <v>675</v>
      </c>
      <c r="G576" s="3">
        <v>150</v>
      </c>
    </row>
    <row r="577" spans="1:7" x14ac:dyDescent="0.3">
      <c r="A577" t="s">
        <v>931</v>
      </c>
      <c r="B577" t="s">
        <v>932</v>
      </c>
      <c r="C577" t="s">
        <v>179</v>
      </c>
      <c r="D577" s="3">
        <v>53</v>
      </c>
      <c r="E577" s="3">
        <v>160</v>
      </c>
      <c r="F577" s="3">
        <v>696</v>
      </c>
      <c r="G577" s="3">
        <v>150</v>
      </c>
    </row>
    <row r="578" spans="1:7" x14ac:dyDescent="0.3">
      <c r="A578" t="s">
        <v>171</v>
      </c>
      <c r="B578" t="s">
        <v>172</v>
      </c>
      <c r="C578" t="s">
        <v>179</v>
      </c>
      <c r="D578" s="3">
        <v>15</v>
      </c>
      <c r="E578" s="3">
        <v>91</v>
      </c>
      <c r="F578" s="3">
        <v>351</v>
      </c>
      <c r="G578" s="3">
        <v>160</v>
      </c>
    </row>
    <row r="579" spans="1:7" x14ac:dyDescent="0.3">
      <c r="A579" t="s">
        <v>171</v>
      </c>
      <c r="B579" t="s">
        <v>172</v>
      </c>
      <c r="C579" t="s">
        <v>184</v>
      </c>
      <c r="D579" s="3">
        <v>15</v>
      </c>
      <c r="E579" s="3">
        <v>91</v>
      </c>
      <c r="F579" s="3">
        <v>356</v>
      </c>
      <c r="G579" s="3">
        <v>160</v>
      </c>
    </row>
    <row r="580" spans="1:7" x14ac:dyDescent="0.3">
      <c r="A580" t="s">
        <v>222</v>
      </c>
      <c r="B580" t="s">
        <v>231</v>
      </c>
      <c r="C580" t="s">
        <v>234</v>
      </c>
      <c r="D580" s="3">
        <v>16</v>
      </c>
      <c r="E580" s="3">
        <v>163</v>
      </c>
      <c r="F580" s="3">
        <v>706</v>
      </c>
      <c r="G580" s="3">
        <v>160</v>
      </c>
    </row>
    <row r="581" spans="1:7" x14ac:dyDescent="0.3">
      <c r="A581" t="s">
        <v>239</v>
      </c>
      <c r="B581" t="s">
        <v>245</v>
      </c>
      <c r="C581" t="s">
        <v>281</v>
      </c>
      <c r="D581" s="3">
        <v>17</v>
      </c>
      <c r="E581" s="3">
        <v>185</v>
      </c>
      <c r="F581" s="3">
        <v>850</v>
      </c>
      <c r="G581" s="3">
        <v>160</v>
      </c>
    </row>
    <row r="582" spans="1:7" x14ac:dyDescent="0.3">
      <c r="A582" t="s">
        <v>363</v>
      </c>
      <c r="B582" t="s">
        <v>374</v>
      </c>
      <c r="C582" t="s">
        <v>376</v>
      </c>
      <c r="D582" s="3">
        <v>26</v>
      </c>
      <c r="E582" s="3">
        <v>115</v>
      </c>
      <c r="F582" s="3">
        <v>517</v>
      </c>
      <c r="G582" s="3">
        <v>160</v>
      </c>
    </row>
    <row r="583" spans="1:7" x14ac:dyDescent="0.3">
      <c r="A583" t="s">
        <v>416</v>
      </c>
      <c r="B583" t="s">
        <v>427</v>
      </c>
      <c r="C583" t="s">
        <v>439</v>
      </c>
      <c r="D583" s="3">
        <v>27</v>
      </c>
      <c r="E583" s="3">
        <v>73</v>
      </c>
      <c r="F583" s="3">
        <v>250</v>
      </c>
      <c r="G583" s="3">
        <v>160</v>
      </c>
    </row>
    <row r="584" spans="1:7" x14ac:dyDescent="0.3">
      <c r="A584" t="s">
        <v>416</v>
      </c>
      <c r="B584" t="s">
        <v>427</v>
      </c>
      <c r="C584" t="s">
        <v>446</v>
      </c>
      <c r="D584" s="3">
        <v>27</v>
      </c>
      <c r="E584" s="3">
        <v>73</v>
      </c>
      <c r="F584" s="3">
        <v>258</v>
      </c>
      <c r="G584" s="3">
        <v>160</v>
      </c>
    </row>
    <row r="585" spans="1:7" x14ac:dyDescent="0.3">
      <c r="A585" t="s">
        <v>456</v>
      </c>
      <c r="B585" t="s">
        <v>489</v>
      </c>
      <c r="C585" t="s">
        <v>491</v>
      </c>
      <c r="D585" s="3">
        <v>29</v>
      </c>
      <c r="E585" s="3">
        <v>55</v>
      </c>
      <c r="F585" s="3">
        <v>204</v>
      </c>
      <c r="G585" s="3">
        <v>160</v>
      </c>
    </row>
    <row r="586" spans="1:7" x14ac:dyDescent="0.3">
      <c r="A586" t="s">
        <v>536</v>
      </c>
      <c r="B586" t="s">
        <v>563</v>
      </c>
      <c r="C586" t="s">
        <v>386</v>
      </c>
      <c r="D586" s="3">
        <v>30</v>
      </c>
      <c r="E586" s="3">
        <v>131</v>
      </c>
      <c r="F586" s="3">
        <v>605</v>
      </c>
      <c r="G586" s="3">
        <v>160</v>
      </c>
    </row>
    <row r="587" spans="1:7" x14ac:dyDescent="0.3">
      <c r="A587" t="s">
        <v>745</v>
      </c>
      <c r="B587" t="s">
        <v>757</v>
      </c>
      <c r="C587" t="s">
        <v>759</v>
      </c>
      <c r="D587" s="3">
        <v>36</v>
      </c>
      <c r="E587" s="3">
        <v>79</v>
      </c>
      <c r="F587" s="3">
        <v>287</v>
      </c>
      <c r="G587" s="3">
        <v>160</v>
      </c>
    </row>
    <row r="588" spans="1:7" x14ac:dyDescent="0.3">
      <c r="A588" t="s">
        <v>745</v>
      </c>
      <c r="B588" t="s">
        <v>757</v>
      </c>
      <c r="C588" t="s">
        <v>761</v>
      </c>
      <c r="D588" s="3">
        <v>36</v>
      </c>
      <c r="E588" s="3">
        <v>79</v>
      </c>
      <c r="F588" s="3">
        <v>291</v>
      </c>
      <c r="G588" s="3">
        <v>160</v>
      </c>
    </row>
    <row r="589" spans="1:7" x14ac:dyDescent="0.3">
      <c r="A589" t="s">
        <v>745</v>
      </c>
      <c r="B589" t="s">
        <v>757</v>
      </c>
      <c r="C589" t="s">
        <v>770</v>
      </c>
      <c r="D589" s="3">
        <v>36</v>
      </c>
      <c r="E589" s="3">
        <v>79</v>
      </c>
      <c r="F589" s="3">
        <v>301</v>
      </c>
      <c r="G589" s="3">
        <v>160</v>
      </c>
    </row>
    <row r="590" spans="1:7" x14ac:dyDescent="0.3">
      <c r="A590" t="s">
        <v>808</v>
      </c>
      <c r="B590" t="s">
        <v>810</v>
      </c>
      <c r="C590" t="s">
        <v>823</v>
      </c>
      <c r="D590" s="3">
        <v>38</v>
      </c>
      <c r="E590" s="3">
        <v>76</v>
      </c>
      <c r="F590" s="3">
        <v>276</v>
      </c>
      <c r="G590" s="3">
        <v>160</v>
      </c>
    </row>
    <row r="591" spans="1:7" x14ac:dyDescent="0.3">
      <c r="A591" t="s">
        <v>875</v>
      </c>
      <c r="B591" t="s">
        <v>920</v>
      </c>
      <c r="C591" t="s">
        <v>921</v>
      </c>
      <c r="D591" s="3">
        <v>50</v>
      </c>
      <c r="E591" s="3">
        <v>177</v>
      </c>
      <c r="F591" s="3">
        <v>756</v>
      </c>
      <c r="G591" s="3">
        <v>160</v>
      </c>
    </row>
    <row r="592" spans="1:7" x14ac:dyDescent="0.3">
      <c r="A592" t="s">
        <v>931</v>
      </c>
      <c r="B592" t="s">
        <v>932</v>
      </c>
      <c r="C592" t="s">
        <v>936</v>
      </c>
      <c r="D592" s="3">
        <v>53</v>
      </c>
      <c r="E592" s="3">
        <v>160</v>
      </c>
      <c r="F592" s="3">
        <v>700</v>
      </c>
      <c r="G592" s="3">
        <v>160</v>
      </c>
    </row>
    <row r="593" spans="1:7" x14ac:dyDescent="0.3">
      <c r="A593" t="s">
        <v>957</v>
      </c>
      <c r="B593" t="s">
        <v>962</v>
      </c>
      <c r="C593" t="s">
        <v>965</v>
      </c>
      <c r="D593" s="3">
        <v>59</v>
      </c>
      <c r="E593" s="3">
        <v>195</v>
      </c>
      <c r="F593" s="3">
        <v>926</v>
      </c>
      <c r="G593" s="3">
        <v>160</v>
      </c>
    </row>
    <row r="594" spans="1:7" x14ac:dyDescent="0.3">
      <c r="A594" t="s">
        <v>171</v>
      </c>
      <c r="B594" t="s">
        <v>188</v>
      </c>
      <c r="C594" t="s">
        <v>201</v>
      </c>
      <c r="D594" s="3">
        <v>15</v>
      </c>
      <c r="E594" s="3">
        <v>107</v>
      </c>
      <c r="F594" s="3">
        <v>425</v>
      </c>
      <c r="G594" s="3">
        <v>170</v>
      </c>
    </row>
    <row r="595" spans="1:7" x14ac:dyDescent="0.3">
      <c r="A595" t="s">
        <v>239</v>
      </c>
      <c r="B595" t="s">
        <v>245</v>
      </c>
      <c r="C595" t="s">
        <v>258</v>
      </c>
      <c r="D595" s="3">
        <v>17</v>
      </c>
      <c r="E595" s="3">
        <v>185</v>
      </c>
      <c r="F595" s="3">
        <v>825</v>
      </c>
      <c r="G595" s="3">
        <v>170</v>
      </c>
    </row>
    <row r="596" spans="1:7" x14ac:dyDescent="0.3">
      <c r="A596" t="s">
        <v>239</v>
      </c>
      <c r="B596" t="s">
        <v>245</v>
      </c>
      <c r="C596" t="s">
        <v>287</v>
      </c>
      <c r="D596" s="3">
        <v>17</v>
      </c>
      <c r="E596" s="3">
        <v>185</v>
      </c>
      <c r="F596" s="3">
        <v>856</v>
      </c>
      <c r="G596" s="3">
        <v>170</v>
      </c>
    </row>
    <row r="597" spans="1:7" x14ac:dyDescent="0.3">
      <c r="A597" t="s">
        <v>363</v>
      </c>
      <c r="B597" t="s">
        <v>379</v>
      </c>
      <c r="C597" t="s">
        <v>384</v>
      </c>
      <c r="D597" s="3">
        <v>26</v>
      </c>
      <c r="E597" s="3">
        <v>123</v>
      </c>
      <c r="F597" s="3">
        <v>541</v>
      </c>
      <c r="G597" s="3">
        <v>170</v>
      </c>
    </row>
    <row r="598" spans="1:7" x14ac:dyDescent="0.3">
      <c r="A598" t="s">
        <v>363</v>
      </c>
      <c r="B598" t="s">
        <v>379</v>
      </c>
      <c r="C598" t="s">
        <v>276</v>
      </c>
      <c r="D598" s="3">
        <v>26</v>
      </c>
      <c r="E598" s="3">
        <v>123</v>
      </c>
      <c r="F598" s="3">
        <v>545</v>
      </c>
      <c r="G598" s="3">
        <v>170</v>
      </c>
    </row>
    <row r="599" spans="1:7" x14ac:dyDescent="0.3">
      <c r="A599" t="s">
        <v>363</v>
      </c>
      <c r="B599" t="s">
        <v>390</v>
      </c>
      <c r="C599" t="s">
        <v>404</v>
      </c>
      <c r="D599" s="3">
        <v>26</v>
      </c>
      <c r="E599" s="3">
        <v>126</v>
      </c>
      <c r="F599" s="3">
        <v>584</v>
      </c>
      <c r="G599" s="3">
        <v>170</v>
      </c>
    </row>
    <row r="600" spans="1:7" x14ac:dyDescent="0.3">
      <c r="A600" t="s">
        <v>363</v>
      </c>
      <c r="B600" t="s">
        <v>390</v>
      </c>
      <c r="C600" t="s">
        <v>406</v>
      </c>
      <c r="D600" s="3">
        <v>26</v>
      </c>
      <c r="E600" s="3">
        <v>126</v>
      </c>
      <c r="F600" s="3">
        <v>587</v>
      </c>
      <c r="G600" s="3">
        <v>170</v>
      </c>
    </row>
    <row r="601" spans="1:7" x14ac:dyDescent="0.3">
      <c r="A601" t="s">
        <v>416</v>
      </c>
      <c r="B601" t="s">
        <v>450</v>
      </c>
      <c r="C601" t="s">
        <v>433</v>
      </c>
      <c r="D601" s="3">
        <v>27</v>
      </c>
      <c r="E601" s="3">
        <v>105</v>
      </c>
      <c r="F601" s="3">
        <v>393</v>
      </c>
      <c r="G601" s="3">
        <v>170</v>
      </c>
    </row>
    <row r="602" spans="1:7" x14ac:dyDescent="0.3">
      <c r="A602" t="s">
        <v>456</v>
      </c>
      <c r="B602" t="s">
        <v>527</v>
      </c>
      <c r="C602" t="s">
        <v>530</v>
      </c>
      <c r="D602" s="3">
        <v>29</v>
      </c>
      <c r="E602" s="3">
        <v>168</v>
      </c>
      <c r="F602" s="3">
        <v>720</v>
      </c>
      <c r="G602" s="3">
        <v>170</v>
      </c>
    </row>
    <row r="603" spans="1:7" x14ac:dyDescent="0.3">
      <c r="A603" t="s">
        <v>536</v>
      </c>
      <c r="B603" t="s">
        <v>544</v>
      </c>
      <c r="C603" t="s">
        <v>546</v>
      </c>
      <c r="D603" s="3">
        <v>30</v>
      </c>
      <c r="E603" s="3">
        <v>8</v>
      </c>
      <c r="F603" s="3">
        <v>32</v>
      </c>
      <c r="G603" s="3">
        <v>170</v>
      </c>
    </row>
    <row r="604" spans="1:7" x14ac:dyDescent="0.3">
      <c r="A604" t="s">
        <v>593</v>
      </c>
      <c r="B604" t="s">
        <v>601</v>
      </c>
      <c r="C604" t="s">
        <v>611</v>
      </c>
      <c r="D604" s="3">
        <v>31</v>
      </c>
      <c r="E604" s="3">
        <v>54</v>
      </c>
      <c r="F604" s="3">
        <v>197</v>
      </c>
      <c r="G604" s="3">
        <v>170</v>
      </c>
    </row>
    <row r="605" spans="1:7" x14ac:dyDescent="0.3">
      <c r="A605" t="s">
        <v>593</v>
      </c>
      <c r="B605" t="s">
        <v>626</v>
      </c>
      <c r="C605" t="s">
        <v>644</v>
      </c>
      <c r="D605" s="3">
        <v>31</v>
      </c>
      <c r="E605" s="3">
        <v>109</v>
      </c>
      <c r="F605" s="3">
        <v>475</v>
      </c>
      <c r="G605" s="3">
        <v>170</v>
      </c>
    </row>
    <row r="606" spans="1:7" x14ac:dyDescent="0.3">
      <c r="A606" t="s">
        <v>593</v>
      </c>
      <c r="B606" t="s">
        <v>701</v>
      </c>
      <c r="C606" t="s">
        <v>702</v>
      </c>
      <c r="D606" s="3">
        <v>31</v>
      </c>
      <c r="E606" s="3">
        <v>158</v>
      </c>
      <c r="F606" s="3">
        <v>691</v>
      </c>
      <c r="G606" s="3">
        <v>170</v>
      </c>
    </row>
    <row r="607" spans="1:7" x14ac:dyDescent="0.3">
      <c r="A607" t="s">
        <v>832</v>
      </c>
      <c r="B607" t="s">
        <v>833</v>
      </c>
      <c r="C607" t="s">
        <v>836</v>
      </c>
      <c r="D607" s="3">
        <v>39</v>
      </c>
      <c r="E607" s="3">
        <v>124</v>
      </c>
      <c r="F607" s="3">
        <v>557</v>
      </c>
      <c r="G607" s="3">
        <v>170</v>
      </c>
    </row>
    <row r="608" spans="1:7" x14ac:dyDescent="0.3">
      <c r="A608" t="s">
        <v>875</v>
      </c>
      <c r="B608" t="s">
        <v>878</v>
      </c>
      <c r="C608" t="s">
        <v>60</v>
      </c>
      <c r="D608" s="3">
        <v>50</v>
      </c>
      <c r="E608" s="3">
        <v>66</v>
      </c>
      <c r="F608" s="3">
        <v>225</v>
      </c>
      <c r="G608" s="3">
        <v>170</v>
      </c>
    </row>
    <row r="609" spans="1:7" x14ac:dyDescent="0.3">
      <c r="A609" t="s">
        <v>942</v>
      </c>
      <c r="B609" t="s">
        <v>943</v>
      </c>
      <c r="C609" t="s">
        <v>820</v>
      </c>
      <c r="D609" s="3">
        <v>56</v>
      </c>
      <c r="E609" s="3">
        <v>12</v>
      </c>
      <c r="F609" s="3">
        <v>38</v>
      </c>
      <c r="G609" s="3">
        <v>170</v>
      </c>
    </row>
    <row r="610" spans="1:7" x14ac:dyDescent="0.3">
      <c r="A610" t="s">
        <v>957</v>
      </c>
      <c r="B610" t="s">
        <v>962</v>
      </c>
      <c r="C610" t="s">
        <v>426</v>
      </c>
      <c r="D610" s="3">
        <v>59</v>
      </c>
      <c r="E610" s="3">
        <v>195</v>
      </c>
      <c r="F610" s="3">
        <v>925</v>
      </c>
      <c r="G610" s="3">
        <v>170</v>
      </c>
    </row>
    <row r="611" spans="1:7" x14ac:dyDescent="0.3">
      <c r="A611" t="s">
        <v>75</v>
      </c>
      <c r="B611" t="s">
        <v>82</v>
      </c>
      <c r="C611" t="s">
        <v>105</v>
      </c>
      <c r="D611" s="3">
        <v>7</v>
      </c>
      <c r="E611" s="3">
        <v>178</v>
      </c>
      <c r="F611" s="3">
        <v>782</v>
      </c>
      <c r="G611" s="3">
        <v>180</v>
      </c>
    </row>
    <row r="612" spans="1:7" x14ac:dyDescent="0.3">
      <c r="A612" t="s">
        <v>171</v>
      </c>
      <c r="B612" t="s">
        <v>188</v>
      </c>
      <c r="C612" t="s">
        <v>184</v>
      </c>
      <c r="D612" s="3">
        <v>15</v>
      </c>
      <c r="E612" s="3">
        <v>107</v>
      </c>
      <c r="F612" s="3">
        <v>442</v>
      </c>
      <c r="G612" s="3">
        <v>180</v>
      </c>
    </row>
    <row r="613" spans="1:7" x14ac:dyDescent="0.3">
      <c r="A613" t="s">
        <v>239</v>
      </c>
      <c r="B613" t="s">
        <v>240</v>
      </c>
      <c r="C613" t="s">
        <v>204</v>
      </c>
      <c r="D613" s="3">
        <v>17</v>
      </c>
      <c r="E613" s="3">
        <v>25</v>
      </c>
      <c r="F613" s="3">
        <v>94</v>
      </c>
      <c r="G613" s="3">
        <v>180</v>
      </c>
    </row>
    <row r="614" spans="1:7" x14ac:dyDescent="0.3">
      <c r="A614" t="s">
        <v>456</v>
      </c>
      <c r="B614" t="s">
        <v>500</v>
      </c>
      <c r="C614" t="s">
        <v>504</v>
      </c>
      <c r="D614" s="3">
        <v>29</v>
      </c>
      <c r="E614" s="3">
        <v>97</v>
      </c>
      <c r="F614" s="3">
        <v>370</v>
      </c>
      <c r="G614" s="3">
        <v>180</v>
      </c>
    </row>
    <row r="615" spans="1:7" x14ac:dyDescent="0.3">
      <c r="A615" t="s">
        <v>536</v>
      </c>
      <c r="B615" t="s">
        <v>563</v>
      </c>
      <c r="C615" t="s">
        <v>487</v>
      </c>
      <c r="D615" s="3">
        <v>30</v>
      </c>
      <c r="E615" s="3">
        <v>131</v>
      </c>
      <c r="F615" s="3">
        <v>604</v>
      </c>
      <c r="G615" s="3">
        <v>180</v>
      </c>
    </row>
    <row r="616" spans="1:7" x14ac:dyDescent="0.3">
      <c r="A616" t="s">
        <v>593</v>
      </c>
      <c r="B616" t="s">
        <v>704</v>
      </c>
      <c r="C616" t="s">
        <v>60</v>
      </c>
      <c r="D616" s="3">
        <v>31</v>
      </c>
      <c r="E616" s="3">
        <v>192</v>
      </c>
      <c r="F616" s="3">
        <v>894</v>
      </c>
      <c r="G616" s="3">
        <v>180</v>
      </c>
    </row>
    <row r="617" spans="1:7" x14ac:dyDescent="0.3">
      <c r="A617" t="s">
        <v>832</v>
      </c>
      <c r="B617" t="s">
        <v>833</v>
      </c>
      <c r="C617" t="s">
        <v>837</v>
      </c>
      <c r="D617" s="3">
        <v>39</v>
      </c>
      <c r="E617" s="3">
        <v>124</v>
      </c>
      <c r="F617" s="3">
        <v>561</v>
      </c>
      <c r="G617" s="3">
        <v>180</v>
      </c>
    </row>
    <row r="618" spans="1:7" x14ac:dyDescent="0.3">
      <c r="A618" t="s">
        <v>875</v>
      </c>
      <c r="B618" t="s">
        <v>896</v>
      </c>
      <c r="C618" t="s">
        <v>908</v>
      </c>
      <c r="D618" s="3">
        <v>50</v>
      </c>
      <c r="E618" s="3">
        <v>152</v>
      </c>
      <c r="F618" s="3">
        <v>662</v>
      </c>
      <c r="G618" s="3">
        <v>180</v>
      </c>
    </row>
    <row r="619" spans="1:7" x14ac:dyDescent="0.3">
      <c r="A619" t="s">
        <v>931</v>
      </c>
      <c r="B619" t="s">
        <v>932</v>
      </c>
      <c r="C619" t="s">
        <v>934</v>
      </c>
      <c r="D619" s="3">
        <v>53</v>
      </c>
      <c r="E619" s="3">
        <v>160</v>
      </c>
      <c r="F619" s="3">
        <v>697</v>
      </c>
      <c r="G619" s="3">
        <v>180</v>
      </c>
    </row>
    <row r="620" spans="1:7" x14ac:dyDescent="0.3">
      <c r="A620" t="s">
        <v>942</v>
      </c>
      <c r="B620" t="s">
        <v>945</v>
      </c>
      <c r="C620" t="s">
        <v>949</v>
      </c>
      <c r="D620" s="3">
        <v>56</v>
      </c>
      <c r="E620" s="3">
        <v>84</v>
      </c>
      <c r="F620" s="3">
        <v>333</v>
      </c>
      <c r="G620" s="3">
        <v>180</v>
      </c>
    </row>
    <row r="621" spans="1:7" x14ac:dyDescent="0.3">
      <c r="A621" t="s">
        <v>957</v>
      </c>
      <c r="B621" t="s">
        <v>960</v>
      </c>
      <c r="C621" t="s">
        <v>213</v>
      </c>
      <c r="D621" s="3">
        <v>59</v>
      </c>
      <c r="E621" s="3">
        <v>161</v>
      </c>
      <c r="F621" s="3">
        <v>702</v>
      </c>
      <c r="G621" s="3">
        <v>180</v>
      </c>
    </row>
    <row r="622" spans="1:7" x14ac:dyDescent="0.3">
      <c r="A622" t="s">
        <v>75</v>
      </c>
      <c r="B622" t="s">
        <v>82</v>
      </c>
      <c r="C622" t="s">
        <v>87</v>
      </c>
      <c r="D622" s="3">
        <v>7</v>
      </c>
      <c r="E622" s="3">
        <v>178</v>
      </c>
      <c r="F622" s="3">
        <v>764</v>
      </c>
      <c r="G622" s="3">
        <v>190</v>
      </c>
    </row>
    <row r="623" spans="1:7" x14ac:dyDescent="0.3">
      <c r="A623" t="s">
        <v>171</v>
      </c>
      <c r="B623" t="s">
        <v>172</v>
      </c>
      <c r="C623" t="s">
        <v>173</v>
      </c>
      <c r="D623" s="3">
        <v>15</v>
      </c>
      <c r="E623" s="3">
        <v>91</v>
      </c>
      <c r="F623" s="3">
        <v>345</v>
      </c>
      <c r="G623" s="3">
        <v>190</v>
      </c>
    </row>
    <row r="624" spans="1:7" x14ac:dyDescent="0.3">
      <c r="A624" t="s">
        <v>363</v>
      </c>
      <c r="B624" t="s">
        <v>366</v>
      </c>
      <c r="C624" t="s">
        <v>373</v>
      </c>
      <c r="D624" s="3">
        <v>26</v>
      </c>
      <c r="E624" s="3">
        <v>108</v>
      </c>
      <c r="F624" s="3">
        <v>456</v>
      </c>
      <c r="G624" s="3">
        <v>190</v>
      </c>
    </row>
    <row r="625" spans="1:7" x14ac:dyDescent="0.3">
      <c r="A625" t="s">
        <v>363</v>
      </c>
      <c r="B625" t="s">
        <v>379</v>
      </c>
      <c r="C625" t="s">
        <v>389</v>
      </c>
      <c r="D625" s="3">
        <v>26</v>
      </c>
      <c r="E625" s="3">
        <v>123</v>
      </c>
      <c r="F625" s="3">
        <v>553</v>
      </c>
      <c r="G625" s="3">
        <v>190</v>
      </c>
    </row>
    <row r="626" spans="1:7" x14ac:dyDescent="0.3">
      <c r="A626" t="s">
        <v>363</v>
      </c>
      <c r="B626" t="s">
        <v>390</v>
      </c>
      <c r="C626" t="s">
        <v>397</v>
      </c>
      <c r="D626" s="3">
        <v>26</v>
      </c>
      <c r="E626" s="3">
        <v>126</v>
      </c>
      <c r="F626" s="3">
        <v>575</v>
      </c>
      <c r="G626" s="3">
        <v>190</v>
      </c>
    </row>
    <row r="627" spans="1:7" x14ac:dyDescent="0.3">
      <c r="A627" t="s">
        <v>416</v>
      </c>
      <c r="B627" t="s">
        <v>427</v>
      </c>
      <c r="C627" t="s">
        <v>436</v>
      </c>
      <c r="D627" s="3">
        <v>27</v>
      </c>
      <c r="E627" s="3">
        <v>73</v>
      </c>
      <c r="F627" s="3">
        <v>245</v>
      </c>
      <c r="G627" s="3">
        <v>190</v>
      </c>
    </row>
    <row r="628" spans="1:7" x14ac:dyDescent="0.3">
      <c r="A628" t="s">
        <v>416</v>
      </c>
      <c r="B628" t="s">
        <v>447</v>
      </c>
      <c r="C628" t="s">
        <v>449</v>
      </c>
      <c r="D628" s="3">
        <v>27</v>
      </c>
      <c r="E628" s="3">
        <v>92</v>
      </c>
      <c r="F628" s="3">
        <v>361</v>
      </c>
      <c r="G628" s="3">
        <v>190</v>
      </c>
    </row>
    <row r="629" spans="1:7" x14ac:dyDescent="0.3">
      <c r="A629" t="s">
        <v>456</v>
      </c>
      <c r="B629" t="s">
        <v>457</v>
      </c>
      <c r="C629" t="s">
        <v>458</v>
      </c>
      <c r="D629" s="3">
        <v>29</v>
      </c>
      <c r="E629" s="3">
        <v>2</v>
      </c>
      <c r="F629" s="3">
        <v>6</v>
      </c>
      <c r="G629" s="3">
        <v>190</v>
      </c>
    </row>
    <row r="630" spans="1:7" x14ac:dyDescent="0.3">
      <c r="A630" t="s">
        <v>456</v>
      </c>
      <c r="B630" t="s">
        <v>457</v>
      </c>
      <c r="C630" t="s">
        <v>463</v>
      </c>
      <c r="D630" s="3">
        <v>29</v>
      </c>
      <c r="E630" s="3">
        <v>2</v>
      </c>
      <c r="F630" s="3">
        <v>11</v>
      </c>
      <c r="G630" s="3">
        <v>190</v>
      </c>
    </row>
    <row r="631" spans="1:7" x14ac:dyDescent="0.3">
      <c r="A631" t="s">
        <v>456</v>
      </c>
      <c r="B631" t="s">
        <v>517</v>
      </c>
      <c r="C631" t="s">
        <v>518</v>
      </c>
      <c r="D631" s="3">
        <v>29</v>
      </c>
      <c r="E631" s="3">
        <v>114</v>
      </c>
      <c r="F631" s="3">
        <v>515</v>
      </c>
      <c r="G631" s="3">
        <v>190</v>
      </c>
    </row>
    <row r="632" spans="1:7" x14ac:dyDescent="0.3">
      <c r="A632" t="s">
        <v>536</v>
      </c>
      <c r="B632" t="s">
        <v>544</v>
      </c>
      <c r="C632" t="s">
        <v>353</v>
      </c>
      <c r="D632" s="3">
        <v>30</v>
      </c>
      <c r="E632" s="3">
        <v>8</v>
      </c>
      <c r="F632" s="3">
        <v>31</v>
      </c>
      <c r="G632" s="3">
        <v>190</v>
      </c>
    </row>
    <row r="633" spans="1:7" x14ac:dyDescent="0.3">
      <c r="A633" t="s">
        <v>536</v>
      </c>
      <c r="B633" t="s">
        <v>558</v>
      </c>
      <c r="C633" t="s">
        <v>559</v>
      </c>
      <c r="D633" s="3">
        <v>30</v>
      </c>
      <c r="E633" s="3">
        <v>99</v>
      </c>
      <c r="F633" s="3">
        <v>378</v>
      </c>
      <c r="G633" s="3">
        <v>190</v>
      </c>
    </row>
    <row r="634" spans="1:7" x14ac:dyDescent="0.3">
      <c r="A634" t="s">
        <v>593</v>
      </c>
      <c r="B634" t="s">
        <v>601</v>
      </c>
      <c r="C634" t="s">
        <v>60</v>
      </c>
      <c r="D634" s="3">
        <v>31</v>
      </c>
      <c r="E634" s="3">
        <v>54</v>
      </c>
      <c r="F634" s="3">
        <v>198</v>
      </c>
      <c r="G634" s="3">
        <v>190</v>
      </c>
    </row>
    <row r="635" spans="1:7" x14ac:dyDescent="0.3">
      <c r="A635" t="s">
        <v>593</v>
      </c>
      <c r="B635" t="s">
        <v>620</v>
      </c>
      <c r="C635" t="s">
        <v>122</v>
      </c>
      <c r="D635" s="3">
        <v>31</v>
      </c>
      <c r="E635" s="3">
        <v>78</v>
      </c>
      <c r="F635" s="3">
        <v>284</v>
      </c>
      <c r="G635" s="3">
        <v>190</v>
      </c>
    </row>
    <row r="636" spans="1:7" x14ac:dyDescent="0.3">
      <c r="A636" t="s">
        <v>7</v>
      </c>
      <c r="B636" t="s">
        <v>8</v>
      </c>
      <c r="C636" t="s">
        <v>10</v>
      </c>
      <c r="D636" s="3">
        <v>2</v>
      </c>
      <c r="E636" s="3">
        <v>7</v>
      </c>
      <c r="F636" s="3">
        <v>26</v>
      </c>
      <c r="G636" s="3">
        <v>200</v>
      </c>
    </row>
    <row r="637" spans="1:7" x14ac:dyDescent="0.3">
      <c r="A637" t="s">
        <v>152</v>
      </c>
      <c r="B637" t="s">
        <v>153</v>
      </c>
      <c r="C637" t="s">
        <v>154</v>
      </c>
      <c r="D637" s="3">
        <v>12</v>
      </c>
      <c r="E637" s="3">
        <v>36</v>
      </c>
      <c r="F637" s="3">
        <v>131</v>
      </c>
      <c r="G637" s="3">
        <v>200</v>
      </c>
    </row>
    <row r="638" spans="1:7" x14ac:dyDescent="0.3">
      <c r="A638" t="s">
        <v>171</v>
      </c>
      <c r="B638" t="s">
        <v>172</v>
      </c>
      <c r="C638" t="s">
        <v>180</v>
      </c>
      <c r="D638" s="3">
        <v>15</v>
      </c>
      <c r="E638" s="3">
        <v>91</v>
      </c>
      <c r="F638" s="3">
        <v>352</v>
      </c>
      <c r="G638" s="3">
        <v>200</v>
      </c>
    </row>
    <row r="639" spans="1:7" x14ac:dyDescent="0.3">
      <c r="A639" t="s">
        <v>171</v>
      </c>
      <c r="B639" t="s">
        <v>188</v>
      </c>
      <c r="C639" t="s">
        <v>221</v>
      </c>
      <c r="D639" s="3">
        <v>15</v>
      </c>
      <c r="E639" s="3">
        <v>107</v>
      </c>
      <c r="F639" s="3">
        <v>448</v>
      </c>
      <c r="G639" s="3">
        <v>200</v>
      </c>
    </row>
    <row r="640" spans="1:7" x14ac:dyDescent="0.3">
      <c r="A640" t="s">
        <v>222</v>
      </c>
      <c r="B640" t="s">
        <v>229</v>
      </c>
      <c r="C640" t="s">
        <v>230</v>
      </c>
      <c r="D640" s="3">
        <v>16</v>
      </c>
      <c r="E640" s="3">
        <v>147</v>
      </c>
      <c r="F640" s="3">
        <v>635</v>
      </c>
      <c r="G640" s="3">
        <v>200</v>
      </c>
    </row>
    <row r="641" spans="1:7" x14ac:dyDescent="0.3">
      <c r="A641" t="s">
        <v>239</v>
      </c>
      <c r="B641" t="s">
        <v>245</v>
      </c>
      <c r="C641" t="s">
        <v>295</v>
      </c>
      <c r="D641" s="3">
        <v>17</v>
      </c>
      <c r="E641" s="3">
        <v>185</v>
      </c>
      <c r="F641" s="3">
        <v>864</v>
      </c>
      <c r="G641" s="3">
        <v>200</v>
      </c>
    </row>
    <row r="642" spans="1:7" x14ac:dyDescent="0.3">
      <c r="A642" t="s">
        <v>321</v>
      </c>
      <c r="B642" t="s">
        <v>322</v>
      </c>
      <c r="C642" t="s">
        <v>164</v>
      </c>
      <c r="D642" s="3">
        <v>21</v>
      </c>
      <c r="E642" s="3">
        <v>173</v>
      </c>
      <c r="F642" s="3">
        <v>738</v>
      </c>
      <c r="G642" s="3">
        <v>200</v>
      </c>
    </row>
    <row r="643" spans="1:7" x14ac:dyDescent="0.3">
      <c r="A643" t="s">
        <v>347</v>
      </c>
      <c r="B643" t="s">
        <v>350</v>
      </c>
      <c r="C643" t="s">
        <v>351</v>
      </c>
      <c r="D643" s="3">
        <v>24</v>
      </c>
      <c r="E643" s="3">
        <v>191</v>
      </c>
      <c r="F643" s="3">
        <v>885</v>
      </c>
      <c r="G643" s="3">
        <v>200</v>
      </c>
    </row>
    <row r="644" spans="1:7" x14ac:dyDescent="0.3">
      <c r="A644" t="s">
        <v>456</v>
      </c>
      <c r="B644" t="s">
        <v>527</v>
      </c>
      <c r="C644" t="s">
        <v>529</v>
      </c>
      <c r="D644" s="3">
        <v>29</v>
      </c>
      <c r="E644" s="3">
        <v>168</v>
      </c>
      <c r="F644" s="3">
        <v>719</v>
      </c>
      <c r="G644" s="3">
        <v>200</v>
      </c>
    </row>
    <row r="645" spans="1:7" x14ac:dyDescent="0.3">
      <c r="A645" t="s">
        <v>536</v>
      </c>
      <c r="B645" t="s">
        <v>537</v>
      </c>
      <c r="C645" t="s">
        <v>373</v>
      </c>
      <c r="D645" s="3">
        <v>30</v>
      </c>
      <c r="E645" s="3">
        <v>1</v>
      </c>
      <c r="F645" s="3">
        <v>5</v>
      </c>
      <c r="G645" s="3">
        <v>200</v>
      </c>
    </row>
    <row r="646" spans="1:7" x14ac:dyDescent="0.3">
      <c r="A646" t="s">
        <v>593</v>
      </c>
      <c r="B646" t="s">
        <v>688</v>
      </c>
      <c r="C646" t="s">
        <v>689</v>
      </c>
      <c r="D646" s="3">
        <v>31</v>
      </c>
      <c r="E646" s="3">
        <v>148</v>
      </c>
      <c r="F646" s="3">
        <v>637</v>
      </c>
      <c r="G646" s="3">
        <v>200</v>
      </c>
    </row>
    <row r="647" spans="1:7" x14ac:dyDescent="0.3">
      <c r="A647" t="s">
        <v>593</v>
      </c>
      <c r="B647" t="s">
        <v>694</v>
      </c>
      <c r="C647" t="s">
        <v>695</v>
      </c>
      <c r="D647" s="3">
        <v>31</v>
      </c>
      <c r="E647" s="3">
        <v>157</v>
      </c>
      <c r="F647" s="3">
        <v>683</v>
      </c>
      <c r="G647" s="3">
        <v>200</v>
      </c>
    </row>
    <row r="648" spans="1:7" x14ac:dyDescent="0.3">
      <c r="A648" t="s">
        <v>808</v>
      </c>
      <c r="B648" t="s">
        <v>831</v>
      </c>
      <c r="C648" t="s">
        <v>60</v>
      </c>
      <c r="D648" s="3">
        <v>38</v>
      </c>
      <c r="E648" s="3">
        <v>156</v>
      </c>
      <c r="F648" s="3">
        <v>682</v>
      </c>
      <c r="G648" s="3">
        <v>200</v>
      </c>
    </row>
    <row r="649" spans="1:7" x14ac:dyDescent="0.3">
      <c r="A649" t="s">
        <v>852</v>
      </c>
      <c r="B649" t="s">
        <v>853</v>
      </c>
      <c r="C649" t="s">
        <v>855</v>
      </c>
      <c r="D649" s="3">
        <v>43</v>
      </c>
      <c r="E649" s="3">
        <v>150</v>
      </c>
      <c r="F649" s="3">
        <v>646</v>
      </c>
      <c r="G649" s="3">
        <v>200</v>
      </c>
    </row>
    <row r="650" spans="1:7" x14ac:dyDescent="0.3">
      <c r="A650" t="s">
        <v>875</v>
      </c>
      <c r="B650" t="s">
        <v>896</v>
      </c>
      <c r="C650" t="s">
        <v>21</v>
      </c>
      <c r="D650" s="3">
        <v>50</v>
      </c>
      <c r="E650" s="3">
        <v>152</v>
      </c>
      <c r="F650" s="3">
        <v>657</v>
      </c>
      <c r="G650" s="3">
        <v>200</v>
      </c>
    </row>
    <row r="651" spans="1:7" x14ac:dyDescent="0.3">
      <c r="A651" t="s">
        <v>875</v>
      </c>
      <c r="B651" t="s">
        <v>896</v>
      </c>
      <c r="C651" t="s">
        <v>905</v>
      </c>
      <c r="D651" s="3">
        <v>50</v>
      </c>
      <c r="E651" s="3">
        <v>152</v>
      </c>
      <c r="F651" s="3">
        <v>658</v>
      </c>
      <c r="G651" s="3">
        <v>200</v>
      </c>
    </row>
    <row r="652" spans="1:7" x14ac:dyDescent="0.3">
      <c r="A652" t="s">
        <v>7</v>
      </c>
      <c r="B652" t="s">
        <v>14</v>
      </c>
      <c r="C652" t="s">
        <v>15</v>
      </c>
      <c r="D652" s="3">
        <v>2</v>
      </c>
      <c r="E652" s="3">
        <v>16</v>
      </c>
      <c r="F652" s="3">
        <v>69</v>
      </c>
      <c r="G652" s="3">
        <v>210</v>
      </c>
    </row>
    <row r="653" spans="1:7" x14ac:dyDescent="0.3">
      <c r="A653" t="s">
        <v>158</v>
      </c>
      <c r="B653" t="s">
        <v>159</v>
      </c>
      <c r="C653" t="s">
        <v>166</v>
      </c>
      <c r="D653" s="3">
        <v>13</v>
      </c>
      <c r="E653" s="3">
        <v>38</v>
      </c>
      <c r="F653" s="3">
        <v>144</v>
      </c>
      <c r="G653" s="3">
        <v>210</v>
      </c>
    </row>
    <row r="654" spans="1:7" x14ac:dyDescent="0.3">
      <c r="A654" t="s">
        <v>239</v>
      </c>
      <c r="B654" t="s">
        <v>245</v>
      </c>
      <c r="C654" t="s">
        <v>250</v>
      </c>
      <c r="D654" s="3">
        <v>17</v>
      </c>
      <c r="E654" s="3">
        <v>185</v>
      </c>
      <c r="F654" s="3">
        <v>817</v>
      </c>
      <c r="G654" s="3">
        <v>210</v>
      </c>
    </row>
    <row r="655" spans="1:7" x14ac:dyDescent="0.3">
      <c r="A655" t="s">
        <v>239</v>
      </c>
      <c r="B655" t="s">
        <v>245</v>
      </c>
      <c r="C655" t="s">
        <v>270</v>
      </c>
      <c r="D655" s="3">
        <v>17</v>
      </c>
      <c r="E655" s="3">
        <v>185</v>
      </c>
      <c r="F655" s="3">
        <v>837</v>
      </c>
      <c r="G655" s="3">
        <v>210</v>
      </c>
    </row>
    <row r="656" spans="1:7" x14ac:dyDescent="0.3">
      <c r="A656" t="s">
        <v>239</v>
      </c>
      <c r="B656" t="s">
        <v>245</v>
      </c>
      <c r="C656" t="s">
        <v>302</v>
      </c>
      <c r="D656" s="3">
        <v>17</v>
      </c>
      <c r="E656" s="3">
        <v>185</v>
      </c>
      <c r="F656" s="3">
        <v>872</v>
      </c>
      <c r="G656" s="3">
        <v>210</v>
      </c>
    </row>
    <row r="657" spans="1:7" x14ac:dyDescent="0.3">
      <c r="A657" t="s">
        <v>321</v>
      </c>
      <c r="B657" t="s">
        <v>322</v>
      </c>
      <c r="C657" t="s">
        <v>201</v>
      </c>
      <c r="D657" s="3">
        <v>21</v>
      </c>
      <c r="E657" s="3">
        <v>173</v>
      </c>
      <c r="F657" s="3">
        <v>737</v>
      </c>
      <c r="G657" s="3">
        <v>210</v>
      </c>
    </row>
    <row r="658" spans="1:7" x14ac:dyDescent="0.3">
      <c r="A658" t="s">
        <v>363</v>
      </c>
      <c r="B658" t="s">
        <v>366</v>
      </c>
      <c r="C658" t="s">
        <v>369</v>
      </c>
      <c r="D658" s="3">
        <v>26</v>
      </c>
      <c r="E658" s="3">
        <v>108</v>
      </c>
      <c r="F658" s="3">
        <v>451</v>
      </c>
      <c r="G658" s="3">
        <v>210</v>
      </c>
    </row>
    <row r="659" spans="1:7" x14ac:dyDescent="0.3">
      <c r="A659" t="s">
        <v>363</v>
      </c>
      <c r="B659" t="s">
        <v>379</v>
      </c>
      <c r="C659" t="s">
        <v>380</v>
      </c>
      <c r="D659" s="3">
        <v>26</v>
      </c>
      <c r="E659" s="3">
        <v>123</v>
      </c>
      <c r="F659" s="3">
        <v>537</v>
      </c>
      <c r="G659" s="3">
        <v>210</v>
      </c>
    </row>
    <row r="660" spans="1:7" x14ac:dyDescent="0.3">
      <c r="A660" t="s">
        <v>363</v>
      </c>
      <c r="B660" t="s">
        <v>379</v>
      </c>
      <c r="C660" t="s">
        <v>60</v>
      </c>
      <c r="D660" s="3">
        <v>26</v>
      </c>
      <c r="E660" s="3">
        <v>123</v>
      </c>
      <c r="F660" s="3">
        <v>551</v>
      </c>
      <c r="G660" s="3">
        <v>210</v>
      </c>
    </row>
    <row r="661" spans="1:7" x14ac:dyDescent="0.3">
      <c r="A661" t="s">
        <v>593</v>
      </c>
      <c r="B661" t="s">
        <v>626</v>
      </c>
      <c r="C661" t="s">
        <v>641</v>
      </c>
      <c r="D661" s="3">
        <v>31</v>
      </c>
      <c r="E661" s="3">
        <v>109</v>
      </c>
      <c r="F661" s="3">
        <v>472</v>
      </c>
      <c r="G661" s="3">
        <v>210</v>
      </c>
    </row>
    <row r="662" spans="1:7" x14ac:dyDescent="0.3">
      <c r="A662" t="s">
        <v>790</v>
      </c>
      <c r="B662" t="s">
        <v>791</v>
      </c>
      <c r="C662" t="s">
        <v>796</v>
      </c>
      <c r="D662" s="3">
        <v>37</v>
      </c>
      <c r="E662" s="3">
        <v>194</v>
      </c>
      <c r="F662" s="3">
        <v>901</v>
      </c>
      <c r="G662" s="3">
        <v>210</v>
      </c>
    </row>
    <row r="663" spans="1:7" x14ac:dyDescent="0.3">
      <c r="A663" t="s">
        <v>845</v>
      </c>
      <c r="B663" t="s">
        <v>846</v>
      </c>
      <c r="C663" t="s">
        <v>847</v>
      </c>
      <c r="D663" s="3">
        <v>41</v>
      </c>
      <c r="E663" s="3">
        <v>82</v>
      </c>
      <c r="F663" s="3">
        <v>327</v>
      </c>
      <c r="G663" s="3">
        <v>210</v>
      </c>
    </row>
    <row r="664" spans="1:7" x14ac:dyDescent="0.3">
      <c r="A664" t="s">
        <v>875</v>
      </c>
      <c r="B664" t="s">
        <v>920</v>
      </c>
      <c r="C664" t="s">
        <v>60</v>
      </c>
      <c r="D664" s="3">
        <v>50</v>
      </c>
      <c r="E664" s="3">
        <v>177</v>
      </c>
      <c r="F664" s="3">
        <v>759</v>
      </c>
      <c r="G664" s="3">
        <v>210</v>
      </c>
    </row>
    <row r="665" spans="1:7" x14ac:dyDescent="0.3">
      <c r="A665" t="s">
        <v>28</v>
      </c>
      <c r="B665" t="s">
        <v>29</v>
      </c>
      <c r="C665" t="s">
        <v>31</v>
      </c>
      <c r="D665" s="3">
        <v>4</v>
      </c>
      <c r="E665" s="3">
        <v>5</v>
      </c>
      <c r="F665" s="3">
        <v>18</v>
      </c>
      <c r="G665" s="3">
        <v>220</v>
      </c>
    </row>
    <row r="666" spans="1:7" x14ac:dyDescent="0.3">
      <c r="A666" t="s">
        <v>28</v>
      </c>
      <c r="B666" t="s">
        <v>37</v>
      </c>
      <c r="C666" t="s">
        <v>54</v>
      </c>
      <c r="D666" s="3">
        <v>4</v>
      </c>
      <c r="E666" s="3">
        <v>15</v>
      </c>
      <c r="F666" s="3">
        <v>60</v>
      </c>
      <c r="G666" s="3">
        <v>220</v>
      </c>
    </row>
    <row r="667" spans="1:7" x14ac:dyDescent="0.3">
      <c r="A667" t="s">
        <v>144</v>
      </c>
      <c r="B667" t="s">
        <v>150</v>
      </c>
      <c r="C667" t="s">
        <v>151</v>
      </c>
      <c r="D667" s="3">
        <v>11</v>
      </c>
      <c r="E667" s="3">
        <v>189</v>
      </c>
      <c r="F667" s="3">
        <v>881</v>
      </c>
      <c r="G667" s="3">
        <v>220</v>
      </c>
    </row>
    <row r="668" spans="1:7" x14ac:dyDescent="0.3">
      <c r="A668" t="s">
        <v>239</v>
      </c>
      <c r="B668" t="s">
        <v>245</v>
      </c>
      <c r="C668" t="s">
        <v>300</v>
      </c>
      <c r="D668" s="3">
        <v>17</v>
      </c>
      <c r="E668" s="3">
        <v>185</v>
      </c>
      <c r="F668" s="3">
        <v>869</v>
      </c>
      <c r="G668" s="3">
        <v>220</v>
      </c>
    </row>
    <row r="669" spans="1:7" x14ac:dyDescent="0.3">
      <c r="A669" t="s">
        <v>239</v>
      </c>
      <c r="B669" t="s">
        <v>245</v>
      </c>
      <c r="C669" t="s">
        <v>305</v>
      </c>
      <c r="D669" s="3">
        <v>17</v>
      </c>
      <c r="E669" s="3">
        <v>185</v>
      </c>
      <c r="F669" s="3">
        <v>875</v>
      </c>
      <c r="G669" s="3">
        <v>220</v>
      </c>
    </row>
    <row r="670" spans="1:7" x14ac:dyDescent="0.3">
      <c r="A670" t="s">
        <v>347</v>
      </c>
      <c r="B670" t="s">
        <v>350</v>
      </c>
      <c r="C670" t="s">
        <v>21</v>
      </c>
      <c r="D670" s="3">
        <v>24</v>
      </c>
      <c r="E670" s="3">
        <v>191</v>
      </c>
      <c r="F670" s="3">
        <v>887</v>
      </c>
      <c r="G670" s="3">
        <v>220</v>
      </c>
    </row>
    <row r="671" spans="1:7" x14ac:dyDescent="0.3">
      <c r="A671" t="s">
        <v>416</v>
      </c>
      <c r="B671" t="s">
        <v>424</v>
      </c>
      <c r="C671" t="s">
        <v>21</v>
      </c>
      <c r="D671" s="3">
        <v>27</v>
      </c>
      <c r="E671" s="3">
        <v>50</v>
      </c>
      <c r="F671" s="3">
        <v>181</v>
      </c>
      <c r="G671" s="3">
        <v>220</v>
      </c>
    </row>
    <row r="672" spans="1:7" x14ac:dyDescent="0.3">
      <c r="A672" t="s">
        <v>416</v>
      </c>
      <c r="B672" t="s">
        <v>450</v>
      </c>
      <c r="C672" t="s">
        <v>453</v>
      </c>
      <c r="D672" s="3">
        <v>27</v>
      </c>
      <c r="E672" s="3">
        <v>105</v>
      </c>
      <c r="F672" s="3">
        <v>396</v>
      </c>
      <c r="G672" s="3">
        <v>220</v>
      </c>
    </row>
    <row r="673" spans="1:7" x14ac:dyDescent="0.3">
      <c r="A673" t="s">
        <v>456</v>
      </c>
      <c r="B673" t="s">
        <v>507</v>
      </c>
      <c r="C673" t="s">
        <v>509</v>
      </c>
      <c r="D673" s="3">
        <v>29</v>
      </c>
      <c r="E673" s="3">
        <v>106</v>
      </c>
      <c r="F673" s="3">
        <v>401</v>
      </c>
      <c r="G673" s="3">
        <v>220</v>
      </c>
    </row>
    <row r="674" spans="1:7" x14ac:dyDescent="0.3">
      <c r="A674" t="s">
        <v>536</v>
      </c>
      <c r="B674" t="s">
        <v>587</v>
      </c>
      <c r="C674" t="s">
        <v>529</v>
      </c>
      <c r="D674" s="3">
        <v>30</v>
      </c>
      <c r="E674" s="3">
        <v>174</v>
      </c>
      <c r="F674" s="3">
        <v>747</v>
      </c>
      <c r="G674" s="3">
        <v>220</v>
      </c>
    </row>
    <row r="675" spans="1:7" x14ac:dyDescent="0.3">
      <c r="A675" t="s">
        <v>593</v>
      </c>
      <c r="B675" t="s">
        <v>681</v>
      </c>
      <c r="C675" t="s">
        <v>682</v>
      </c>
      <c r="D675" s="3">
        <v>31</v>
      </c>
      <c r="E675" s="3">
        <v>127</v>
      </c>
      <c r="F675" s="3">
        <v>593</v>
      </c>
      <c r="G675" s="3">
        <v>220</v>
      </c>
    </row>
    <row r="676" spans="1:7" x14ac:dyDescent="0.3">
      <c r="A676" t="s">
        <v>745</v>
      </c>
      <c r="B676" t="s">
        <v>757</v>
      </c>
      <c r="C676" t="s">
        <v>767</v>
      </c>
      <c r="D676" s="3">
        <v>36</v>
      </c>
      <c r="E676" s="3">
        <v>79</v>
      </c>
      <c r="F676" s="3">
        <v>298</v>
      </c>
      <c r="G676" s="3">
        <v>220</v>
      </c>
    </row>
    <row r="677" spans="1:7" x14ac:dyDescent="0.3">
      <c r="A677" t="s">
        <v>745</v>
      </c>
      <c r="B677" t="s">
        <v>757</v>
      </c>
      <c r="C677" t="s">
        <v>773</v>
      </c>
      <c r="D677" s="3">
        <v>36</v>
      </c>
      <c r="E677" s="3">
        <v>79</v>
      </c>
      <c r="F677" s="3">
        <v>304</v>
      </c>
      <c r="G677" s="3">
        <v>220</v>
      </c>
    </row>
    <row r="678" spans="1:7" x14ac:dyDescent="0.3">
      <c r="A678" t="s">
        <v>75</v>
      </c>
      <c r="B678" t="s">
        <v>82</v>
      </c>
      <c r="C678" t="s">
        <v>122</v>
      </c>
      <c r="D678" s="3">
        <v>7</v>
      </c>
      <c r="E678" s="3">
        <v>178</v>
      </c>
      <c r="F678" s="3">
        <v>799</v>
      </c>
      <c r="G678" s="3">
        <v>230</v>
      </c>
    </row>
    <row r="679" spans="1:7" x14ac:dyDescent="0.3">
      <c r="A679" t="s">
        <v>239</v>
      </c>
      <c r="B679" t="s">
        <v>240</v>
      </c>
      <c r="C679" t="s">
        <v>242</v>
      </c>
      <c r="D679" s="3">
        <v>17</v>
      </c>
      <c r="E679" s="3">
        <v>25</v>
      </c>
      <c r="F679" s="3">
        <v>93</v>
      </c>
      <c r="G679" s="3">
        <v>230</v>
      </c>
    </row>
    <row r="680" spans="1:7" x14ac:dyDescent="0.3">
      <c r="A680" t="s">
        <v>239</v>
      </c>
      <c r="B680" t="s">
        <v>245</v>
      </c>
      <c r="C680" t="s">
        <v>268</v>
      </c>
      <c r="D680" s="3">
        <v>17</v>
      </c>
      <c r="E680" s="3">
        <v>185</v>
      </c>
      <c r="F680" s="3">
        <v>835</v>
      </c>
      <c r="G680" s="3">
        <v>230</v>
      </c>
    </row>
    <row r="681" spans="1:7" x14ac:dyDescent="0.3">
      <c r="A681" t="s">
        <v>239</v>
      </c>
      <c r="B681" t="s">
        <v>245</v>
      </c>
      <c r="C681" t="s">
        <v>280</v>
      </c>
      <c r="D681" s="3">
        <v>17</v>
      </c>
      <c r="E681" s="3">
        <v>185</v>
      </c>
      <c r="F681" s="3">
        <v>848</v>
      </c>
      <c r="G681" s="3">
        <v>230</v>
      </c>
    </row>
    <row r="682" spans="1:7" x14ac:dyDescent="0.3">
      <c r="A682" t="s">
        <v>416</v>
      </c>
      <c r="B682" t="s">
        <v>427</v>
      </c>
      <c r="C682" t="s">
        <v>443</v>
      </c>
      <c r="D682" s="3">
        <v>27</v>
      </c>
      <c r="E682" s="3">
        <v>73</v>
      </c>
      <c r="F682" s="3">
        <v>254</v>
      </c>
      <c r="G682" s="3">
        <v>230</v>
      </c>
    </row>
    <row r="683" spans="1:7" x14ac:dyDescent="0.3">
      <c r="A683" t="s">
        <v>456</v>
      </c>
      <c r="B683" t="s">
        <v>524</v>
      </c>
      <c r="C683" t="s">
        <v>282</v>
      </c>
      <c r="D683" s="3">
        <v>29</v>
      </c>
      <c r="E683" s="3">
        <v>159</v>
      </c>
      <c r="F683" s="3">
        <v>692</v>
      </c>
      <c r="G683" s="3">
        <v>230</v>
      </c>
    </row>
    <row r="684" spans="1:7" x14ac:dyDescent="0.3">
      <c r="A684" t="s">
        <v>456</v>
      </c>
      <c r="B684" t="s">
        <v>532</v>
      </c>
      <c r="C684" t="s">
        <v>287</v>
      </c>
      <c r="D684" s="3">
        <v>29</v>
      </c>
      <c r="E684" s="3">
        <v>179</v>
      </c>
      <c r="F684" s="3">
        <v>803</v>
      </c>
      <c r="G684" s="3">
        <v>230</v>
      </c>
    </row>
    <row r="685" spans="1:7" x14ac:dyDescent="0.3">
      <c r="A685" t="s">
        <v>593</v>
      </c>
      <c r="B685" t="s">
        <v>597</v>
      </c>
      <c r="C685" t="s">
        <v>598</v>
      </c>
      <c r="D685" s="3">
        <v>31</v>
      </c>
      <c r="E685" s="3">
        <v>23</v>
      </c>
      <c r="F685" s="3">
        <v>81</v>
      </c>
      <c r="G685" s="3">
        <v>230</v>
      </c>
    </row>
    <row r="686" spans="1:7" x14ac:dyDescent="0.3">
      <c r="A686" t="s">
        <v>593</v>
      </c>
      <c r="B686" t="s">
        <v>704</v>
      </c>
      <c r="C686" t="s">
        <v>298</v>
      </c>
      <c r="D686" s="3">
        <v>31</v>
      </c>
      <c r="E686" s="3">
        <v>192</v>
      </c>
      <c r="F686" s="3">
        <v>893</v>
      </c>
      <c r="G686" s="3">
        <v>230</v>
      </c>
    </row>
    <row r="687" spans="1:7" x14ac:dyDescent="0.3">
      <c r="A687" t="s">
        <v>712</v>
      </c>
      <c r="B687" t="s">
        <v>713</v>
      </c>
      <c r="C687" t="s">
        <v>429</v>
      </c>
      <c r="D687" s="3">
        <v>33</v>
      </c>
      <c r="E687" s="3">
        <v>28</v>
      </c>
      <c r="F687" s="3">
        <v>102</v>
      </c>
      <c r="G687" s="3">
        <v>230</v>
      </c>
    </row>
    <row r="688" spans="1:7" x14ac:dyDescent="0.3">
      <c r="A688" t="s">
        <v>864</v>
      </c>
      <c r="B688" t="s">
        <v>868</v>
      </c>
      <c r="C688" t="s">
        <v>213</v>
      </c>
      <c r="D688" s="3">
        <v>47</v>
      </c>
      <c r="E688" s="3">
        <v>77</v>
      </c>
      <c r="F688" s="3">
        <v>283</v>
      </c>
      <c r="G688" s="3">
        <v>230</v>
      </c>
    </row>
    <row r="689" spans="1:7" x14ac:dyDescent="0.3">
      <c r="A689" t="s">
        <v>942</v>
      </c>
      <c r="B689" t="s">
        <v>945</v>
      </c>
      <c r="C689" t="s">
        <v>947</v>
      </c>
      <c r="D689" s="3">
        <v>56</v>
      </c>
      <c r="E689" s="3">
        <v>84</v>
      </c>
      <c r="F689" s="3">
        <v>330</v>
      </c>
      <c r="G689" s="3">
        <v>230</v>
      </c>
    </row>
    <row r="690" spans="1:7" x14ac:dyDescent="0.3">
      <c r="A690" t="s">
        <v>7</v>
      </c>
      <c r="B690" t="s">
        <v>8</v>
      </c>
      <c r="C690" t="s">
        <v>12</v>
      </c>
      <c r="D690" s="3">
        <v>2</v>
      </c>
      <c r="E690" s="3">
        <v>7</v>
      </c>
      <c r="F690" s="3">
        <v>28</v>
      </c>
      <c r="G690" s="3">
        <v>240</v>
      </c>
    </row>
    <row r="691" spans="1:7" x14ac:dyDescent="0.3">
      <c r="A691" t="s">
        <v>363</v>
      </c>
      <c r="B691" t="s">
        <v>374</v>
      </c>
      <c r="C691" t="s">
        <v>377</v>
      </c>
      <c r="D691" s="3">
        <v>26</v>
      </c>
      <c r="E691" s="3">
        <v>115</v>
      </c>
      <c r="F691" s="3">
        <v>518</v>
      </c>
      <c r="G691" s="3">
        <v>240</v>
      </c>
    </row>
    <row r="692" spans="1:7" x14ac:dyDescent="0.3">
      <c r="A692" t="s">
        <v>363</v>
      </c>
      <c r="B692" t="s">
        <v>390</v>
      </c>
      <c r="C692" t="s">
        <v>409</v>
      </c>
      <c r="D692" s="3">
        <v>26</v>
      </c>
      <c r="E692" s="3">
        <v>126</v>
      </c>
      <c r="F692" s="3">
        <v>590</v>
      </c>
      <c r="G692" s="3">
        <v>240</v>
      </c>
    </row>
    <row r="693" spans="1:7" x14ac:dyDescent="0.3">
      <c r="A693" t="s">
        <v>456</v>
      </c>
      <c r="B693" t="s">
        <v>507</v>
      </c>
      <c r="C693" t="s">
        <v>514</v>
      </c>
      <c r="D693" s="3">
        <v>29</v>
      </c>
      <c r="E693" s="3">
        <v>106</v>
      </c>
      <c r="F693" s="3">
        <v>406</v>
      </c>
      <c r="G693" s="3">
        <v>240</v>
      </c>
    </row>
    <row r="694" spans="1:7" x14ac:dyDescent="0.3">
      <c r="A694" t="s">
        <v>712</v>
      </c>
      <c r="B694" t="s">
        <v>713</v>
      </c>
      <c r="C694" t="s">
        <v>714</v>
      </c>
      <c r="D694" s="3">
        <v>33</v>
      </c>
      <c r="E694" s="3">
        <v>28</v>
      </c>
      <c r="F694" s="3">
        <v>103</v>
      </c>
      <c r="G694" s="3">
        <v>240</v>
      </c>
    </row>
    <row r="695" spans="1:7" x14ac:dyDescent="0.3">
      <c r="A695" t="s">
        <v>745</v>
      </c>
      <c r="B695" t="s">
        <v>757</v>
      </c>
      <c r="C695" t="s">
        <v>73</v>
      </c>
      <c r="D695" s="3">
        <v>36</v>
      </c>
      <c r="E695" s="3">
        <v>79</v>
      </c>
      <c r="F695" s="3">
        <v>290</v>
      </c>
      <c r="G695" s="3">
        <v>240</v>
      </c>
    </row>
    <row r="696" spans="1:7" x14ac:dyDescent="0.3">
      <c r="A696" t="s">
        <v>875</v>
      </c>
      <c r="B696" t="s">
        <v>896</v>
      </c>
      <c r="C696" t="s">
        <v>329</v>
      </c>
      <c r="D696" s="3">
        <v>50</v>
      </c>
      <c r="E696" s="3">
        <v>152</v>
      </c>
      <c r="F696" s="3">
        <v>670</v>
      </c>
      <c r="G696" s="3">
        <v>240</v>
      </c>
    </row>
    <row r="697" spans="1:7" x14ac:dyDescent="0.3">
      <c r="A697" t="s">
        <v>7</v>
      </c>
      <c r="B697" t="s">
        <v>14</v>
      </c>
      <c r="C697" t="s">
        <v>18</v>
      </c>
      <c r="D697" s="3">
        <v>2</v>
      </c>
      <c r="E697" s="3">
        <v>16</v>
      </c>
      <c r="F697" s="3">
        <v>72</v>
      </c>
      <c r="G697" s="3">
        <v>250</v>
      </c>
    </row>
    <row r="698" spans="1:7" x14ac:dyDescent="0.3">
      <c r="A698" t="s">
        <v>331</v>
      </c>
      <c r="B698" t="s">
        <v>332</v>
      </c>
      <c r="C698" t="s">
        <v>333</v>
      </c>
      <c r="D698" s="3">
        <v>22</v>
      </c>
      <c r="E698" s="3">
        <v>4</v>
      </c>
      <c r="F698" s="3">
        <v>16</v>
      </c>
      <c r="G698" s="3">
        <v>250</v>
      </c>
    </row>
    <row r="699" spans="1:7" x14ac:dyDescent="0.3">
      <c r="A699" t="s">
        <v>536</v>
      </c>
      <c r="B699" t="s">
        <v>544</v>
      </c>
      <c r="C699" t="s">
        <v>545</v>
      </c>
      <c r="D699" s="3">
        <v>30</v>
      </c>
      <c r="E699" s="3">
        <v>8</v>
      </c>
      <c r="F699" s="3">
        <v>30</v>
      </c>
      <c r="G699" s="3">
        <v>250</v>
      </c>
    </row>
    <row r="700" spans="1:7" x14ac:dyDescent="0.3">
      <c r="A700" t="s">
        <v>536</v>
      </c>
      <c r="B700" t="s">
        <v>563</v>
      </c>
      <c r="C700" t="s">
        <v>569</v>
      </c>
      <c r="D700" s="3">
        <v>30</v>
      </c>
      <c r="E700" s="3">
        <v>131</v>
      </c>
      <c r="F700" s="3">
        <v>607</v>
      </c>
      <c r="G700" s="3">
        <v>250</v>
      </c>
    </row>
    <row r="701" spans="1:7" x14ac:dyDescent="0.3">
      <c r="A701" t="s">
        <v>536</v>
      </c>
      <c r="B701" t="s">
        <v>587</v>
      </c>
      <c r="C701" t="s">
        <v>592</v>
      </c>
      <c r="D701" s="3">
        <v>30</v>
      </c>
      <c r="E701" s="3">
        <v>174</v>
      </c>
      <c r="F701" s="3">
        <v>749</v>
      </c>
      <c r="G701" s="3">
        <v>250</v>
      </c>
    </row>
    <row r="702" spans="1:7" x14ac:dyDescent="0.3">
      <c r="A702" t="s">
        <v>593</v>
      </c>
      <c r="B702" t="s">
        <v>676</v>
      </c>
      <c r="C702" t="s">
        <v>60</v>
      </c>
      <c r="D702" s="3">
        <v>31</v>
      </c>
      <c r="E702" s="3">
        <v>121</v>
      </c>
      <c r="F702" s="3">
        <v>535</v>
      </c>
      <c r="G702" s="3">
        <v>250</v>
      </c>
    </row>
    <row r="703" spans="1:7" x14ac:dyDescent="0.3">
      <c r="A703" t="s">
        <v>875</v>
      </c>
      <c r="B703" t="s">
        <v>893</v>
      </c>
      <c r="C703" t="s">
        <v>894</v>
      </c>
      <c r="D703" s="3">
        <v>50</v>
      </c>
      <c r="E703" s="3">
        <v>116</v>
      </c>
      <c r="F703" s="3">
        <v>522</v>
      </c>
      <c r="G703" s="3">
        <v>250</v>
      </c>
    </row>
    <row r="704" spans="1:7" x14ac:dyDescent="0.3">
      <c r="A704" t="s">
        <v>875</v>
      </c>
      <c r="B704" t="s">
        <v>896</v>
      </c>
      <c r="C704" t="s">
        <v>204</v>
      </c>
      <c r="D704" s="3">
        <v>50</v>
      </c>
      <c r="E704" s="3">
        <v>152</v>
      </c>
      <c r="F704" s="3">
        <v>665</v>
      </c>
      <c r="G704" s="3">
        <v>250</v>
      </c>
    </row>
    <row r="705" spans="1:7" x14ac:dyDescent="0.3">
      <c r="A705" t="s">
        <v>966</v>
      </c>
      <c r="B705" t="s">
        <v>967</v>
      </c>
      <c r="C705" t="s">
        <v>969</v>
      </c>
      <c r="D705" s="3">
        <v>60</v>
      </c>
      <c r="E705" s="3">
        <v>87</v>
      </c>
      <c r="F705" s="3">
        <v>337</v>
      </c>
      <c r="G705" s="3">
        <v>250</v>
      </c>
    </row>
    <row r="706" spans="1:7" x14ac:dyDescent="0.3">
      <c r="A706" t="s">
        <v>28</v>
      </c>
      <c r="B706" t="s">
        <v>29</v>
      </c>
      <c r="C706" t="s">
        <v>30</v>
      </c>
      <c r="D706" s="3">
        <v>4</v>
      </c>
      <c r="E706" s="3">
        <v>5</v>
      </c>
      <c r="F706" s="3">
        <v>17</v>
      </c>
      <c r="G706" s="3">
        <v>260</v>
      </c>
    </row>
    <row r="707" spans="1:7" x14ac:dyDescent="0.3">
      <c r="A707" t="s">
        <v>354</v>
      </c>
      <c r="B707" t="s">
        <v>355</v>
      </c>
      <c r="C707" t="s">
        <v>359</v>
      </c>
      <c r="D707" s="3">
        <v>25</v>
      </c>
      <c r="E707" s="3">
        <v>102</v>
      </c>
      <c r="F707" s="3">
        <v>384</v>
      </c>
      <c r="G707" s="3">
        <v>260</v>
      </c>
    </row>
    <row r="708" spans="1:7" x14ac:dyDescent="0.3">
      <c r="A708" t="s">
        <v>363</v>
      </c>
      <c r="B708" t="s">
        <v>366</v>
      </c>
      <c r="C708" t="s">
        <v>85</v>
      </c>
      <c r="D708" s="3">
        <v>26</v>
      </c>
      <c r="E708" s="3">
        <v>108</v>
      </c>
      <c r="F708" s="3">
        <v>452</v>
      </c>
      <c r="G708" s="3">
        <v>260</v>
      </c>
    </row>
    <row r="709" spans="1:7" x14ac:dyDescent="0.3">
      <c r="A709" t="s">
        <v>536</v>
      </c>
      <c r="B709" t="s">
        <v>551</v>
      </c>
      <c r="C709" t="s">
        <v>179</v>
      </c>
      <c r="D709" s="3">
        <v>30</v>
      </c>
      <c r="E709" s="3">
        <v>59</v>
      </c>
      <c r="F709" s="3">
        <v>211</v>
      </c>
      <c r="G709" s="3">
        <v>260</v>
      </c>
    </row>
    <row r="710" spans="1:7" x14ac:dyDescent="0.3">
      <c r="A710" t="s">
        <v>875</v>
      </c>
      <c r="B710" t="s">
        <v>888</v>
      </c>
      <c r="C710" t="s">
        <v>890</v>
      </c>
      <c r="D710" s="3">
        <v>50</v>
      </c>
      <c r="E710" s="3">
        <v>113</v>
      </c>
      <c r="F710" s="3">
        <v>512</v>
      </c>
      <c r="G710" s="3">
        <v>260</v>
      </c>
    </row>
    <row r="711" spans="1:7" x14ac:dyDescent="0.3">
      <c r="A711" t="s">
        <v>28</v>
      </c>
      <c r="B711" t="s">
        <v>37</v>
      </c>
      <c r="C711" t="s">
        <v>42</v>
      </c>
      <c r="D711" s="3">
        <v>4</v>
      </c>
      <c r="E711" s="3">
        <v>15</v>
      </c>
      <c r="F711" s="3">
        <v>47</v>
      </c>
      <c r="G711" s="3">
        <v>270</v>
      </c>
    </row>
    <row r="712" spans="1:7" x14ac:dyDescent="0.3">
      <c r="A712" t="s">
        <v>67</v>
      </c>
      <c r="B712" t="s">
        <v>70</v>
      </c>
      <c r="C712" t="s">
        <v>69</v>
      </c>
      <c r="D712" s="3">
        <v>5</v>
      </c>
      <c r="E712" s="3">
        <v>166</v>
      </c>
      <c r="F712" s="3">
        <v>716</v>
      </c>
      <c r="G712" s="3">
        <v>270</v>
      </c>
    </row>
    <row r="713" spans="1:7" x14ac:dyDescent="0.3">
      <c r="A713" t="s">
        <v>222</v>
      </c>
      <c r="B713" t="s">
        <v>231</v>
      </c>
      <c r="C713" t="s">
        <v>232</v>
      </c>
      <c r="D713" s="3">
        <v>16</v>
      </c>
      <c r="E713" s="3">
        <v>163</v>
      </c>
      <c r="F713" s="3">
        <v>704</v>
      </c>
      <c r="G713" s="3">
        <v>270</v>
      </c>
    </row>
    <row r="714" spans="1:7" x14ac:dyDescent="0.3">
      <c r="A714" t="s">
        <v>308</v>
      </c>
      <c r="B714" t="s">
        <v>309</v>
      </c>
      <c r="C714" t="s">
        <v>310</v>
      </c>
      <c r="D714" s="3">
        <v>18</v>
      </c>
      <c r="E714" s="3">
        <v>51</v>
      </c>
      <c r="F714" s="3">
        <v>184</v>
      </c>
      <c r="G714" s="3">
        <v>270</v>
      </c>
    </row>
    <row r="715" spans="1:7" x14ac:dyDescent="0.3">
      <c r="A715" t="s">
        <v>363</v>
      </c>
      <c r="B715" t="s">
        <v>366</v>
      </c>
      <c r="C715" t="s">
        <v>60</v>
      </c>
      <c r="D715" s="3">
        <v>26</v>
      </c>
      <c r="E715" s="3">
        <v>108</v>
      </c>
      <c r="F715" s="3">
        <v>457</v>
      </c>
      <c r="G715" s="3">
        <v>270</v>
      </c>
    </row>
    <row r="716" spans="1:7" x14ac:dyDescent="0.3">
      <c r="A716" t="s">
        <v>536</v>
      </c>
      <c r="B716" t="s">
        <v>553</v>
      </c>
      <c r="C716" t="s">
        <v>555</v>
      </c>
      <c r="D716" s="3">
        <v>30</v>
      </c>
      <c r="E716" s="3">
        <v>69</v>
      </c>
      <c r="F716" s="3">
        <v>230</v>
      </c>
      <c r="G716" s="3">
        <v>270</v>
      </c>
    </row>
    <row r="717" spans="1:7" x14ac:dyDescent="0.3">
      <c r="A717" t="s">
        <v>593</v>
      </c>
      <c r="B717" t="s">
        <v>676</v>
      </c>
      <c r="C717" t="s">
        <v>678</v>
      </c>
      <c r="D717" s="3">
        <v>31</v>
      </c>
      <c r="E717" s="3">
        <v>121</v>
      </c>
      <c r="F717" s="3">
        <v>534</v>
      </c>
      <c r="G717" s="3">
        <v>270</v>
      </c>
    </row>
    <row r="718" spans="1:7" x14ac:dyDescent="0.3">
      <c r="A718" t="s">
        <v>875</v>
      </c>
      <c r="B718" t="s">
        <v>896</v>
      </c>
      <c r="C718" t="s">
        <v>400</v>
      </c>
      <c r="D718" s="3">
        <v>50</v>
      </c>
      <c r="E718" s="3">
        <v>152</v>
      </c>
      <c r="F718" s="3">
        <v>655</v>
      </c>
      <c r="G718" s="3">
        <v>270</v>
      </c>
    </row>
    <row r="719" spans="1:7" x14ac:dyDescent="0.3">
      <c r="A719" t="s">
        <v>957</v>
      </c>
      <c r="B719" t="s">
        <v>962</v>
      </c>
      <c r="C719" t="s">
        <v>21</v>
      </c>
      <c r="D719" s="3">
        <v>59</v>
      </c>
      <c r="E719" s="3">
        <v>195</v>
      </c>
      <c r="F719" s="3">
        <v>922</v>
      </c>
      <c r="G719" s="3">
        <v>270</v>
      </c>
    </row>
    <row r="720" spans="1:7" x14ac:dyDescent="0.3">
      <c r="A720" t="s">
        <v>75</v>
      </c>
      <c r="B720" t="s">
        <v>82</v>
      </c>
      <c r="C720" t="s">
        <v>103</v>
      </c>
      <c r="D720" s="3">
        <v>7</v>
      </c>
      <c r="E720" s="3">
        <v>178</v>
      </c>
      <c r="F720" s="3">
        <v>780</v>
      </c>
      <c r="G720" s="3">
        <v>280</v>
      </c>
    </row>
    <row r="721" spans="1:7" x14ac:dyDescent="0.3">
      <c r="A721" t="s">
        <v>134</v>
      </c>
      <c r="B721" t="s">
        <v>135</v>
      </c>
      <c r="C721" t="s">
        <v>138</v>
      </c>
      <c r="D721" s="3">
        <v>10</v>
      </c>
      <c r="E721" s="3">
        <v>48</v>
      </c>
      <c r="F721" s="3">
        <v>173</v>
      </c>
      <c r="G721" s="3">
        <v>280</v>
      </c>
    </row>
    <row r="722" spans="1:7" x14ac:dyDescent="0.3">
      <c r="A722" t="s">
        <v>171</v>
      </c>
      <c r="B722" t="s">
        <v>188</v>
      </c>
      <c r="C722" t="s">
        <v>210</v>
      </c>
      <c r="D722" s="3">
        <v>15</v>
      </c>
      <c r="E722" s="3">
        <v>107</v>
      </c>
      <c r="F722" s="3">
        <v>434</v>
      </c>
      <c r="G722" s="3">
        <v>280</v>
      </c>
    </row>
    <row r="723" spans="1:7" x14ac:dyDescent="0.3">
      <c r="A723" t="s">
        <v>239</v>
      </c>
      <c r="B723" t="s">
        <v>245</v>
      </c>
      <c r="C723" t="s">
        <v>282</v>
      </c>
      <c r="D723" s="3">
        <v>17</v>
      </c>
      <c r="E723" s="3">
        <v>185</v>
      </c>
      <c r="F723" s="3">
        <v>851</v>
      </c>
      <c r="G723" s="3">
        <v>280</v>
      </c>
    </row>
    <row r="724" spans="1:7" x14ac:dyDescent="0.3">
      <c r="A724" t="s">
        <v>456</v>
      </c>
      <c r="B724" t="s">
        <v>474</v>
      </c>
      <c r="C724" t="s">
        <v>476</v>
      </c>
      <c r="D724" s="3">
        <v>29</v>
      </c>
      <c r="E724" s="3">
        <v>31</v>
      </c>
      <c r="F724" s="3">
        <v>117</v>
      </c>
      <c r="G724" s="3">
        <v>280</v>
      </c>
    </row>
    <row r="725" spans="1:7" x14ac:dyDescent="0.3">
      <c r="A725" t="s">
        <v>593</v>
      </c>
      <c r="B725" t="s">
        <v>704</v>
      </c>
      <c r="C725" t="s">
        <v>21</v>
      </c>
      <c r="D725" s="3">
        <v>31</v>
      </c>
      <c r="E725" s="3">
        <v>192</v>
      </c>
      <c r="F725" s="3">
        <v>892</v>
      </c>
      <c r="G725" s="3">
        <v>280</v>
      </c>
    </row>
    <row r="726" spans="1:7" x14ac:dyDescent="0.3">
      <c r="A726" t="s">
        <v>745</v>
      </c>
      <c r="B726" t="s">
        <v>748</v>
      </c>
      <c r="C726" t="s">
        <v>100</v>
      </c>
      <c r="D726" s="3">
        <v>36</v>
      </c>
      <c r="E726" s="3">
        <v>24</v>
      </c>
      <c r="F726" s="3">
        <v>85</v>
      </c>
      <c r="G726" s="3">
        <v>280</v>
      </c>
    </row>
    <row r="727" spans="1:7" x14ac:dyDescent="0.3">
      <c r="A727" t="s">
        <v>790</v>
      </c>
      <c r="B727" t="s">
        <v>791</v>
      </c>
      <c r="C727" t="s">
        <v>618</v>
      </c>
      <c r="D727" s="3">
        <v>37</v>
      </c>
      <c r="E727" s="3">
        <v>194</v>
      </c>
      <c r="F727" s="3">
        <v>912</v>
      </c>
      <c r="G727" s="3">
        <v>280</v>
      </c>
    </row>
    <row r="728" spans="1:7" x14ac:dyDescent="0.3">
      <c r="A728" t="s">
        <v>7</v>
      </c>
      <c r="B728" t="s">
        <v>8</v>
      </c>
      <c r="C728" t="s">
        <v>11</v>
      </c>
      <c r="D728" s="3">
        <v>2</v>
      </c>
      <c r="E728" s="3">
        <v>7</v>
      </c>
      <c r="F728" s="3">
        <v>27</v>
      </c>
      <c r="G728" s="3">
        <v>290</v>
      </c>
    </row>
    <row r="729" spans="1:7" x14ac:dyDescent="0.3">
      <c r="A729" t="s">
        <v>239</v>
      </c>
      <c r="B729" t="s">
        <v>240</v>
      </c>
      <c r="C729" t="s">
        <v>60</v>
      </c>
      <c r="D729" s="3">
        <v>17</v>
      </c>
      <c r="E729" s="3">
        <v>25</v>
      </c>
      <c r="F729" s="3">
        <v>97</v>
      </c>
      <c r="G729" s="3">
        <v>290</v>
      </c>
    </row>
    <row r="730" spans="1:7" x14ac:dyDescent="0.3">
      <c r="A730" t="s">
        <v>456</v>
      </c>
      <c r="B730" t="s">
        <v>457</v>
      </c>
      <c r="C730" t="s">
        <v>464</v>
      </c>
      <c r="D730" s="3">
        <v>29</v>
      </c>
      <c r="E730" s="3">
        <v>2</v>
      </c>
      <c r="F730" s="3">
        <v>12</v>
      </c>
      <c r="G730" s="3">
        <v>290</v>
      </c>
    </row>
    <row r="731" spans="1:7" x14ac:dyDescent="0.3">
      <c r="A731" t="s">
        <v>593</v>
      </c>
      <c r="B731" t="s">
        <v>597</v>
      </c>
      <c r="C731" t="s">
        <v>386</v>
      </c>
      <c r="D731" s="3">
        <v>31</v>
      </c>
      <c r="E731" s="3">
        <v>23</v>
      </c>
      <c r="F731" s="3">
        <v>80</v>
      </c>
      <c r="G731" s="3">
        <v>290</v>
      </c>
    </row>
    <row r="732" spans="1:7" x14ac:dyDescent="0.3">
      <c r="A732" t="s">
        <v>593</v>
      </c>
      <c r="B732" t="s">
        <v>626</v>
      </c>
      <c r="C732" t="s">
        <v>655</v>
      </c>
      <c r="D732" s="3">
        <v>31</v>
      </c>
      <c r="E732" s="3">
        <v>109</v>
      </c>
      <c r="F732" s="3">
        <v>486</v>
      </c>
      <c r="G732" s="3">
        <v>290</v>
      </c>
    </row>
    <row r="733" spans="1:7" x14ac:dyDescent="0.3">
      <c r="A733" t="s">
        <v>712</v>
      </c>
      <c r="B733" t="s">
        <v>713</v>
      </c>
      <c r="C733" t="s">
        <v>60</v>
      </c>
      <c r="D733" s="3">
        <v>33</v>
      </c>
      <c r="E733" s="3">
        <v>28</v>
      </c>
      <c r="F733" s="3">
        <v>111</v>
      </c>
      <c r="G733" s="3">
        <v>290</v>
      </c>
    </row>
    <row r="734" spans="1:7" x14ac:dyDescent="0.3">
      <c r="A734" t="s">
        <v>28</v>
      </c>
      <c r="B734" t="s">
        <v>37</v>
      </c>
      <c r="C734" t="s">
        <v>38</v>
      </c>
      <c r="D734" s="3">
        <v>4</v>
      </c>
      <c r="E734" s="3">
        <v>15</v>
      </c>
      <c r="F734" s="3">
        <v>43</v>
      </c>
      <c r="G734" s="3">
        <v>300</v>
      </c>
    </row>
    <row r="735" spans="1:7" x14ac:dyDescent="0.3">
      <c r="A735" t="s">
        <v>75</v>
      </c>
      <c r="B735" t="s">
        <v>82</v>
      </c>
      <c r="C735" t="s">
        <v>99</v>
      </c>
      <c r="D735" s="3">
        <v>7</v>
      </c>
      <c r="E735" s="3">
        <v>178</v>
      </c>
      <c r="F735" s="3">
        <v>776</v>
      </c>
      <c r="G735" s="3">
        <v>300</v>
      </c>
    </row>
    <row r="736" spans="1:7" x14ac:dyDescent="0.3">
      <c r="A736" t="s">
        <v>239</v>
      </c>
      <c r="B736" t="s">
        <v>245</v>
      </c>
      <c r="C736" t="s">
        <v>274</v>
      </c>
      <c r="D736" s="3">
        <v>17</v>
      </c>
      <c r="E736" s="3">
        <v>185</v>
      </c>
      <c r="F736" s="3">
        <v>841</v>
      </c>
      <c r="G736" s="3">
        <v>300</v>
      </c>
    </row>
    <row r="737" spans="1:7" x14ac:dyDescent="0.3">
      <c r="A737" t="s">
        <v>363</v>
      </c>
      <c r="B737" t="s">
        <v>366</v>
      </c>
      <c r="C737" t="s">
        <v>370</v>
      </c>
      <c r="D737" s="3">
        <v>26</v>
      </c>
      <c r="E737" s="3">
        <v>108</v>
      </c>
      <c r="F737" s="3">
        <v>453</v>
      </c>
      <c r="G737" s="3">
        <v>300</v>
      </c>
    </row>
    <row r="738" spans="1:7" x14ac:dyDescent="0.3">
      <c r="A738" t="s">
        <v>416</v>
      </c>
      <c r="B738" t="s">
        <v>427</v>
      </c>
      <c r="C738" t="s">
        <v>60</v>
      </c>
      <c r="D738" s="3">
        <v>27</v>
      </c>
      <c r="E738" s="3">
        <v>73</v>
      </c>
      <c r="F738" s="3">
        <v>257</v>
      </c>
      <c r="G738" s="3">
        <v>300</v>
      </c>
    </row>
    <row r="739" spans="1:7" x14ac:dyDescent="0.3">
      <c r="A739" t="s">
        <v>725</v>
      </c>
      <c r="B739" t="s">
        <v>729</v>
      </c>
      <c r="C739" t="s">
        <v>73</v>
      </c>
      <c r="D739" s="3">
        <v>35</v>
      </c>
      <c r="E739" s="3">
        <v>39</v>
      </c>
      <c r="F739" s="3">
        <v>147</v>
      </c>
      <c r="G739" s="3">
        <v>300</v>
      </c>
    </row>
    <row r="740" spans="1:7" x14ac:dyDescent="0.3">
      <c r="A740" t="s">
        <v>875</v>
      </c>
      <c r="B740" t="s">
        <v>887</v>
      </c>
      <c r="C740" t="s">
        <v>353</v>
      </c>
      <c r="D740" s="3">
        <v>50</v>
      </c>
      <c r="E740" s="3">
        <v>104</v>
      </c>
      <c r="F740" s="3">
        <v>390</v>
      </c>
      <c r="G740" s="3">
        <v>300</v>
      </c>
    </row>
    <row r="741" spans="1:7" x14ac:dyDescent="0.3">
      <c r="A741" t="s">
        <v>28</v>
      </c>
      <c r="B741" t="s">
        <v>37</v>
      </c>
      <c r="C741" t="s">
        <v>57</v>
      </c>
      <c r="D741" s="3">
        <v>4</v>
      </c>
      <c r="E741" s="3">
        <v>15</v>
      </c>
      <c r="F741" s="3">
        <v>63</v>
      </c>
      <c r="G741" s="3">
        <v>310</v>
      </c>
    </row>
    <row r="742" spans="1:7" x14ac:dyDescent="0.3">
      <c r="A742" t="s">
        <v>239</v>
      </c>
      <c r="B742" t="s">
        <v>245</v>
      </c>
      <c r="C742" t="s">
        <v>263</v>
      </c>
      <c r="D742" s="3">
        <v>17</v>
      </c>
      <c r="E742" s="3">
        <v>185</v>
      </c>
      <c r="F742" s="3">
        <v>830</v>
      </c>
      <c r="G742" s="3">
        <v>310</v>
      </c>
    </row>
    <row r="743" spans="1:7" x14ac:dyDescent="0.3">
      <c r="A743" t="s">
        <v>416</v>
      </c>
      <c r="B743" t="s">
        <v>427</v>
      </c>
      <c r="C743" t="s">
        <v>414</v>
      </c>
      <c r="D743" s="3">
        <v>27</v>
      </c>
      <c r="E743" s="3">
        <v>73</v>
      </c>
      <c r="F743" s="3">
        <v>246</v>
      </c>
      <c r="G743" s="3">
        <v>310</v>
      </c>
    </row>
    <row r="744" spans="1:7" x14ac:dyDescent="0.3">
      <c r="A744" t="s">
        <v>593</v>
      </c>
      <c r="B744" t="s">
        <v>676</v>
      </c>
      <c r="C744" t="s">
        <v>677</v>
      </c>
      <c r="D744" s="3">
        <v>31</v>
      </c>
      <c r="E744" s="3">
        <v>121</v>
      </c>
      <c r="F744" s="3">
        <v>533</v>
      </c>
      <c r="G744" s="3">
        <v>310</v>
      </c>
    </row>
    <row r="745" spans="1:7" x14ac:dyDescent="0.3">
      <c r="A745" t="s">
        <v>28</v>
      </c>
      <c r="B745" t="s">
        <v>37</v>
      </c>
      <c r="C745" t="s">
        <v>48</v>
      </c>
      <c r="D745" s="3">
        <v>4</v>
      </c>
      <c r="E745" s="3">
        <v>15</v>
      </c>
      <c r="F745" s="3">
        <v>53</v>
      </c>
      <c r="G745" s="3">
        <v>320</v>
      </c>
    </row>
    <row r="746" spans="1:7" x14ac:dyDescent="0.3">
      <c r="A746" t="s">
        <v>315</v>
      </c>
      <c r="B746" t="s">
        <v>316</v>
      </c>
      <c r="C746" t="s">
        <v>143</v>
      </c>
      <c r="D746" s="3">
        <v>19</v>
      </c>
      <c r="E746" s="3">
        <v>52</v>
      </c>
      <c r="F746" s="3">
        <v>185</v>
      </c>
      <c r="G746" s="3">
        <v>320</v>
      </c>
    </row>
    <row r="747" spans="1:7" x14ac:dyDescent="0.3">
      <c r="A747" t="s">
        <v>593</v>
      </c>
      <c r="B747" t="s">
        <v>626</v>
      </c>
      <c r="C747" t="s">
        <v>643</v>
      </c>
      <c r="D747" s="3">
        <v>31</v>
      </c>
      <c r="E747" s="3">
        <v>109</v>
      </c>
      <c r="F747" s="3">
        <v>474</v>
      </c>
      <c r="G747" s="3">
        <v>320</v>
      </c>
    </row>
    <row r="748" spans="1:7" x14ac:dyDescent="0.3">
      <c r="A748" t="s">
        <v>725</v>
      </c>
      <c r="B748" t="s">
        <v>737</v>
      </c>
      <c r="C748" t="s">
        <v>738</v>
      </c>
      <c r="D748" s="3">
        <v>35</v>
      </c>
      <c r="E748" s="3">
        <v>103</v>
      </c>
      <c r="F748" s="3">
        <v>385</v>
      </c>
      <c r="G748" s="3">
        <v>320</v>
      </c>
    </row>
    <row r="749" spans="1:7" x14ac:dyDescent="0.3">
      <c r="A749" t="s">
        <v>745</v>
      </c>
      <c r="B749" t="s">
        <v>757</v>
      </c>
      <c r="C749" t="s">
        <v>774</v>
      </c>
      <c r="D749" s="3">
        <v>36</v>
      </c>
      <c r="E749" s="3">
        <v>79</v>
      </c>
      <c r="F749" s="3">
        <v>305</v>
      </c>
      <c r="G749" s="3">
        <v>320</v>
      </c>
    </row>
    <row r="750" spans="1:7" x14ac:dyDescent="0.3">
      <c r="A750" t="s">
        <v>222</v>
      </c>
      <c r="B750" t="s">
        <v>227</v>
      </c>
      <c r="C750" t="s">
        <v>228</v>
      </c>
      <c r="D750" s="3">
        <v>16</v>
      </c>
      <c r="E750" s="3">
        <v>33</v>
      </c>
      <c r="F750" s="3">
        <v>125</v>
      </c>
      <c r="G750" s="3">
        <v>330</v>
      </c>
    </row>
    <row r="751" spans="1:7" x14ac:dyDescent="0.3">
      <c r="A751" t="s">
        <v>28</v>
      </c>
      <c r="B751" t="s">
        <v>37</v>
      </c>
      <c r="C751" t="s">
        <v>45</v>
      </c>
      <c r="D751" s="3">
        <v>4</v>
      </c>
      <c r="E751" s="3">
        <v>15</v>
      </c>
      <c r="F751" s="3">
        <v>50</v>
      </c>
      <c r="G751" s="3">
        <v>340</v>
      </c>
    </row>
    <row r="752" spans="1:7" x14ac:dyDescent="0.3">
      <c r="A752" t="s">
        <v>239</v>
      </c>
      <c r="B752" t="s">
        <v>245</v>
      </c>
      <c r="C752" t="s">
        <v>276</v>
      </c>
      <c r="D752" s="3">
        <v>17</v>
      </c>
      <c r="E752" s="3">
        <v>185</v>
      </c>
      <c r="F752" s="3">
        <v>844</v>
      </c>
      <c r="G752" s="3">
        <v>340</v>
      </c>
    </row>
    <row r="753" spans="1:7" x14ac:dyDescent="0.3">
      <c r="A753" t="s">
        <v>363</v>
      </c>
      <c r="B753" t="s">
        <v>374</v>
      </c>
      <c r="C753" t="s">
        <v>378</v>
      </c>
      <c r="D753" s="3">
        <v>26</v>
      </c>
      <c r="E753" s="3">
        <v>115</v>
      </c>
      <c r="F753" s="3">
        <v>519</v>
      </c>
      <c r="G753" s="3">
        <v>340</v>
      </c>
    </row>
    <row r="754" spans="1:7" x14ac:dyDescent="0.3">
      <c r="A754" t="s">
        <v>942</v>
      </c>
      <c r="B754" t="s">
        <v>945</v>
      </c>
      <c r="C754" t="s">
        <v>946</v>
      </c>
      <c r="D754" s="3">
        <v>56</v>
      </c>
      <c r="E754" s="3">
        <v>84</v>
      </c>
      <c r="F754" s="3">
        <v>329</v>
      </c>
      <c r="G754" s="3">
        <v>340</v>
      </c>
    </row>
    <row r="755" spans="1:7" x14ac:dyDescent="0.3">
      <c r="A755" t="s">
        <v>957</v>
      </c>
      <c r="B755" t="s">
        <v>960</v>
      </c>
      <c r="C755" t="s">
        <v>961</v>
      </c>
      <c r="D755" s="3">
        <v>59</v>
      </c>
      <c r="E755" s="3">
        <v>161</v>
      </c>
      <c r="F755" s="3">
        <v>701</v>
      </c>
      <c r="G755" s="3">
        <v>340</v>
      </c>
    </row>
    <row r="756" spans="1:7" x14ac:dyDescent="0.3">
      <c r="A756" t="s">
        <v>957</v>
      </c>
      <c r="B756" t="s">
        <v>962</v>
      </c>
      <c r="C756" t="s">
        <v>798</v>
      </c>
      <c r="D756" s="3">
        <v>59</v>
      </c>
      <c r="E756" s="3">
        <v>195</v>
      </c>
      <c r="F756" s="3">
        <v>921</v>
      </c>
      <c r="G756" s="3">
        <v>340</v>
      </c>
    </row>
    <row r="757" spans="1:7" x14ac:dyDescent="0.3">
      <c r="A757" t="s">
        <v>67</v>
      </c>
      <c r="B757" t="s">
        <v>68</v>
      </c>
      <c r="C757" t="s">
        <v>69</v>
      </c>
      <c r="D757" s="3">
        <v>5</v>
      </c>
      <c r="E757" s="3">
        <v>57</v>
      </c>
      <c r="F757" s="3">
        <v>206</v>
      </c>
      <c r="G757" s="3">
        <v>350</v>
      </c>
    </row>
    <row r="758" spans="1:7" x14ac:dyDescent="0.3">
      <c r="A758" t="s">
        <v>171</v>
      </c>
      <c r="B758" t="s">
        <v>188</v>
      </c>
      <c r="C758" t="s">
        <v>106</v>
      </c>
      <c r="D758" s="3">
        <v>15</v>
      </c>
      <c r="E758" s="3">
        <v>107</v>
      </c>
      <c r="F758" s="3">
        <v>423</v>
      </c>
      <c r="G758" s="3">
        <v>350</v>
      </c>
    </row>
    <row r="759" spans="1:7" x14ac:dyDescent="0.3">
      <c r="A759" t="s">
        <v>456</v>
      </c>
      <c r="B759" t="s">
        <v>483</v>
      </c>
      <c r="C759" t="s">
        <v>488</v>
      </c>
      <c r="D759" s="3">
        <v>29</v>
      </c>
      <c r="E759" s="3">
        <v>47</v>
      </c>
      <c r="F759" s="3">
        <v>169</v>
      </c>
      <c r="G759" s="3">
        <v>350</v>
      </c>
    </row>
    <row r="760" spans="1:7" x14ac:dyDescent="0.3">
      <c r="A760" t="s">
        <v>456</v>
      </c>
      <c r="B760" t="s">
        <v>500</v>
      </c>
      <c r="C760" t="s">
        <v>503</v>
      </c>
      <c r="D760" s="3">
        <v>29</v>
      </c>
      <c r="E760" s="3">
        <v>97</v>
      </c>
      <c r="F760" s="3">
        <v>368</v>
      </c>
      <c r="G760" s="3">
        <v>350</v>
      </c>
    </row>
    <row r="761" spans="1:7" x14ac:dyDescent="0.3">
      <c r="A761" t="s">
        <v>456</v>
      </c>
      <c r="B761" t="s">
        <v>500</v>
      </c>
      <c r="C761" t="s">
        <v>60</v>
      </c>
      <c r="D761" s="3">
        <v>29</v>
      </c>
      <c r="E761" s="3">
        <v>97</v>
      </c>
      <c r="F761" s="3">
        <v>372</v>
      </c>
      <c r="G761" s="3">
        <v>350</v>
      </c>
    </row>
    <row r="762" spans="1:7" x14ac:dyDescent="0.3">
      <c r="A762" t="s">
        <v>536</v>
      </c>
      <c r="B762" t="s">
        <v>537</v>
      </c>
      <c r="C762" t="s">
        <v>540</v>
      </c>
      <c r="D762" s="3">
        <v>30</v>
      </c>
      <c r="E762" s="3">
        <v>1</v>
      </c>
      <c r="F762" s="3">
        <v>3</v>
      </c>
      <c r="G762" s="3">
        <v>350</v>
      </c>
    </row>
    <row r="763" spans="1:7" x14ac:dyDescent="0.3">
      <c r="A763" t="s">
        <v>843</v>
      </c>
      <c r="B763" t="s">
        <v>844</v>
      </c>
      <c r="C763" t="s">
        <v>21</v>
      </c>
      <c r="D763" s="3">
        <v>40</v>
      </c>
      <c r="E763" s="3">
        <v>118</v>
      </c>
      <c r="F763" s="3">
        <v>527</v>
      </c>
      <c r="G763" s="3">
        <v>350</v>
      </c>
    </row>
    <row r="764" spans="1:7" x14ac:dyDescent="0.3">
      <c r="A764" t="s">
        <v>875</v>
      </c>
      <c r="B764" t="s">
        <v>887</v>
      </c>
      <c r="C764" t="s">
        <v>60</v>
      </c>
      <c r="D764" s="3">
        <v>50</v>
      </c>
      <c r="E764" s="3">
        <v>104</v>
      </c>
      <c r="F764" s="3">
        <v>391</v>
      </c>
      <c r="G764" s="3">
        <v>350</v>
      </c>
    </row>
    <row r="765" spans="1:7" x14ac:dyDescent="0.3">
      <c r="A765" t="s">
        <v>171</v>
      </c>
      <c r="B765" t="s">
        <v>188</v>
      </c>
      <c r="C765" t="s">
        <v>202</v>
      </c>
      <c r="D765" s="3">
        <v>15</v>
      </c>
      <c r="E765" s="3">
        <v>107</v>
      </c>
      <c r="F765" s="3">
        <v>426</v>
      </c>
      <c r="G765" s="3">
        <v>360</v>
      </c>
    </row>
    <row r="766" spans="1:7" x14ac:dyDescent="0.3">
      <c r="A766" t="s">
        <v>239</v>
      </c>
      <c r="B766" t="s">
        <v>245</v>
      </c>
      <c r="C766" t="s">
        <v>267</v>
      </c>
      <c r="D766" s="3">
        <v>17</v>
      </c>
      <c r="E766" s="3">
        <v>185</v>
      </c>
      <c r="F766" s="3">
        <v>834</v>
      </c>
      <c r="G766" s="3">
        <v>360</v>
      </c>
    </row>
    <row r="767" spans="1:7" x14ac:dyDescent="0.3">
      <c r="A767" t="s">
        <v>363</v>
      </c>
      <c r="B767" t="s">
        <v>390</v>
      </c>
      <c r="C767" t="s">
        <v>21</v>
      </c>
      <c r="D767" s="3">
        <v>26</v>
      </c>
      <c r="E767" s="3">
        <v>126</v>
      </c>
      <c r="F767" s="3">
        <v>579</v>
      </c>
      <c r="G767" s="3">
        <v>360</v>
      </c>
    </row>
    <row r="768" spans="1:7" x14ac:dyDescent="0.3">
      <c r="A768" t="s">
        <v>593</v>
      </c>
      <c r="B768" t="s">
        <v>656</v>
      </c>
      <c r="C768" t="s">
        <v>157</v>
      </c>
      <c r="D768" s="3">
        <v>31</v>
      </c>
      <c r="E768" s="3">
        <v>112</v>
      </c>
      <c r="F768" s="3">
        <v>507</v>
      </c>
      <c r="G768" s="3">
        <v>360</v>
      </c>
    </row>
    <row r="769" spans="1:7" x14ac:dyDescent="0.3">
      <c r="A769" t="s">
        <v>790</v>
      </c>
      <c r="B769" t="s">
        <v>791</v>
      </c>
      <c r="C769" t="s">
        <v>801</v>
      </c>
      <c r="D769" s="3">
        <v>37</v>
      </c>
      <c r="E769" s="3">
        <v>194</v>
      </c>
      <c r="F769" s="3">
        <v>907</v>
      </c>
      <c r="G769" s="3">
        <v>360</v>
      </c>
    </row>
    <row r="770" spans="1:7" x14ac:dyDescent="0.3">
      <c r="A770" t="s">
        <v>71</v>
      </c>
      <c r="B770" t="s">
        <v>72</v>
      </c>
      <c r="C770" t="s">
        <v>74</v>
      </c>
      <c r="D770" s="3">
        <v>6</v>
      </c>
      <c r="E770" s="3">
        <v>14</v>
      </c>
      <c r="F770" s="3">
        <v>42</v>
      </c>
      <c r="G770" s="3">
        <v>370</v>
      </c>
    </row>
    <row r="771" spans="1:7" x14ac:dyDescent="0.3">
      <c r="A771" t="s">
        <v>347</v>
      </c>
      <c r="B771" t="s">
        <v>350</v>
      </c>
      <c r="C771" t="s">
        <v>214</v>
      </c>
      <c r="D771" s="3">
        <v>24</v>
      </c>
      <c r="E771" s="3">
        <v>191</v>
      </c>
      <c r="F771" s="3">
        <v>889</v>
      </c>
      <c r="G771" s="3">
        <v>370</v>
      </c>
    </row>
    <row r="772" spans="1:7" x14ac:dyDescent="0.3">
      <c r="A772" t="s">
        <v>75</v>
      </c>
      <c r="B772" t="s">
        <v>82</v>
      </c>
      <c r="C772" t="s">
        <v>86</v>
      </c>
      <c r="D772" s="3">
        <v>7</v>
      </c>
      <c r="E772" s="3">
        <v>178</v>
      </c>
      <c r="F772" s="3">
        <v>763</v>
      </c>
      <c r="G772" s="3">
        <v>380</v>
      </c>
    </row>
    <row r="773" spans="1:7" x14ac:dyDescent="0.3">
      <c r="A773" t="s">
        <v>536</v>
      </c>
      <c r="B773" t="s">
        <v>542</v>
      </c>
      <c r="C773" t="s">
        <v>543</v>
      </c>
      <c r="D773" s="3">
        <v>30</v>
      </c>
      <c r="E773" s="3">
        <v>3</v>
      </c>
      <c r="F773" s="3">
        <v>15</v>
      </c>
      <c r="G773" s="3">
        <v>380</v>
      </c>
    </row>
    <row r="774" spans="1:7" x14ac:dyDescent="0.3">
      <c r="A774" t="s">
        <v>171</v>
      </c>
      <c r="B774" t="s">
        <v>172</v>
      </c>
      <c r="C774" t="s">
        <v>187</v>
      </c>
      <c r="D774" s="3">
        <v>15</v>
      </c>
      <c r="E774" s="3">
        <v>91</v>
      </c>
      <c r="F774" s="3">
        <v>359</v>
      </c>
      <c r="G774" s="3">
        <v>390</v>
      </c>
    </row>
    <row r="775" spans="1:7" x14ac:dyDescent="0.3">
      <c r="A775" t="s">
        <v>363</v>
      </c>
      <c r="B775" t="s">
        <v>390</v>
      </c>
      <c r="C775" t="s">
        <v>64</v>
      </c>
      <c r="D775" s="3">
        <v>26</v>
      </c>
      <c r="E775" s="3">
        <v>126</v>
      </c>
      <c r="F775" s="3">
        <v>572</v>
      </c>
      <c r="G775" s="3">
        <v>390</v>
      </c>
    </row>
    <row r="776" spans="1:7" x14ac:dyDescent="0.3">
      <c r="A776" t="s">
        <v>593</v>
      </c>
      <c r="B776" t="s">
        <v>683</v>
      </c>
      <c r="C776" t="s">
        <v>685</v>
      </c>
      <c r="D776" s="3">
        <v>31</v>
      </c>
      <c r="E776" s="3">
        <v>136</v>
      </c>
      <c r="F776" s="3">
        <v>617</v>
      </c>
      <c r="G776" s="3">
        <v>390</v>
      </c>
    </row>
    <row r="777" spans="1:7" x14ac:dyDescent="0.3">
      <c r="A777" t="s">
        <v>593</v>
      </c>
      <c r="B777" t="s">
        <v>694</v>
      </c>
      <c r="C777" t="s">
        <v>699</v>
      </c>
      <c r="D777" s="3">
        <v>31</v>
      </c>
      <c r="E777" s="3">
        <v>157</v>
      </c>
      <c r="F777" s="3">
        <v>689</v>
      </c>
      <c r="G777" s="3">
        <v>390</v>
      </c>
    </row>
    <row r="778" spans="1:7" x14ac:dyDescent="0.3">
      <c r="A778" t="s">
        <v>832</v>
      </c>
      <c r="B778" t="s">
        <v>833</v>
      </c>
      <c r="C778" t="s">
        <v>212</v>
      </c>
      <c r="D778" s="3">
        <v>39</v>
      </c>
      <c r="E778" s="3">
        <v>124</v>
      </c>
      <c r="F778" s="3">
        <v>562</v>
      </c>
      <c r="G778" s="3">
        <v>390</v>
      </c>
    </row>
    <row r="779" spans="1:7" x14ac:dyDescent="0.3">
      <c r="A779" t="s">
        <v>875</v>
      </c>
      <c r="B779" t="s">
        <v>918</v>
      </c>
      <c r="C779" t="s">
        <v>204</v>
      </c>
      <c r="D779" s="3">
        <v>50</v>
      </c>
      <c r="E779" s="3">
        <v>164</v>
      </c>
      <c r="F779" s="3">
        <v>711</v>
      </c>
      <c r="G779" s="3">
        <v>390</v>
      </c>
    </row>
    <row r="780" spans="1:7" x14ac:dyDescent="0.3">
      <c r="A780" t="s">
        <v>875</v>
      </c>
      <c r="B780" t="s">
        <v>922</v>
      </c>
      <c r="C780" t="s">
        <v>179</v>
      </c>
      <c r="D780" s="3">
        <v>50</v>
      </c>
      <c r="E780" s="3">
        <v>190</v>
      </c>
      <c r="F780" s="3">
        <v>883</v>
      </c>
      <c r="G780" s="3">
        <v>390</v>
      </c>
    </row>
    <row r="781" spans="1:7" x14ac:dyDescent="0.3">
      <c r="A781" t="s">
        <v>7</v>
      </c>
      <c r="B781" t="s">
        <v>14</v>
      </c>
      <c r="C781" t="s">
        <v>19</v>
      </c>
      <c r="D781" s="3">
        <v>2</v>
      </c>
      <c r="E781" s="3">
        <v>16</v>
      </c>
      <c r="F781" s="3">
        <v>73</v>
      </c>
      <c r="G781" s="3">
        <v>400</v>
      </c>
    </row>
    <row r="782" spans="1:7" x14ac:dyDescent="0.3">
      <c r="A782" t="s">
        <v>171</v>
      </c>
      <c r="B782" t="s">
        <v>188</v>
      </c>
      <c r="C782" t="s">
        <v>214</v>
      </c>
      <c r="D782" s="3">
        <v>15</v>
      </c>
      <c r="E782" s="3">
        <v>107</v>
      </c>
      <c r="F782" s="3">
        <v>439</v>
      </c>
      <c r="G782" s="3">
        <v>400</v>
      </c>
    </row>
    <row r="783" spans="1:7" x14ac:dyDescent="0.3">
      <c r="A783" t="s">
        <v>239</v>
      </c>
      <c r="B783" t="s">
        <v>245</v>
      </c>
      <c r="C783" t="s">
        <v>260</v>
      </c>
      <c r="D783" s="3">
        <v>17</v>
      </c>
      <c r="E783" s="3">
        <v>185</v>
      </c>
      <c r="F783" s="3">
        <v>827</v>
      </c>
      <c r="G783" s="3">
        <v>400</v>
      </c>
    </row>
    <row r="784" spans="1:7" x14ac:dyDescent="0.3">
      <c r="A784" t="s">
        <v>239</v>
      </c>
      <c r="B784" t="s">
        <v>245</v>
      </c>
      <c r="C784" t="s">
        <v>298</v>
      </c>
      <c r="D784" s="3">
        <v>17</v>
      </c>
      <c r="E784" s="3">
        <v>185</v>
      </c>
      <c r="F784" s="3">
        <v>867</v>
      </c>
      <c r="G784" s="3">
        <v>400</v>
      </c>
    </row>
    <row r="785" spans="1:7" x14ac:dyDescent="0.3">
      <c r="A785" t="s">
        <v>416</v>
      </c>
      <c r="B785" t="s">
        <v>447</v>
      </c>
      <c r="C785" t="s">
        <v>448</v>
      </c>
      <c r="D785" s="3">
        <v>27</v>
      </c>
      <c r="E785" s="3">
        <v>92</v>
      </c>
      <c r="F785" s="3">
        <v>360</v>
      </c>
      <c r="G785" s="3">
        <v>400</v>
      </c>
    </row>
    <row r="786" spans="1:7" x14ac:dyDescent="0.3">
      <c r="A786" t="s">
        <v>745</v>
      </c>
      <c r="B786" t="s">
        <v>748</v>
      </c>
      <c r="C786" t="s">
        <v>490</v>
      </c>
      <c r="D786" s="3">
        <v>36</v>
      </c>
      <c r="E786" s="3">
        <v>24</v>
      </c>
      <c r="F786" s="3">
        <v>86</v>
      </c>
      <c r="G786" s="3">
        <v>400</v>
      </c>
    </row>
    <row r="787" spans="1:7" x14ac:dyDescent="0.3">
      <c r="A787" t="s">
        <v>28</v>
      </c>
      <c r="B787" t="s">
        <v>29</v>
      </c>
      <c r="C787" t="s">
        <v>33</v>
      </c>
      <c r="D787" s="3">
        <v>4</v>
      </c>
      <c r="E787" s="3">
        <v>5</v>
      </c>
      <c r="F787" s="3">
        <v>20</v>
      </c>
      <c r="G787" s="3">
        <v>410</v>
      </c>
    </row>
    <row r="788" spans="1:7" x14ac:dyDescent="0.3">
      <c r="A788" t="s">
        <v>875</v>
      </c>
      <c r="B788" t="s">
        <v>896</v>
      </c>
      <c r="C788" t="s">
        <v>916</v>
      </c>
      <c r="D788" s="3">
        <v>50</v>
      </c>
      <c r="E788" s="3">
        <v>152</v>
      </c>
      <c r="F788" s="3">
        <v>677</v>
      </c>
      <c r="G788" s="3">
        <v>410</v>
      </c>
    </row>
    <row r="789" spans="1:7" x14ac:dyDescent="0.3">
      <c r="A789" t="s">
        <v>171</v>
      </c>
      <c r="B789" t="s">
        <v>188</v>
      </c>
      <c r="C789" t="s">
        <v>193</v>
      </c>
      <c r="D789" s="3">
        <v>15</v>
      </c>
      <c r="E789" s="3">
        <v>107</v>
      </c>
      <c r="F789" s="3">
        <v>415</v>
      </c>
      <c r="G789" s="3">
        <v>420</v>
      </c>
    </row>
    <row r="790" spans="1:7" x14ac:dyDescent="0.3">
      <c r="A790" t="s">
        <v>745</v>
      </c>
      <c r="B790" t="s">
        <v>757</v>
      </c>
      <c r="C790" t="s">
        <v>768</v>
      </c>
      <c r="D790" s="3">
        <v>36</v>
      </c>
      <c r="E790" s="3">
        <v>79</v>
      </c>
      <c r="F790" s="3">
        <v>299</v>
      </c>
      <c r="G790" s="3">
        <v>420</v>
      </c>
    </row>
    <row r="791" spans="1:7" x14ac:dyDescent="0.3">
      <c r="A791" t="s">
        <v>28</v>
      </c>
      <c r="B791" t="s">
        <v>37</v>
      </c>
      <c r="C791" t="s">
        <v>62</v>
      </c>
      <c r="D791" s="3">
        <v>4</v>
      </c>
      <c r="E791" s="3">
        <v>15</v>
      </c>
      <c r="F791" s="3">
        <v>68</v>
      </c>
      <c r="G791" s="3">
        <v>440</v>
      </c>
    </row>
    <row r="792" spans="1:7" x14ac:dyDescent="0.3">
      <c r="A792" t="s">
        <v>593</v>
      </c>
      <c r="B792" t="s">
        <v>679</v>
      </c>
      <c r="C792" t="s">
        <v>680</v>
      </c>
      <c r="D792" s="3">
        <v>31</v>
      </c>
      <c r="E792" s="3">
        <v>122</v>
      </c>
      <c r="F792" s="3">
        <v>536</v>
      </c>
      <c r="G792" s="3">
        <v>440</v>
      </c>
    </row>
    <row r="793" spans="1:7" x14ac:dyDescent="0.3">
      <c r="A793" t="s">
        <v>712</v>
      </c>
      <c r="B793" t="s">
        <v>713</v>
      </c>
      <c r="C793" t="s">
        <v>717</v>
      </c>
      <c r="D793" s="3">
        <v>33</v>
      </c>
      <c r="E793" s="3">
        <v>28</v>
      </c>
      <c r="F793" s="3">
        <v>107</v>
      </c>
      <c r="G793" s="3">
        <v>440</v>
      </c>
    </row>
    <row r="794" spans="1:7" x14ac:dyDescent="0.3">
      <c r="A794" t="s">
        <v>134</v>
      </c>
      <c r="B794" t="s">
        <v>135</v>
      </c>
      <c r="C794" t="s">
        <v>140</v>
      </c>
      <c r="D794" s="3">
        <v>10</v>
      </c>
      <c r="E794" s="3">
        <v>48</v>
      </c>
      <c r="F794" s="3">
        <v>175</v>
      </c>
      <c r="G794" s="3">
        <v>450</v>
      </c>
    </row>
    <row r="795" spans="1:7" x14ac:dyDescent="0.3">
      <c r="A795" t="s">
        <v>171</v>
      </c>
      <c r="B795" t="s">
        <v>188</v>
      </c>
      <c r="C795" t="s">
        <v>189</v>
      </c>
      <c r="D795" s="3">
        <v>15</v>
      </c>
      <c r="E795" s="3">
        <v>107</v>
      </c>
      <c r="F795" s="3">
        <v>409</v>
      </c>
      <c r="G795" s="3">
        <v>450</v>
      </c>
    </row>
    <row r="796" spans="1:7" x14ac:dyDescent="0.3">
      <c r="A796" t="s">
        <v>416</v>
      </c>
      <c r="B796" t="s">
        <v>427</v>
      </c>
      <c r="C796" t="s">
        <v>440</v>
      </c>
      <c r="D796" s="3">
        <v>27</v>
      </c>
      <c r="E796" s="3">
        <v>73</v>
      </c>
      <c r="F796" s="3">
        <v>251</v>
      </c>
      <c r="G796" s="3">
        <v>450</v>
      </c>
    </row>
    <row r="797" spans="1:7" x14ac:dyDescent="0.3">
      <c r="A797" t="s">
        <v>239</v>
      </c>
      <c r="B797" t="s">
        <v>245</v>
      </c>
      <c r="C797" t="s">
        <v>283</v>
      </c>
      <c r="D797" s="3">
        <v>17</v>
      </c>
      <c r="E797" s="3">
        <v>185</v>
      </c>
      <c r="F797" s="3">
        <v>852</v>
      </c>
      <c r="G797" s="3">
        <v>470</v>
      </c>
    </row>
    <row r="798" spans="1:7" x14ac:dyDescent="0.3">
      <c r="A798" t="s">
        <v>321</v>
      </c>
      <c r="B798" t="s">
        <v>322</v>
      </c>
      <c r="C798" t="s">
        <v>60</v>
      </c>
      <c r="D798" s="3">
        <v>21</v>
      </c>
      <c r="E798" s="3">
        <v>173</v>
      </c>
      <c r="F798" s="3">
        <v>742</v>
      </c>
      <c r="G798" s="3">
        <v>470</v>
      </c>
    </row>
    <row r="799" spans="1:7" x14ac:dyDescent="0.3">
      <c r="A799" t="s">
        <v>416</v>
      </c>
      <c r="B799" t="s">
        <v>450</v>
      </c>
      <c r="C799" t="s">
        <v>454</v>
      </c>
      <c r="D799" s="3">
        <v>27</v>
      </c>
      <c r="E799" s="3">
        <v>105</v>
      </c>
      <c r="F799" s="3">
        <v>398</v>
      </c>
      <c r="G799" s="3">
        <v>470</v>
      </c>
    </row>
    <row r="800" spans="1:7" x14ac:dyDescent="0.3">
      <c r="A800" t="s">
        <v>725</v>
      </c>
      <c r="B800" t="s">
        <v>735</v>
      </c>
      <c r="C800" t="s">
        <v>326</v>
      </c>
      <c r="D800" s="3">
        <v>35</v>
      </c>
      <c r="E800" s="3">
        <v>88</v>
      </c>
      <c r="F800" s="3">
        <v>340</v>
      </c>
      <c r="G800" s="3">
        <v>470</v>
      </c>
    </row>
    <row r="801" spans="1:7" x14ac:dyDescent="0.3">
      <c r="A801" t="s">
        <v>28</v>
      </c>
      <c r="B801" t="s">
        <v>29</v>
      </c>
      <c r="C801" t="s">
        <v>32</v>
      </c>
      <c r="D801" s="3">
        <v>4</v>
      </c>
      <c r="E801" s="3">
        <v>5</v>
      </c>
      <c r="F801" s="3">
        <v>19</v>
      </c>
      <c r="G801" s="3">
        <v>480</v>
      </c>
    </row>
    <row r="802" spans="1:7" x14ac:dyDescent="0.3">
      <c r="A802" t="s">
        <v>222</v>
      </c>
      <c r="B802" t="s">
        <v>231</v>
      </c>
      <c r="C802" t="s">
        <v>204</v>
      </c>
      <c r="D802" s="3">
        <v>16</v>
      </c>
      <c r="E802" s="3">
        <v>163</v>
      </c>
      <c r="F802" s="3">
        <v>709</v>
      </c>
      <c r="G802" s="3">
        <v>480</v>
      </c>
    </row>
    <row r="803" spans="1:7" x14ac:dyDescent="0.3">
      <c r="A803" t="s">
        <v>416</v>
      </c>
      <c r="B803" t="s">
        <v>418</v>
      </c>
      <c r="C803" t="s">
        <v>419</v>
      </c>
      <c r="D803" s="3">
        <v>27</v>
      </c>
      <c r="E803" s="3">
        <v>35</v>
      </c>
      <c r="F803" s="3">
        <v>129</v>
      </c>
      <c r="G803" s="3">
        <v>480</v>
      </c>
    </row>
    <row r="804" spans="1:7" x14ac:dyDescent="0.3">
      <c r="A804" t="s">
        <v>957</v>
      </c>
      <c r="B804" t="s">
        <v>958</v>
      </c>
      <c r="C804" t="s">
        <v>959</v>
      </c>
      <c r="D804" s="3">
        <v>59</v>
      </c>
      <c r="E804" s="3">
        <v>72</v>
      </c>
      <c r="F804" s="3">
        <v>235</v>
      </c>
      <c r="G804" s="3">
        <v>480</v>
      </c>
    </row>
    <row r="805" spans="1:7" x14ac:dyDescent="0.3">
      <c r="A805" t="s">
        <v>924</v>
      </c>
      <c r="B805" t="s">
        <v>925</v>
      </c>
      <c r="C805" t="s">
        <v>926</v>
      </c>
      <c r="D805" s="3">
        <v>51</v>
      </c>
      <c r="E805" s="3">
        <v>171</v>
      </c>
      <c r="F805" s="3">
        <v>730</v>
      </c>
      <c r="G805" s="3">
        <v>490</v>
      </c>
    </row>
    <row r="806" spans="1:7" x14ac:dyDescent="0.3">
      <c r="A806" t="s">
        <v>456</v>
      </c>
      <c r="B806" t="s">
        <v>472</v>
      </c>
      <c r="C806" t="s">
        <v>473</v>
      </c>
      <c r="D806" s="3">
        <v>29</v>
      </c>
      <c r="E806" s="3">
        <v>18</v>
      </c>
      <c r="F806" s="3">
        <v>75</v>
      </c>
      <c r="G806" s="3">
        <v>500</v>
      </c>
    </row>
    <row r="807" spans="1:7" x14ac:dyDescent="0.3">
      <c r="A807" t="s">
        <v>456</v>
      </c>
      <c r="B807" t="s">
        <v>483</v>
      </c>
      <c r="C807" t="s">
        <v>484</v>
      </c>
      <c r="D807" s="3">
        <v>29</v>
      </c>
      <c r="E807" s="3">
        <v>47</v>
      </c>
      <c r="F807" s="3">
        <v>165</v>
      </c>
      <c r="G807" s="3">
        <v>500</v>
      </c>
    </row>
    <row r="808" spans="1:7" x14ac:dyDescent="0.3">
      <c r="A808" t="s">
        <v>745</v>
      </c>
      <c r="B808" t="s">
        <v>757</v>
      </c>
      <c r="C808" t="s">
        <v>247</v>
      </c>
      <c r="D808" s="3">
        <v>36</v>
      </c>
      <c r="E808" s="3">
        <v>79</v>
      </c>
      <c r="F808" s="3">
        <v>288</v>
      </c>
      <c r="G808" s="3">
        <v>500</v>
      </c>
    </row>
    <row r="809" spans="1:7" x14ac:dyDescent="0.3">
      <c r="A809" t="s">
        <v>171</v>
      </c>
      <c r="B809" t="s">
        <v>188</v>
      </c>
      <c r="C809" t="s">
        <v>190</v>
      </c>
      <c r="D809" s="3">
        <v>15</v>
      </c>
      <c r="E809" s="3">
        <v>107</v>
      </c>
      <c r="F809" s="3">
        <v>410</v>
      </c>
      <c r="G809" s="3">
        <v>510</v>
      </c>
    </row>
    <row r="810" spans="1:7" x14ac:dyDescent="0.3">
      <c r="A810" t="s">
        <v>171</v>
      </c>
      <c r="B810" t="s">
        <v>188</v>
      </c>
      <c r="C810" t="s">
        <v>216</v>
      </c>
      <c r="D810" s="3">
        <v>15</v>
      </c>
      <c r="E810" s="3">
        <v>107</v>
      </c>
      <c r="F810" s="3">
        <v>441</v>
      </c>
      <c r="G810" s="3">
        <v>510</v>
      </c>
    </row>
    <row r="811" spans="1:7" x14ac:dyDescent="0.3">
      <c r="A811" t="s">
        <v>954</v>
      </c>
      <c r="B811" t="s">
        <v>955</v>
      </c>
      <c r="C811" t="s">
        <v>126</v>
      </c>
      <c r="D811" s="3">
        <v>58</v>
      </c>
      <c r="E811" s="3">
        <v>83</v>
      </c>
      <c r="F811" s="3">
        <v>328</v>
      </c>
      <c r="G811" s="3">
        <v>510</v>
      </c>
    </row>
    <row r="812" spans="1:7" x14ac:dyDescent="0.3">
      <c r="A812" t="s">
        <v>966</v>
      </c>
      <c r="B812" t="s">
        <v>967</v>
      </c>
      <c r="C812" t="s">
        <v>970</v>
      </c>
      <c r="D812" s="3">
        <v>60</v>
      </c>
      <c r="E812" s="3">
        <v>87</v>
      </c>
      <c r="F812" s="3">
        <v>338</v>
      </c>
      <c r="G812" s="3">
        <v>520</v>
      </c>
    </row>
    <row r="813" spans="1:7" x14ac:dyDescent="0.3">
      <c r="A813" t="s">
        <v>75</v>
      </c>
      <c r="B813" t="s">
        <v>82</v>
      </c>
      <c r="C813" t="s">
        <v>113</v>
      </c>
      <c r="D813" s="3">
        <v>7</v>
      </c>
      <c r="E813" s="3">
        <v>178</v>
      </c>
      <c r="F813" s="3">
        <v>790</v>
      </c>
      <c r="G813" s="3">
        <v>530</v>
      </c>
    </row>
    <row r="814" spans="1:7" x14ac:dyDescent="0.3">
      <c r="A814" t="s">
        <v>725</v>
      </c>
      <c r="B814" t="s">
        <v>737</v>
      </c>
      <c r="C814" t="s">
        <v>740</v>
      </c>
      <c r="D814" s="3">
        <v>35</v>
      </c>
      <c r="E814" s="3">
        <v>103</v>
      </c>
      <c r="F814" s="3">
        <v>388</v>
      </c>
      <c r="G814" s="3">
        <v>530</v>
      </c>
    </row>
    <row r="815" spans="1:7" x14ac:dyDescent="0.3">
      <c r="A815" t="s">
        <v>28</v>
      </c>
      <c r="B815" t="s">
        <v>63</v>
      </c>
      <c r="C815" t="s">
        <v>64</v>
      </c>
      <c r="D815" s="3">
        <v>4</v>
      </c>
      <c r="E815" s="3">
        <v>65</v>
      </c>
      <c r="F815" s="3">
        <v>221</v>
      </c>
      <c r="G815" s="3">
        <v>540</v>
      </c>
    </row>
    <row r="816" spans="1:7" x14ac:dyDescent="0.3">
      <c r="A816" t="s">
        <v>308</v>
      </c>
      <c r="B816" t="s">
        <v>311</v>
      </c>
      <c r="C816" t="s">
        <v>312</v>
      </c>
      <c r="D816" s="3">
        <v>18</v>
      </c>
      <c r="E816" s="3">
        <v>80</v>
      </c>
      <c r="F816" s="3">
        <v>323</v>
      </c>
      <c r="G816" s="3">
        <v>540</v>
      </c>
    </row>
    <row r="817" spans="1:7" x14ac:dyDescent="0.3">
      <c r="A817" t="s">
        <v>144</v>
      </c>
      <c r="B817" t="s">
        <v>148</v>
      </c>
      <c r="C817" t="s">
        <v>149</v>
      </c>
      <c r="D817" s="3">
        <v>11</v>
      </c>
      <c r="E817" s="3">
        <v>153</v>
      </c>
      <c r="F817" s="3">
        <v>679</v>
      </c>
      <c r="G817" s="3">
        <v>550</v>
      </c>
    </row>
    <row r="818" spans="1:7" x14ac:dyDescent="0.3">
      <c r="A818" t="s">
        <v>416</v>
      </c>
      <c r="B818" t="s">
        <v>427</v>
      </c>
      <c r="C818" t="s">
        <v>432</v>
      </c>
      <c r="D818" s="3">
        <v>27</v>
      </c>
      <c r="E818" s="3">
        <v>73</v>
      </c>
      <c r="F818" s="3">
        <v>241</v>
      </c>
      <c r="G818" s="3">
        <v>550</v>
      </c>
    </row>
    <row r="819" spans="1:7" x14ac:dyDescent="0.3">
      <c r="A819" t="s">
        <v>790</v>
      </c>
      <c r="B819" t="s">
        <v>791</v>
      </c>
      <c r="C819" t="s">
        <v>177</v>
      </c>
      <c r="D819" s="3">
        <v>37</v>
      </c>
      <c r="E819" s="3">
        <v>194</v>
      </c>
      <c r="F819" s="3">
        <v>899</v>
      </c>
      <c r="G819" s="3">
        <v>550</v>
      </c>
    </row>
    <row r="820" spans="1:7" x14ac:dyDescent="0.3">
      <c r="A820" t="s">
        <v>239</v>
      </c>
      <c r="B820" t="s">
        <v>245</v>
      </c>
      <c r="C820" t="s">
        <v>273</v>
      </c>
      <c r="D820" s="3">
        <v>17</v>
      </c>
      <c r="E820" s="3">
        <v>185</v>
      </c>
      <c r="F820" s="3">
        <v>840</v>
      </c>
      <c r="G820" s="3">
        <v>560</v>
      </c>
    </row>
    <row r="821" spans="1:7" x14ac:dyDescent="0.3">
      <c r="A821" t="s">
        <v>745</v>
      </c>
      <c r="B821" t="s">
        <v>757</v>
      </c>
      <c r="C821" t="s">
        <v>765</v>
      </c>
      <c r="D821" s="3">
        <v>36</v>
      </c>
      <c r="E821" s="3">
        <v>79</v>
      </c>
      <c r="F821" s="3">
        <v>295</v>
      </c>
      <c r="G821" s="3">
        <v>560</v>
      </c>
    </row>
    <row r="822" spans="1:7" x14ac:dyDescent="0.3">
      <c r="A822" t="s">
        <v>875</v>
      </c>
      <c r="B822" t="s">
        <v>896</v>
      </c>
      <c r="C822" t="s">
        <v>903</v>
      </c>
      <c r="D822" s="3">
        <v>50</v>
      </c>
      <c r="E822" s="3">
        <v>152</v>
      </c>
      <c r="F822" s="3">
        <v>654</v>
      </c>
      <c r="G822" s="3">
        <v>560</v>
      </c>
    </row>
    <row r="823" spans="1:7" x14ac:dyDescent="0.3">
      <c r="A823" t="s">
        <v>745</v>
      </c>
      <c r="B823" t="s">
        <v>755</v>
      </c>
      <c r="C823" t="s">
        <v>21</v>
      </c>
      <c r="D823" s="3">
        <v>36</v>
      </c>
      <c r="E823" s="3">
        <v>44</v>
      </c>
      <c r="F823" s="3">
        <v>160</v>
      </c>
      <c r="G823" s="3">
        <v>570</v>
      </c>
    </row>
    <row r="824" spans="1:7" x14ac:dyDescent="0.3">
      <c r="A824" t="s">
        <v>593</v>
      </c>
      <c r="B824" t="s">
        <v>707</v>
      </c>
      <c r="C824" t="s">
        <v>708</v>
      </c>
      <c r="D824" s="3">
        <v>31</v>
      </c>
      <c r="E824" s="3">
        <v>193</v>
      </c>
      <c r="F824" s="3">
        <v>895</v>
      </c>
      <c r="G824" s="3">
        <v>580</v>
      </c>
    </row>
    <row r="825" spans="1:7" x14ac:dyDescent="0.3">
      <c r="A825" t="s">
        <v>875</v>
      </c>
      <c r="B825" t="s">
        <v>884</v>
      </c>
      <c r="C825" t="s">
        <v>885</v>
      </c>
      <c r="D825" s="3">
        <v>50</v>
      </c>
      <c r="E825" s="3">
        <v>81</v>
      </c>
      <c r="F825" s="3">
        <v>324</v>
      </c>
      <c r="G825" s="3">
        <v>580</v>
      </c>
    </row>
    <row r="826" spans="1:7" x14ac:dyDescent="0.3">
      <c r="A826" t="s">
        <v>354</v>
      </c>
      <c r="B826" t="s">
        <v>355</v>
      </c>
      <c r="C826" t="s">
        <v>358</v>
      </c>
      <c r="D826" s="3">
        <v>25</v>
      </c>
      <c r="E826" s="3">
        <v>102</v>
      </c>
      <c r="F826" s="3">
        <v>383</v>
      </c>
      <c r="G826" s="3">
        <v>590</v>
      </c>
    </row>
    <row r="827" spans="1:7" x14ac:dyDescent="0.3">
      <c r="A827" t="s">
        <v>593</v>
      </c>
      <c r="B827" t="s">
        <v>683</v>
      </c>
      <c r="C827" t="s">
        <v>684</v>
      </c>
      <c r="D827" s="3">
        <v>31</v>
      </c>
      <c r="E827" s="3">
        <v>136</v>
      </c>
      <c r="F827" s="3">
        <v>616</v>
      </c>
      <c r="G827" s="3">
        <v>590</v>
      </c>
    </row>
    <row r="828" spans="1:7" x14ac:dyDescent="0.3">
      <c r="A828" t="s">
        <v>593</v>
      </c>
      <c r="B828" t="s">
        <v>688</v>
      </c>
      <c r="C828" t="s">
        <v>691</v>
      </c>
      <c r="D828" s="3">
        <v>31</v>
      </c>
      <c r="E828" s="3">
        <v>148</v>
      </c>
      <c r="F828" s="3">
        <v>639</v>
      </c>
      <c r="G828" s="3">
        <v>600</v>
      </c>
    </row>
    <row r="829" spans="1:7" x14ac:dyDescent="0.3">
      <c r="A829" t="s">
        <v>593</v>
      </c>
      <c r="B829" t="s">
        <v>617</v>
      </c>
      <c r="C829" t="s">
        <v>619</v>
      </c>
      <c r="D829" s="3">
        <v>31</v>
      </c>
      <c r="E829" s="3">
        <v>61</v>
      </c>
      <c r="F829" s="3">
        <v>217</v>
      </c>
      <c r="G829" s="3">
        <v>610</v>
      </c>
    </row>
    <row r="830" spans="1:7" x14ac:dyDescent="0.3">
      <c r="A830" t="s">
        <v>808</v>
      </c>
      <c r="B830" t="s">
        <v>809</v>
      </c>
      <c r="C830" t="s">
        <v>242</v>
      </c>
      <c r="D830" s="3">
        <v>38</v>
      </c>
      <c r="E830" s="3">
        <v>75</v>
      </c>
      <c r="F830" s="3">
        <v>260</v>
      </c>
      <c r="G830" s="3">
        <v>610</v>
      </c>
    </row>
    <row r="831" spans="1:7" x14ac:dyDescent="0.3">
      <c r="A831" t="s">
        <v>808</v>
      </c>
      <c r="B831" t="s">
        <v>810</v>
      </c>
      <c r="C831" t="s">
        <v>60</v>
      </c>
      <c r="D831" s="3">
        <v>38</v>
      </c>
      <c r="E831" s="3">
        <v>76</v>
      </c>
      <c r="F831" s="3">
        <v>280</v>
      </c>
      <c r="G831" s="3">
        <v>620</v>
      </c>
    </row>
    <row r="832" spans="1:7" x14ac:dyDescent="0.3">
      <c r="A832" t="s">
        <v>725</v>
      </c>
      <c r="B832" t="s">
        <v>726</v>
      </c>
      <c r="C832" t="s">
        <v>727</v>
      </c>
      <c r="D832" s="3">
        <v>35</v>
      </c>
      <c r="E832" s="3">
        <v>29</v>
      </c>
      <c r="F832" s="3">
        <v>113</v>
      </c>
      <c r="G832" s="3">
        <v>630</v>
      </c>
    </row>
    <row r="833" spans="1:7" x14ac:dyDescent="0.3">
      <c r="A833" t="s">
        <v>856</v>
      </c>
      <c r="B833" t="s">
        <v>857</v>
      </c>
      <c r="C833" t="s">
        <v>217</v>
      </c>
      <c r="D833" s="3">
        <v>44</v>
      </c>
      <c r="E833" s="3">
        <v>86</v>
      </c>
      <c r="F833" s="3">
        <v>335</v>
      </c>
      <c r="G833" s="3">
        <v>630</v>
      </c>
    </row>
    <row r="834" spans="1:7" x14ac:dyDescent="0.3">
      <c r="A834" t="s">
        <v>239</v>
      </c>
      <c r="B834" t="s">
        <v>245</v>
      </c>
      <c r="C834" t="s">
        <v>303</v>
      </c>
      <c r="D834" s="3">
        <v>17</v>
      </c>
      <c r="E834" s="3">
        <v>185</v>
      </c>
      <c r="F834" s="3">
        <v>873</v>
      </c>
      <c r="G834" s="3">
        <v>640</v>
      </c>
    </row>
    <row r="835" spans="1:7" x14ac:dyDescent="0.3">
      <c r="A835" t="s">
        <v>354</v>
      </c>
      <c r="B835" t="s">
        <v>355</v>
      </c>
      <c r="C835" t="s">
        <v>356</v>
      </c>
      <c r="D835" s="3">
        <v>25</v>
      </c>
      <c r="E835" s="3">
        <v>102</v>
      </c>
      <c r="F835" s="3">
        <v>381</v>
      </c>
      <c r="G835" s="3">
        <v>650</v>
      </c>
    </row>
    <row r="836" spans="1:7" x14ac:dyDescent="0.3">
      <c r="A836" t="s">
        <v>725</v>
      </c>
      <c r="B836" t="s">
        <v>735</v>
      </c>
      <c r="C836" t="s">
        <v>170</v>
      </c>
      <c r="D836" s="3">
        <v>35</v>
      </c>
      <c r="E836" s="3">
        <v>88</v>
      </c>
      <c r="F836" s="3">
        <v>339</v>
      </c>
      <c r="G836" s="3">
        <v>650</v>
      </c>
    </row>
    <row r="837" spans="1:7" x14ac:dyDescent="0.3">
      <c r="A837" t="s">
        <v>725</v>
      </c>
      <c r="B837" t="s">
        <v>741</v>
      </c>
      <c r="C837" t="s">
        <v>743</v>
      </c>
      <c r="D837" s="3">
        <v>35</v>
      </c>
      <c r="E837" s="3">
        <v>175</v>
      </c>
      <c r="F837" s="3">
        <v>752</v>
      </c>
      <c r="G837" s="3">
        <v>650</v>
      </c>
    </row>
    <row r="838" spans="1:7" x14ac:dyDescent="0.3">
      <c r="A838" t="s">
        <v>725</v>
      </c>
      <c r="B838" t="s">
        <v>741</v>
      </c>
      <c r="C838" t="s">
        <v>744</v>
      </c>
      <c r="D838" s="3">
        <v>35</v>
      </c>
      <c r="E838" s="3">
        <v>175</v>
      </c>
      <c r="F838" s="3">
        <v>754</v>
      </c>
      <c r="G838" s="3">
        <v>650</v>
      </c>
    </row>
    <row r="839" spans="1:7" x14ac:dyDescent="0.3">
      <c r="A839" t="s">
        <v>745</v>
      </c>
      <c r="B839" t="s">
        <v>757</v>
      </c>
      <c r="C839" t="s">
        <v>758</v>
      </c>
      <c r="D839" s="3">
        <v>36</v>
      </c>
      <c r="E839" s="3">
        <v>79</v>
      </c>
      <c r="F839" s="3">
        <v>74</v>
      </c>
      <c r="G839" s="3">
        <v>650</v>
      </c>
    </row>
    <row r="840" spans="1:7" x14ac:dyDescent="0.3">
      <c r="A840" t="s">
        <v>593</v>
      </c>
      <c r="B840" t="s">
        <v>599</v>
      </c>
      <c r="C840" t="s">
        <v>600</v>
      </c>
      <c r="D840" s="3">
        <v>31</v>
      </c>
      <c r="E840" s="3">
        <v>42</v>
      </c>
      <c r="F840" s="3">
        <v>157</v>
      </c>
      <c r="G840" s="3">
        <v>680</v>
      </c>
    </row>
    <row r="841" spans="1:7" x14ac:dyDescent="0.3">
      <c r="A841" t="s">
        <v>790</v>
      </c>
      <c r="B841" t="s">
        <v>791</v>
      </c>
      <c r="C841" t="s">
        <v>799</v>
      </c>
      <c r="D841" s="3">
        <v>37</v>
      </c>
      <c r="E841" s="3">
        <v>194</v>
      </c>
      <c r="F841" s="3">
        <v>904</v>
      </c>
      <c r="G841" s="3">
        <v>700</v>
      </c>
    </row>
    <row r="842" spans="1:7" x14ac:dyDescent="0.3">
      <c r="A842" t="s">
        <v>456</v>
      </c>
      <c r="B842" t="s">
        <v>498</v>
      </c>
      <c r="C842" t="s">
        <v>499</v>
      </c>
      <c r="D842" s="3">
        <v>29</v>
      </c>
      <c r="E842" s="3">
        <v>90</v>
      </c>
      <c r="F842" s="3">
        <v>343</v>
      </c>
      <c r="G842" s="3">
        <v>710</v>
      </c>
    </row>
    <row r="843" spans="1:7" x14ac:dyDescent="0.3">
      <c r="A843" t="s">
        <v>75</v>
      </c>
      <c r="B843" t="s">
        <v>82</v>
      </c>
      <c r="C843" t="s">
        <v>108</v>
      </c>
      <c r="D843" s="3">
        <v>7</v>
      </c>
      <c r="E843" s="3">
        <v>178</v>
      </c>
      <c r="F843" s="3">
        <v>785</v>
      </c>
      <c r="G843" s="3">
        <v>720</v>
      </c>
    </row>
    <row r="844" spans="1:7" x14ac:dyDescent="0.3">
      <c r="A844" t="s">
        <v>239</v>
      </c>
      <c r="B844" t="s">
        <v>245</v>
      </c>
      <c r="C844" t="s">
        <v>253</v>
      </c>
      <c r="D844" s="3">
        <v>17</v>
      </c>
      <c r="E844" s="3">
        <v>185</v>
      </c>
      <c r="F844" s="3">
        <v>820</v>
      </c>
      <c r="G844" s="3">
        <v>720</v>
      </c>
    </row>
    <row r="845" spans="1:7" x14ac:dyDescent="0.3">
      <c r="A845" t="s">
        <v>416</v>
      </c>
      <c r="B845" t="s">
        <v>417</v>
      </c>
      <c r="C845" t="s">
        <v>179</v>
      </c>
      <c r="D845" s="3">
        <v>27</v>
      </c>
      <c r="E845" s="3">
        <v>20</v>
      </c>
      <c r="F845" s="3">
        <v>77</v>
      </c>
      <c r="G845" s="3">
        <v>720</v>
      </c>
    </row>
    <row r="846" spans="1:7" x14ac:dyDescent="0.3">
      <c r="A846" t="s">
        <v>790</v>
      </c>
      <c r="B846" t="s">
        <v>791</v>
      </c>
      <c r="C846" t="s">
        <v>806</v>
      </c>
      <c r="D846" s="3">
        <v>37</v>
      </c>
      <c r="E846" s="3">
        <v>194</v>
      </c>
      <c r="F846" s="3">
        <v>914</v>
      </c>
      <c r="G846" s="3">
        <v>720</v>
      </c>
    </row>
    <row r="847" spans="1:7" x14ac:dyDescent="0.3">
      <c r="A847" t="s">
        <v>152</v>
      </c>
      <c r="B847" t="s">
        <v>153</v>
      </c>
      <c r="C847" t="s">
        <v>157</v>
      </c>
      <c r="D847" s="3">
        <v>12</v>
      </c>
      <c r="E847" s="3">
        <v>36</v>
      </c>
      <c r="F847" s="3">
        <v>135</v>
      </c>
      <c r="G847" s="3">
        <v>740</v>
      </c>
    </row>
    <row r="848" spans="1:7" x14ac:dyDescent="0.3">
      <c r="A848" t="s">
        <v>171</v>
      </c>
      <c r="B848" t="s">
        <v>188</v>
      </c>
      <c r="C848" t="s">
        <v>204</v>
      </c>
      <c r="D848" s="3">
        <v>15</v>
      </c>
      <c r="E848" s="3">
        <v>107</v>
      </c>
      <c r="F848" s="3">
        <v>428</v>
      </c>
      <c r="G848" s="3">
        <v>740</v>
      </c>
    </row>
    <row r="849" spans="1:7" x14ac:dyDescent="0.3">
      <c r="A849" t="s">
        <v>456</v>
      </c>
      <c r="B849" t="s">
        <v>495</v>
      </c>
      <c r="C849" t="s">
        <v>21</v>
      </c>
      <c r="D849" s="3">
        <v>29</v>
      </c>
      <c r="E849" s="3">
        <v>63</v>
      </c>
      <c r="F849" s="3">
        <v>219</v>
      </c>
      <c r="G849" s="3">
        <v>740</v>
      </c>
    </row>
    <row r="850" spans="1:7" x14ac:dyDescent="0.3">
      <c r="A850" t="s">
        <v>416</v>
      </c>
      <c r="B850" t="s">
        <v>418</v>
      </c>
      <c r="C850" t="s">
        <v>420</v>
      </c>
      <c r="D850" s="3">
        <v>27</v>
      </c>
      <c r="E850" s="3">
        <v>35</v>
      </c>
      <c r="F850" s="3">
        <v>130</v>
      </c>
      <c r="G850" s="3">
        <v>750</v>
      </c>
    </row>
    <row r="851" spans="1:7" x14ac:dyDescent="0.3">
      <c r="A851" t="s">
        <v>536</v>
      </c>
      <c r="B851" t="s">
        <v>547</v>
      </c>
      <c r="C851" t="s">
        <v>548</v>
      </c>
      <c r="D851" s="3">
        <v>30</v>
      </c>
      <c r="E851" s="3">
        <v>40</v>
      </c>
      <c r="F851" s="3">
        <v>155</v>
      </c>
      <c r="G851" s="3">
        <v>780</v>
      </c>
    </row>
    <row r="852" spans="1:7" x14ac:dyDescent="0.3">
      <c r="A852" t="s">
        <v>7</v>
      </c>
      <c r="B852" t="s">
        <v>14</v>
      </c>
      <c r="C852" t="s">
        <v>17</v>
      </c>
      <c r="D852" s="3">
        <v>2</v>
      </c>
      <c r="E852" s="3">
        <v>16</v>
      </c>
      <c r="F852" s="3">
        <v>71</v>
      </c>
      <c r="G852" s="3">
        <v>800</v>
      </c>
    </row>
    <row r="853" spans="1:7" x14ac:dyDescent="0.3">
      <c r="A853" t="s">
        <v>75</v>
      </c>
      <c r="B853" t="s">
        <v>82</v>
      </c>
      <c r="C853" t="s">
        <v>95</v>
      </c>
      <c r="D853" s="3">
        <v>7</v>
      </c>
      <c r="E853" s="3">
        <v>178</v>
      </c>
      <c r="F853" s="3">
        <v>772</v>
      </c>
      <c r="G853" s="3">
        <v>800</v>
      </c>
    </row>
    <row r="854" spans="1:7" x14ac:dyDescent="0.3">
      <c r="A854" t="s">
        <v>171</v>
      </c>
      <c r="B854" t="s">
        <v>188</v>
      </c>
      <c r="C854" t="s">
        <v>60</v>
      </c>
      <c r="D854" s="3">
        <v>15</v>
      </c>
      <c r="E854" s="3">
        <v>107</v>
      </c>
      <c r="F854" s="3">
        <v>446</v>
      </c>
      <c r="G854" s="3">
        <v>800</v>
      </c>
    </row>
    <row r="855" spans="1:7" x14ac:dyDescent="0.3">
      <c r="A855" t="s">
        <v>456</v>
      </c>
      <c r="B855" t="s">
        <v>535</v>
      </c>
      <c r="C855" t="s">
        <v>143</v>
      </c>
      <c r="D855" s="3">
        <v>29</v>
      </c>
      <c r="E855" s="3">
        <v>196</v>
      </c>
      <c r="F855" s="3">
        <v>927</v>
      </c>
      <c r="G855" s="3">
        <v>800</v>
      </c>
    </row>
    <row r="856" spans="1:7" x14ac:dyDescent="0.3">
      <c r="A856" t="s">
        <v>790</v>
      </c>
      <c r="B856" t="s">
        <v>791</v>
      </c>
      <c r="C856" t="s">
        <v>426</v>
      </c>
      <c r="D856" s="3">
        <v>37</v>
      </c>
      <c r="E856" s="3">
        <v>194</v>
      </c>
      <c r="F856" s="3">
        <v>916</v>
      </c>
      <c r="G856" s="3">
        <v>800</v>
      </c>
    </row>
    <row r="857" spans="1:7" x14ac:dyDescent="0.3">
      <c r="A857" t="s">
        <v>28</v>
      </c>
      <c r="B857" t="s">
        <v>37</v>
      </c>
      <c r="C857" t="s">
        <v>44</v>
      </c>
      <c r="D857" s="3">
        <v>4</v>
      </c>
      <c r="E857" s="3">
        <v>15</v>
      </c>
      <c r="F857" s="3">
        <v>49</v>
      </c>
      <c r="G857" s="3">
        <v>820</v>
      </c>
    </row>
    <row r="858" spans="1:7" x14ac:dyDescent="0.3">
      <c r="A858" t="s">
        <v>937</v>
      </c>
      <c r="B858" t="s">
        <v>938</v>
      </c>
      <c r="C858" t="s">
        <v>899</v>
      </c>
      <c r="D858" s="3">
        <v>54</v>
      </c>
      <c r="E858" s="3">
        <v>183</v>
      </c>
      <c r="F858" s="3">
        <v>809</v>
      </c>
      <c r="G858" s="3">
        <v>830</v>
      </c>
    </row>
    <row r="859" spans="1:7" x14ac:dyDescent="0.3">
      <c r="A859" t="s">
        <v>71</v>
      </c>
      <c r="B859" t="s">
        <v>72</v>
      </c>
      <c r="C859" t="s">
        <v>73</v>
      </c>
      <c r="D859" s="3">
        <v>6</v>
      </c>
      <c r="E859" s="3">
        <v>14</v>
      </c>
      <c r="F859" s="3">
        <v>41</v>
      </c>
      <c r="G859" s="3">
        <v>850</v>
      </c>
    </row>
    <row r="860" spans="1:7" x14ac:dyDescent="0.3">
      <c r="A860" t="s">
        <v>745</v>
      </c>
      <c r="B860" t="s">
        <v>748</v>
      </c>
      <c r="C860" t="s">
        <v>753</v>
      </c>
      <c r="D860" s="3">
        <v>36</v>
      </c>
      <c r="E860" s="3">
        <v>24</v>
      </c>
      <c r="F860" s="3">
        <v>89</v>
      </c>
      <c r="G860" s="3">
        <v>850</v>
      </c>
    </row>
    <row r="861" spans="1:7" x14ac:dyDescent="0.3">
      <c r="A861" t="s">
        <v>790</v>
      </c>
      <c r="B861" t="s">
        <v>791</v>
      </c>
      <c r="C861" t="s">
        <v>60</v>
      </c>
      <c r="D861" s="3">
        <v>37</v>
      </c>
      <c r="E861" s="3">
        <v>194</v>
      </c>
      <c r="F861" s="3">
        <v>915</v>
      </c>
      <c r="G861" s="3">
        <v>850</v>
      </c>
    </row>
    <row r="862" spans="1:7" x14ac:dyDescent="0.3">
      <c r="A862" t="s">
        <v>222</v>
      </c>
      <c r="B862" t="s">
        <v>229</v>
      </c>
      <c r="C862" t="s">
        <v>107</v>
      </c>
      <c r="D862" s="3">
        <v>16</v>
      </c>
      <c r="E862" s="3">
        <v>147</v>
      </c>
      <c r="F862" s="3">
        <v>636</v>
      </c>
      <c r="G862" s="3">
        <v>870</v>
      </c>
    </row>
    <row r="863" spans="1:7" x14ac:dyDescent="0.3">
      <c r="A863" t="s">
        <v>593</v>
      </c>
      <c r="B863" t="s">
        <v>694</v>
      </c>
      <c r="C863" t="s">
        <v>684</v>
      </c>
      <c r="D863" s="3">
        <v>31</v>
      </c>
      <c r="E863" s="3">
        <v>157</v>
      </c>
      <c r="F863" s="3">
        <v>686</v>
      </c>
      <c r="G863" s="3">
        <v>870</v>
      </c>
    </row>
    <row r="864" spans="1:7" x14ac:dyDescent="0.3">
      <c r="A864" t="s">
        <v>924</v>
      </c>
      <c r="B864" t="s">
        <v>925</v>
      </c>
      <c r="C864" t="s">
        <v>367</v>
      </c>
      <c r="D864" s="3">
        <v>51</v>
      </c>
      <c r="E864" s="3">
        <v>171</v>
      </c>
      <c r="F864" s="3">
        <v>729</v>
      </c>
      <c r="G864" s="3">
        <v>890</v>
      </c>
    </row>
    <row r="865" spans="1:7" x14ac:dyDescent="0.3">
      <c r="A865" t="s">
        <v>134</v>
      </c>
      <c r="B865" t="s">
        <v>142</v>
      </c>
      <c r="C865" t="s">
        <v>143</v>
      </c>
      <c r="D865" s="3">
        <v>10</v>
      </c>
      <c r="E865" s="3">
        <v>132</v>
      </c>
      <c r="F865" s="3">
        <v>611</v>
      </c>
      <c r="G865" s="3">
        <v>910</v>
      </c>
    </row>
    <row r="866" spans="1:7" x14ac:dyDescent="0.3">
      <c r="A866" t="s">
        <v>171</v>
      </c>
      <c r="B866" t="s">
        <v>188</v>
      </c>
      <c r="C866" t="s">
        <v>211</v>
      </c>
      <c r="D866" s="3">
        <v>15</v>
      </c>
      <c r="E866" s="3">
        <v>107</v>
      </c>
      <c r="F866" s="3">
        <v>435</v>
      </c>
      <c r="G866" s="3">
        <v>910</v>
      </c>
    </row>
    <row r="867" spans="1:7" x14ac:dyDescent="0.3">
      <c r="A867" t="s">
        <v>363</v>
      </c>
      <c r="B867" t="s">
        <v>390</v>
      </c>
      <c r="C867" t="s">
        <v>407</v>
      </c>
      <c r="D867" s="3">
        <v>26</v>
      </c>
      <c r="E867" s="3">
        <v>126</v>
      </c>
      <c r="F867" s="3">
        <v>588</v>
      </c>
      <c r="G867" s="3">
        <v>950</v>
      </c>
    </row>
    <row r="868" spans="1:7" x14ac:dyDescent="0.3">
      <c r="A868" t="s">
        <v>593</v>
      </c>
      <c r="B868" t="s">
        <v>688</v>
      </c>
      <c r="C868" t="s">
        <v>692</v>
      </c>
      <c r="D868" s="3">
        <v>31</v>
      </c>
      <c r="E868" s="3">
        <v>148</v>
      </c>
      <c r="F868" s="3">
        <v>640</v>
      </c>
      <c r="G868" s="3">
        <v>990</v>
      </c>
    </row>
    <row r="869" spans="1:7" x14ac:dyDescent="0.3">
      <c r="A869" t="s">
        <v>536</v>
      </c>
      <c r="B869" t="s">
        <v>549</v>
      </c>
      <c r="C869" t="s">
        <v>126</v>
      </c>
      <c r="D869" s="3">
        <v>30</v>
      </c>
      <c r="E869" s="3">
        <v>46</v>
      </c>
      <c r="F869" s="3">
        <v>163</v>
      </c>
      <c r="G869" s="3">
        <v>1010</v>
      </c>
    </row>
    <row r="870" spans="1:7" x14ac:dyDescent="0.3">
      <c r="A870" t="s">
        <v>745</v>
      </c>
      <c r="B870" t="s">
        <v>748</v>
      </c>
      <c r="C870" t="s">
        <v>658</v>
      </c>
      <c r="D870" s="3">
        <v>36</v>
      </c>
      <c r="E870" s="3">
        <v>24</v>
      </c>
      <c r="F870" s="3">
        <v>83</v>
      </c>
      <c r="G870" s="3">
        <v>1020</v>
      </c>
    </row>
    <row r="871" spans="1:7" x14ac:dyDescent="0.3">
      <c r="A871" t="s">
        <v>363</v>
      </c>
      <c r="B871" t="s">
        <v>390</v>
      </c>
      <c r="C871" t="s">
        <v>408</v>
      </c>
      <c r="D871" s="3">
        <v>26</v>
      </c>
      <c r="E871" s="3">
        <v>126</v>
      </c>
      <c r="F871" s="3">
        <v>589</v>
      </c>
      <c r="G871" s="3">
        <v>1090</v>
      </c>
    </row>
    <row r="872" spans="1:7" x14ac:dyDescent="0.3">
      <c r="A872" t="s">
        <v>536</v>
      </c>
      <c r="B872" t="s">
        <v>571</v>
      </c>
      <c r="C872" t="s">
        <v>572</v>
      </c>
      <c r="D872" s="3">
        <v>30</v>
      </c>
      <c r="E872" s="3">
        <v>135</v>
      </c>
      <c r="F872" s="3">
        <v>615</v>
      </c>
      <c r="G872" s="3">
        <v>1130</v>
      </c>
    </row>
    <row r="873" spans="1:7" x14ac:dyDescent="0.3">
      <c r="A873" t="s">
        <v>536</v>
      </c>
      <c r="B873" t="s">
        <v>553</v>
      </c>
      <c r="C873" t="s">
        <v>556</v>
      </c>
      <c r="D873" s="3">
        <v>30</v>
      </c>
      <c r="E873" s="3">
        <v>69</v>
      </c>
      <c r="F873" s="3">
        <v>231</v>
      </c>
      <c r="G873" s="3">
        <v>1150</v>
      </c>
    </row>
    <row r="874" spans="1:7" x14ac:dyDescent="0.3">
      <c r="A874" t="s">
        <v>875</v>
      </c>
      <c r="B874" t="s">
        <v>896</v>
      </c>
      <c r="C874" t="s">
        <v>60</v>
      </c>
      <c r="D874" s="3">
        <v>50</v>
      </c>
      <c r="E874" s="3">
        <v>152</v>
      </c>
      <c r="F874" s="3">
        <v>673</v>
      </c>
      <c r="G874" s="3">
        <v>1150</v>
      </c>
    </row>
    <row r="875" spans="1:7" x14ac:dyDescent="0.3">
      <c r="A875" t="s">
        <v>75</v>
      </c>
      <c r="B875" t="s">
        <v>82</v>
      </c>
      <c r="C875" t="s">
        <v>101</v>
      </c>
      <c r="D875" s="3">
        <v>7</v>
      </c>
      <c r="E875" s="3">
        <v>178</v>
      </c>
      <c r="F875" s="3">
        <v>778</v>
      </c>
      <c r="G875" s="3">
        <v>1190</v>
      </c>
    </row>
    <row r="876" spans="1:7" x14ac:dyDescent="0.3">
      <c r="A876" t="s">
        <v>745</v>
      </c>
      <c r="B876" t="s">
        <v>748</v>
      </c>
      <c r="C876" t="s">
        <v>754</v>
      </c>
      <c r="D876" s="3">
        <v>36</v>
      </c>
      <c r="E876" s="3">
        <v>24</v>
      </c>
      <c r="F876" s="3">
        <v>90</v>
      </c>
      <c r="G876" s="3">
        <v>1190</v>
      </c>
    </row>
    <row r="877" spans="1:7" x14ac:dyDescent="0.3">
      <c r="A877" t="s">
        <v>171</v>
      </c>
      <c r="B877" t="s">
        <v>188</v>
      </c>
      <c r="C877" t="s">
        <v>198</v>
      </c>
      <c r="D877" s="3">
        <v>15</v>
      </c>
      <c r="E877" s="3">
        <v>107</v>
      </c>
      <c r="F877" s="3">
        <v>420</v>
      </c>
      <c r="G877" s="3">
        <v>1210</v>
      </c>
    </row>
    <row r="878" spans="1:7" x14ac:dyDescent="0.3">
      <c r="A878" t="s">
        <v>593</v>
      </c>
      <c r="B878" t="s">
        <v>594</v>
      </c>
      <c r="C878" t="s">
        <v>595</v>
      </c>
      <c r="D878" s="3">
        <v>31</v>
      </c>
      <c r="E878" s="3">
        <v>6</v>
      </c>
      <c r="F878" s="3">
        <v>24</v>
      </c>
      <c r="G878" s="3">
        <v>1220</v>
      </c>
    </row>
    <row r="879" spans="1:7" x14ac:dyDescent="0.3">
      <c r="A879" t="s">
        <v>456</v>
      </c>
      <c r="B879" t="s">
        <v>525</v>
      </c>
      <c r="C879" t="s">
        <v>526</v>
      </c>
      <c r="D879" s="3">
        <v>29</v>
      </c>
      <c r="E879" s="3">
        <v>167</v>
      </c>
      <c r="F879" s="3">
        <v>717</v>
      </c>
      <c r="G879" s="3">
        <v>1240</v>
      </c>
    </row>
    <row r="880" spans="1:7" x14ac:dyDescent="0.3">
      <c r="A880" t="s">
        <v>28</v>
      </c>
      <c r="B880" t="s">
        <v>29</v>
      </c>
      <c r="C880" t="s">
        <v>36</v>
      </c>
      <c r="D880" s="3">
        <v>4</v>
      </c>
      <c r="E880" s="3">
        <v>5</v>
      </c>
      <c r="F880" s="3">
        <v>23</v>
      </c>
      <c r="G880" s="3">
        <v>1280</v>
      </c>
    </row>
    <row r="881" spans="1:7" x14ac:dyDescent="0.3">
      <c r="A881" t="s">
        <v>75</v>
      </c>
      <c r="B881" t="s">
        <v>80</v>
      </c>
      <c r="C881" t="s">
        <v>81</v>
      </c>
      <c r="D881" s="3">
        <v>7</v>
      </c>
      <c r="E881" s="3">
        <v>130</v>
      </c>
      <c r="F881" s="3">
        <v>599</v>
      </c>
      <c r="G881" s="3">
        <v>1300</v>
      </c>
    </row>
    <row r="882" spans="1:7" x14ac:dyDescent="0.3">
      <c r="A882" t="s">
        <v>28</v>
      </c>
      <c r="B882" t="s">
        <v>37</v>
      </c>
      <c r="C882" t="s">
        <v>56</v>
      </c>
      <c r="D882" s="3">
        <v>4</v>
      </c>
      <c r="E882" s="3">
        <v>15</v>
      </c>
      <c r="F882" s="3">
        <v>62</v>
      </c>
      <c r="G882" s="3">
        <v>1330</v>
      </c>
    </row>
    <row r="883" spans="1:7" x14ac:dyDescent="0.3">
      <c r="A883" t="s">
        <v>134</v>
      </c>
      <c r="B883" t="s">
        <v>135</v>
      </c>
      <c r="C883" t="s">
        <v>141</v>
      </c>
      <c r="D883" s="3">
        <v>10</v>
      </c>
      <c r="E883" s="3">
        <v>48</v>
      </c>
      <c r="F883" s="3">
        <v>176</v>
      </c>
      <c r="G883" s="3">
        <v>1340</v>
      </c>
    </row>
    <row r="884" spans="1:7" x14ac:dyDescent="0.3">
      <c r="A884" t="s">
        <v>239</v>
      </c>
      <c r="B884" t="s">
        <v>245</v>
      </c>
      <c r="C884" t="s">
        <v>259</v>
      </c>
      <c r="D884" s="3">
        <v>17</v>
      </c>
      <c r="E884" s="3">
        <v>185</v>
      </c>
      <c r="F884" s="3">
        <v>826</v>
      </c>
      <c r="G884" s="3">
        <v>1350</v>
      </c>
    </row>
    <row r="885" spans="1:7" x14ac:dyDescent="0.3">
      <c r="A885" t="s">
        <v>593</v>
      </c>
      <c r="B885" t="s">
        <v>694</v>
      </c>
      <c r="C885" t="s">
        <v>698</v>
      </c>
      <c r="D885" s="3">
        <v>31</v>
      </c>
      <c r="E885" s="3">
        <v>157</v>
      </c>
      <c r="F885" s="3">
        <v>688</v>
      </c>
      <c r="G885" s="3">
        <v>1380</v>
      </c>
    </row>
    <row r="886" spans="1:7" x14ac:dyDescent="0.3">
      <c r="A886" t="s">
        <v>134</v>
      </c>
      <c r="B886" t="s">
        <v>135</v>
      </c>
      <c r="C886" t="s">
        <v>139</v>
      </c>
      <c r="D886" s="3">
        <v>10</v>
      </c>
      <c r="E886" s="3">
        <v>48</v>
      </c>
      <c r="F886" s="3">
        <v>174</v>
      </c>
      <c r="G886" s="3">
        <v>1410</v>
      </c>
    </row>
    <row r="887" spans="1:7" x14ac:dyDescent="0.3">
      <c r="A887" t="s">
        <v>363</v>
      </c>
      <c r="B887" t="s">
        <v>390</v>
      </c>
      <c r="C887" t="s">
        <v>60</v>
      </c>
      <c r="D887" s="3">
        <v>26</v>
      </c>
      <c r="E887" s="3">
        <v>126</v>
      </c>
      <c r="F887" s="3">
        <v>592</v>
      </c>
      <c r="G887" s="3">
        <v>1420</v>
      </c>
    </row>
    <row r="888" spans="1:7" x14ac:dyDescent="0.3">
      <c r="A888" t="s">
        <v>363</v>
      </c>
      <c r="B888" t="s">
        <v>411</v>
      </c>
      <c r="C888" t="s">
        <v>412</v>
      </c>
      <c r="D888" s="3">
        <v>26</v>
      </c>
      <c r="E888" s="3">
        <v>137</v>
      </c>
      <c r="F888" s="3">
        <v>620</v>
      </c>
      <c r="G888" s="3">
        <v>1420</v>
      </c>
    </row>
    <row r="889" spans="1:7" x14ac:dyDescent="0.3">
      <c r="A889" t="s">
        <v>239</v>
      </c>
      <c r="B889" t="s">
        <v>240</v>
      </c>
      <c r="C889" t="s">
        <v>89</v>
      </c>
      <c r="D889" s="3">
        <v>17</v>
      </c>
      <c r="E889" s="3">
        <v>25</v>
      </c>
      <c r="F889" s="3">
        <v>91</v>
      </c>
      <c r="G889" s="3">
        <v>1480</v>
      </c>
    </row>
    <row r="890" spans="1:7" x14ac:dyDescent="0.3">
      <c r="A890" t="s">
        <v>957</v>
      </c>
      <c r="B890" t="s">
        <v>962</v>
      </c>
      <c r="C890" t="s">
        <v>643</v>
      </c>
      <c r="D890" s="3">
        <v>59</v>
      </c>
      <c r="E890" s="3">
        <v>195</v>
      </c>
      <c r="F890" s="3">
        <v>923</v>
      </c>
      <c r="G890" s="3">
        <v>1490</v>
      </c>
    </row>
    <row r="891" spans="1:7" x14ac:dyDescent="0.3">
      <c r="A891" t="s">
        <v>7</v>
      </c>
      <c r="B891" t="s">
        <v>8</v>
      </c>
      <c r="C891" t="s">
        <v>9</v>
      </c>
      <c r="D891" s="3">
        <v>2</v>
      </c>
      <c r="E891" s="3">
        <v>7</v>
      </c>
      <c r="F891" s="3">
        <v>25</v>
      </c>
      <c r="G891" s="3">
        <v>1500</v>
      </c>
    </row>
    <row r="892" spans="1:7" x14ac:dyDescent="0.3">
      <c r="A892" t="s">
        <v>745</v>
      </c>
      <c r="B892" t="s">
        <v>756</v>
      </c>
      <c r="C892" t="s">
        <v>386</v>
      </c>
      <c r="D892" s="3">
        <v>36</v>
      </c>
      <c r="E892" s="3">
        <v>45</v>
      </c>
      <c r="F892" s="3">
        <v>162</v>
      </c>
      <c r="G892" s="3">
        <v>1500</v>
      </c>
    </row>
    <row r="893" spans="1:7" x14ac:dyDescent="0.3">
      <c r="A893" t="s">
        <v>957</v>
      </c>
      <c r="B893" t="s">
        <v>962</v>
      </c>
      <c r="C893" t="s">
        <v>482</v>
      </c>
      <c r="D893" s="3">
        <v>59</v>
      </c>
      <c r="E893" s="3">
        <v>195</v>
      </c>
      <c r="F893" s="3">
        <v>919</v>
      </c>
      <c r="G893" s="3">
        <v>1540</v>
      </c>
    </row>
    <row r="894" spans="1:7" x14ac:dyDescent="0.3">
      <c r="A894" t="s">
        <v>127</v>
      </c>
      <c r="B894" t="s">
        <v>128</v>
      </c>
      <c r="C894" t="s">
        <v>129</v>
      </c>
      <c r="D894" s="3">
        <v>9</v>
      </c>
      <c r="E894" s="3">
        <v>22</v>
      </c>
      <c r="F894" s="3">
        <v>79</v>
      </c>
      <c r="G894" s="3">
        <v>1570</v>
      </c>
    </row>
    <row r="895" spans="1:7" x14ac:dyDescent="0.3">
      <c r="A895" t="s">
        <v>152</v>
      </c>
      <c r="B895" t="s">
        <v>153</v>
      </c>
      <c r="C895" t="s">
        <v>156</v>
      </c>
      <c r="D895" s="3">
        <v>12</v>
      </c>
      <c r="E895" s="3">
        <v>36</v>
      </c>
      <c r="F895" s="3">
        <v>133</v>
      </c>
      <c r="G895" s="3">
        <v>1570</v>
      </c>
    </row>
    <row r="896" spans="1:7" x14ac:dyDescent="0.3">
      <c r="A896" t="s">
        <v>28</v>
      </c>
      <c r="B896" t="s">
        <v>37</v>
      </c>
      <c r="C896" t="s">
        <v>50</v>
      </c>
      <c r="D896" s="3">
        <v>4</v>
      </c>
      <c r="E896" s="3">
        <v>15</v>
      </c>
      <c r="F896" s="3">
        <v>55</v>
      </c>
      <c r="G896" s="3">
        <v>1580</v>
      </c>
    </row>
    <row r="897" spans="1:7" x14ac:dyDescent="0.3">
      <c r="A897" t="s">
        <v>536</v>
      </c>
      <c r="B897" t="s">
        <v>583</v>
      </c>
      <c r="C897" t="s">
        <v>584</v>
      </c>
      <c r="D897" s="3">
        <v>30</v>
      </c>
      <c r="E897" s="3">
        <v>165</v>
      </c>
      <c r="F897" s="3">
        <v>715</v>
      </c>
      <c r="G897" s="3">
        <v>1600</v>
      </c>
    </row>
    <row r="898" spans="1:7" x14ac:dyDescent="0.3">
      <c r="A898" t="s">
        <v>875</v>
      </c>
      <c r="B898" t="s">
        <v>888</v>
      </c>
      <c r="C898" t="s">
        <v>889</v>
      </c>
      <c r="D898" s="3">
        <v>50</v>
      </c>
      <c r="E898" s="3">
        <v>113</v>
      </c>
      <c r="F898" s="3">
        <v>510</v>
      </c>
      <c r="G898" s="3">
        <v>1710</v>
      </c>
    </row>
    <row r="899" spans="1:7" x14ac:dyDescent="0.3">
      <c r="A899" t="s">
        <v>75</v>
      </c>
      <c r="B899" t="s">
        <v>76</v>
      </c>
      <c r="C899" t="s">
        <v>77</v>
      </c>
      <c r="D899" s="3">
        <v>7</v>
      </c>
      <c r="E899" s="3">
        <v>53</v>
      </c>
      <c r="F899" s="3">
        <v>186</v>
      </c>
      <c r="G899" s="3">
        <v>1730</v>
      </c>
    </row>
    <row r="900" spans="1:7" x14ac:dyDescent="0.3">
      <c r="A900" t="s">
        <v>75</v>
      </c>
      <c r="B900" t="s">
        <v>78</v>
      </c>
      <c r="C900" t="s">
        <v>79</v>
      </c>
      <c r="D900" s="3">
        <v>7</v>
      </c>
      <c r="E900" s="3">
        <v>100</v>
      </c>
      <c r="F900" s="3">
        <v>379</v>
      </c>
      <c r="G900" s="3">
        <v>1750</v>
      </c>
    </row>
    <row r="901" spans="1:7" x14ac:dyDescent="0.3">
      <c r="A901" t="s">
        <v>725</v>
      </c>
      <c r="B901" t="s">
        <v>729</v>
      </c>
      <c r="C901" t="s">
        <v>730</v>
      </c>
      <c r="D901" s="3">
        <v>35</v>
      </c>
      <c r="E901" s="3">
        <v>39</v>
      </c>
      <c r="F901" s="3">
        <v>148</v>
      </c>
      <c r="G901" s="3">
        <v>2110</v>
      </c>
    </row>
    <row r="902" spans="1:7" x14ac:dyDescent="0.3">
      <c r="A902" t="s">
        <v>168</v>
      </c>
      <c r="B902" t="s">
        <v>169</v>
      </c>
      <c r="C902" t="s">
        <v>170</v>
      </c>
      <c r="D902" s="3">
        <v>14</v>
      </c>
      <c r="E902" s="3">
        <v>85</v>
      </c>
      <c r="F902" s="3">
        <v>334</v>
      </c>
      <c r="G902" s="3">
        <v>2210</v>
      </c>
    </row>
    <row r="903" spans="1:7" x14ac:dyDescent="0.3">
      <c r="A903" t="s">
        <v>75</v>
      </c>
      <c r="B903" t="s">
        <v>82</v>
      </c>
      <c r="C903" t="s">
        <v>118</v>
      </c>
      <c r="D903" s="3">
        <v>7</v>
      </c>
      <c r="E903" s="3">
        <v>178</v>
      </c>
      <c r="F903" s="3">
        <v>795</v>
      </c>
      <c r="G903" s="3">
        <v>2250</v>
      </c>
    </row>
    <row r="904" spans="1:7" x14ac:dyDescent="0.3">
      <c r="A904" t="s">
        <v>875</v>
      </c>
      <c r="B904" t="s">
        <v>888</v>
      </c>
      <c r="C904" t="s">
        <v>892</v>
      </c>
      <c r="D904" s="3">
        <v>50</v>
      </c>
      <c r="E904" s="3">
        <v>113</v>
      </c>
      <c r="F904" s="3">
        <v>514</v>
      </c>
      <c r="G904" s="3">
        <v>2290</v>
      </c>
    </row>
    <row r="905" spans="1:7" x14ac:dyDescent="0.3">
      <c r="A905" t="s">
        <v>75</v>
      </c>
      <c r="B905" t="s">
        <v>82</v>
      </c>
      <c r="C905" t="s">
        <v>121</v>
      </c>
      <c r="D905" s="3">
        <v>7</v>
      </c>
      <c r="E905" s="3">
        <v>178</v>
      </c>
      <c r="F905" s="3">
        <v>798</v>
      </c>
      <c r="G905" s="3">
        <v>2300</v>
      </c>
    </row>
    <row r="906" spans="1:7" x14ac:dyDescent="0.3">
      <c r="A906" t="s">
        <v>456</v>
      </c>
      <c r="B906" t="s">
        <v>467</v>
      </c>
      <c r="C906" t="s">
        <v>468</v>
      </c>
      <c r="D906" s="3">
        <v>29</v>
      </c>
      <c r="E906" s="3">
        <v>11</v>
      </c>
      <c r="F906" s="3">
        <v>36</v>
      </c>
      <c r="G906" s="3">
        <v>2320</v>
      </c>
    </row>
    <row r="907" spans="1:7" x14ac:dyDescent="0.3">
      <c r="A907" t="s">
        <v>144</v>
      </c>
      <c r="B907" t="s">
        <v>145</v>
      </c>
      <c r="C907" t="s">
        <v>147</v>
      </c>
      <c r="D907" s="3">
        <v>11</v>
      </c>
      <c r="E907" s="3">
        <v>27</v>
      </c>
      <c r="F907" s="3">
        <v>101</v>
      </c>
      <c r="G907" s="3">
        <v>2380</v>
      </c>
    </row>
    <row r="908" spans="1:7" x14ac:dyDescent="0.3">
      <c r="A908" t="s">
        <v>7</v>
      </c>
      <c r="B908" t="s">
        <v>20</v>
      </c>
      <c r="C908" t="s">
        <v>21</v>
      </c>
      <c r="D908" s="3">
        <v>2</v>
      </c>
      <c r="E908" s="3">
        <v>182</v>
      </c>
      <c r="F908" s="3">
        <v>807</v>
      </c>
      <c r="G908" s="3">
        <v>2620</v>
      </c>
    </row>
    <row r="909" spans="1:7" x14ac:dyDescent="0.3">
      <c r="A909" t="s">
        <v>239</v>
      </c>
      <c r="B909" t="s">
        <v>245</v>
      </c>
      <c r="C909" t="s">
        <v>60</v>
      </c>
      <c r="D909" s="3">
        <v>17</v>
      </c>
      <c r="E909" s="3">
        <v>185</v>
      </c>
      <c r="F909" s="3">
        <v>870</v>
      </c>
      <c r="G909" s="3">
        <v>2820</v>
      </c>
    </row>
    <row r="910" spans="1:7" x14ac:dyDescent="0.3">
      <c r="A910" t="s">
        <v>456</v>
      </c>
      <c r="B910" t="s">
        <v>489</v>
      </c>
      <c r="C910" t="s">
        <v>490</v>
      </c>
      <c r="D910" s="3">
        <v>29</v>
      </c>
      <c r="E910" s="3">
        <v>55</v>
      </c>
      <c r="F910" s="3">
        <v>203</v>
      </c>
      <c r="G910" s="3">
        <v>3200</v>
      </c>
    </row>
    <row r="911" spans="1:7" x14ac:dyDescent="0.3">
      <c r="A911" t="s">
        <v>239</v>
      </c>
      <c r="B911" t="s">
        <v>245</v>
      </c>
      <c r="C911" t="s">
        <v>248</v>
      </c>
      <c r="D911" s="3">
        <v>17</v>
      </c>
      <c r="E911" s="3">
        <v>185</v>
      </c>
      <c r="F911" s="3">
        <v>814</v>
      </c>
      <c r="G911" s="3">
        <v>3270</v>
      </c>
    </row>
    <row r="912" spans="1:7" x14ac:dyDescent="0.3">
      <c r="A912" t="s">
        <v>536</v>
      </c>
      <c r="B912" t="s">
        <v>553</v>
      </c>
      <c r="C912" t="s">
        <v>557</v>
      </c>
      <c r="D912" s="3">
        <v>30</v>
      </c>
      <c r="E912" s="3">
        <v>69</v>
      </c>
      <c r="F912" s="3">
        <v>232</v>
      </c>
      <c r="G912" s="3">
        <v>3540</v>
      </c>
    </row>
    <row r="913" spans="1:7" x14ac:dyDescent="0.3">
      <c r="A913" t="s">
        <v>7</v>
      </c>
      <c r="B913" t="s">
        <v>14</v>
      </c>
      <c r="C913" t="s">
        <v>16</v>
      </c>
      <c r="D913" s="3">
        <v>2</v>
      </c>
      <c r="E913" s="3">
        <v>16</v>
      </c>
      <c r="F913" s="3">
        <v>70</v>
      </c>
      <c r="G913" s="3">
        <v>3620</v>
      </c>
    </row>
    <row r="914" spans="1:7" x14ac:dyDescent="0.3">
      <c r="A914" t="s">
        <v>725</v>
      </c>
      <c r="B914" t="s">
        <v>737</v>
      </c>
      <c r="C914" t="s">
        <v>273</v>
      </c>
      <c r="D914" s="3">
        <v>35</v>
      </c>
      <c r="E914" s="3">
        <v>103</v>
      </c>
      <c r="F914" s="3">
        <v>387</v>
      </c>
      <c r="G914" s="3">
        <v>3640</v>
      </c>
    </row>
    <row r="915" spans="1:7" x14ac:dyDescent="0.3">
      <c r="A915" t="s">
        <v>127</v>
      </c>
      <c r="B915" t="s">
        <v>130</v>
      </c>
      <c r="C915" t="s">
        <v>131</v>
      </c>
      <c r="D915" s="3">
        <v>9</v>
      </c>
      <c r="E915" s="3">
        <v>41</v>
      </c>
      <c r="F915" s="3">
        <v>156</v>
      </c>
      <c r="G915" s="3">
        <v>3660</v>
      </c>
    </row>
    <row r="916" spans="1:7" x14ac:dyDescent="0.3">
      <c r="A916" t="s">
        <v>331</v>
      </c>
      <c r="B916" t="s">
        <v>338</v>
      </c>
      <c r="C916" t="s">
        <v>339</v>
      </c>
      <c r="D916" s="3">
        <v>22</v>
      </c>
      <c r="E916" s="3">
        <v>96</v>
      </c>
      <c r="F916" s="3">
        <v>365</v>
      </c>
      <c r="G916" s="3">
        <v>3900</v>
      </c>
    </row>
    <row r="917" spans="1:7" x14ac:dyDescent="0.3">
      <c r="A917" t="s">
        <v>456</v>
      </c>
      <c r="B917" t="s">
        <v>500</v>
      </c>
      <c r="C917" t="s">
        <v>502</v>
      </c>
      <c r="D917" s="3">
        <v>29</v>
      </c>
      <c r="E917" s="3">
        <v>97</v>
      </c>
      <c r="F917" s="3">
        <v>367</v>
      </c>
      <c r="G917" s="3">
        <v>4010</v>
      </c>
    </row>
    <row r="918" spans="1:7" x14ac:dyDescent="0.3">
      <c r="A918" t="s">
        <v>331</v>
      </c>
      <c r="B918" t="s">
        <v>336</v>
      </c>
      <c r="C918" t="s">
        <v>337</v>
      </c>
      <c r="D918" s="3">
        <v>22</v>
      </c>
      <c r="E918" s="3">
        <v>94</v>
      </c>
      <c r="F918" s="3">
        <v>363</v>
      </c>
      <c r="G918" s="3">
        <v>4250</v>
      </c>
    </row>
    <row r="919" spans="1:7" x14ac:dyDescent="0.3">
      <c r="A919" t="s">
        <v>954</v>
      </c>
      <c r="B919" t="s">
        <v>956</v>
      </c>
      <c r="C919" t="s">
        <v>242</v>
      </c>
      <c r="D919" s="3">
        <v>58</v>
      </c>
      <c r="E919" s="3">
        <v>184</v>
      </c>
      <c r="F919" s="3">
        <v>810</v>
      </c>
      <c r="G919" s="3">
        <v>4390</v>
      </c>
    </row>
    <row r="920" spans="1:7" x14ac:dyDescent="0.3">
      <c r="A920" t="s">
        <v>222</v>
      </c>
      <c r="B920" t="s">
        <v>223</v>
      </c>
      <c r="C920" t="s">
        <v>225</v>
      </c>
      <c r="D920" s="3">
        <v>16</v>
      </c>
      <c r="E920" s="3">
        <v>32</v>
      </c>
      <c r="F920" s="3">
        <v>123</v>
      </c>
      <c r="G920" s="3">
        <v>5020</v>
      </c>
    </row>
    <row r="921" spans="1:7" x14ac:dyDescent="0.3">
      <c r="A921" t="s">
        <v>28</v>
      </c>
      <c r="B921" t="s">
        <v>37</v>
      </c>
      <c r="C921" t="s">
        <v>60</v>
      </c>
      <c r="D921" s="3">
        <v>4</v>
      </c>
      <c r="E921" s="3">
        <v>15</v>
      </c>
      <c r="F921" s="3">
        <v>66</v>
      </c>
      <c r="G921" s="3">
        <v>5200</v>
      </c>
    </row>
    <row r="922" spans="1:7" x14ac:dyDescent="0.3">
      <c r="A922" t="s">
        <v>725</v>
      </c>
      <c r="B922" t="s">
        <v>729</v>
      </c>
      <c r="C922" t="s">
        <v>619</v>
      </c>
      <c r="D922" s="3">
        <v>35</v>
      </c>
      <c r="E922" s="3">
        <v>39</v>
      </c>
      <c r="F922" s="3">
        <v>152</v>
      </c>
      <c r="G922" s="3">
        <v>5380</v>
      </c>
    </row>
    <row r="923" spans="1:7" x14ac:dyDescent="0.3">
      <c r="A923" t="s">
        <v>725</v>
      </c>
      <c r="B923" t="s">
        <v>728</v>
      </c>
      <c r="C923" t="s">
        <v>21</v>
      </c>
      <c r="D923" s="3">
        <v>35</v>
      </c>
      <c r="E923" s="3">
        <v>34</v>
      </c>
      <c r="F923" s="3">
        <v>127</v>
      </c>
      <c r="G923" s="3">
        <v>5600</v>
      </c>
    </row>
    <row r="924" spans="1:7" x14ac:dyDescent="0.3">
      <c r="A924" t="s">
        <v>222</v>
      </c>
      <c r="B924" t="s">
        <v>237</v>
      </c>
      <c r="C924" t="s">
        <v>238</v>
      </c>
      <c r="D924" s="3">
        <v>16</v>
      </c>
      <c r="E924" s="3">
        <v>176</v>
      </c>
      <c r="F924" s="3">
        <v>755</v>
      </c>
      <c r="G924" s="3">
        <v>6340</v>
      </c>
    </row>
    <row r="925" spans="1:7" x14ac:dyDescent="0.3">
      <c r="A925" t="s">
        <v>725</v>
      </c>
      <c r="B925" t="s">
        <v>741</v>
      </c>
      <c r="C925" t="s">
        <v>204</v>
      </c>
      <c r="D925" s="3">
        <v>35</v>
      </c>
      <c r="E925" s="3">
        <v>175</v>
      </c>
      <c r="F925" s="3">
        <v>753</v>
      </c>
      <c r="G925" s="3">
        <v>7330</v>
      </c>
    </row>
    <row r="926" spans="1:7" x14ac:dyDescent="0.3">
      <c r="A926" t="s">
        <v>134</v>
      </c>
      <c r="B926" t="s">
        <v>135</v>
      </c>
      <c r="C926" t="s">
        <v>136</v>
      </c>
      <c r="D926" s="3">
        <v>10</v>
      </c>
      <c r="E926" s="3">
        <v>48</v>
      </c>
      <c r="F926" s="3">
        <v>171</v>
      </c>
      <c r="G926" s="3">
        <v>11320</v>
      </c>
    </row>
  </sheetData>
  <sortState xmlns:xlrd2="http://schemas.microsoft.com/office/spreadsheetml/2017/richdata2" ref="A2:G926">
    <sortCondition ref="G2:G926"/>
    <sortCondition ref="D2:D9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4</vt:i4>
      </vt:variant>
    </vt:vector>
  </HeadingPairs>
  <TitlesOfParts>
    <vt:vector size="9" baseType="lpstr">
      <vt:lpstr>Taxonomy</vt:lpstr>
      <vt:lpstr>data_info</vt:lpstr>
      <vt:lpstr>Genus Family Relationship</vt:lpstr>
      <vt:lpstr>Observation sort</vt:lpstr>
      <vt:lpstr>Obs+Fam</vt:lpstr>
      <vt:lpstr>Chart1</vt:lpstr>
      <vt:lpstr>Chart2</vt:lpstr>
      <vt:lpstr>Chart3</vt:lpstr>
      <vt:lpstr>Chart4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bailey</cp:lastModifiedBy>
  <dcterms:created xsi:type="dcterms:W3CDTF">2025-10-25T15:08:43Z</dcterms:created>
  <dcterms:modified xsi:type="dcterms:W3CDTF">2025-11-02T23:12:05Z</dcterms:modified>
</cp:coreProperties>
</file>